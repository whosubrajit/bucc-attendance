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Members" sheetId="1" r:id="rId5"/>
    <sheet state="visible" name="UnListed" sheetId="2" r:id="rId6"/>
    <sheet state="visible" name="EB" sheetId="3" r:id="rId7"/>
    <sheet state="visible" name="C&amp;M" sheetId="4" r:id="rId8"/>
    <sheet state="visible" name="Creative" sheetId="5" r:id="rId9"/>
    <sheet state="visible" name="EM" sheetId="6" r:id="rId10"/>
    <sheet state="visible" name="Finance" sheetId="7" r:id="rId11"/>
    <sheet state="visible" name="HR" sheetId="8" r:id="rId12"/>
    <sheet state="visible" name="PR" sheetId="9" r:id="rId13"/>
    <sheet state="visible" name="R&amp;D" sheetId="10" r:id="rId14"/>
    <sheet state="visible" name="Promoted E and SE spring26" sheetId="11" r:id="rId15"/>
  </sheets>
  <definedNames>
    <definedName hidden="1" localSheetId="0" name="_xlnm._FilterDatabase">All_Members!$A$1:$F$1429</definedName>
    <definedName hidden="1" localSheetId="2" name="_xlnm._FilterDatabase">EB!$B$1:$F$34</definedName>
    <definedName hidden="1" localSheetId="3" name="_xlnm._FilterDatabase">'C&amp;M'!$A$1:$D$157</definedName>
    <definedName hidden="1" localSheetId="7" name="_xlnm._FilterDatabase">HR!$A$1:$D$101</definedName>
    <definedName hidden="1" localSheetId="10" name="_xlnm._FilterDatabase">'Promoted E and SE spring26'!$A$1:$F$82</definedName>
  </definedNames>
  <calcPr/>
</workbook>
</file>

<file path=xl/sharedStrings.xml><?xml version="1.0" encoding="utf-8"?>
<sst xmlns="http://schemas.openxmlformats.org/spreadsheetml/2006/main" count="6328" uniqueCount="2982">
  <si>
    <t>Student Id</t>
  </si>
  <si>
    <t>Name</t>
  </si>
  <si>
    <t>Department</t>
  </si>
  <si>
    <t>Designation</t>
  </si>
  <si>
    <t>Phone Number</t>
  </si>
  <si>
    <t>G-Suite</t>
  </si>
  <si>
    <t>Jauad Ahmed Sadik</t>
  </si>
  <si>
    <t>Governing Body</t>
  </si>
  <si>
    <t>President</t>
  </si>
  <si>
    <t>01732644303</t>
  </si>
  <si>
    <t>jauad.ahmed.sadik@g.bracu.ac.bd</t>
  </si>
  <si>
    <t>Shudeepta Roy Mou</t>
  </si>
  <si>
    <t>Vice President</t>
  </si>
  <si>
    <t>01724494639</t>
  </si>
  <si>
    <t>shudeepta.roy.mou@g.bracu.ac.bd</t>
  </si>
  <si>
    <t>G M JUBAYER ZAMAN</t>
  </si>
  <si>
    <t>General Secretary</t>
  </si>
  <si>
    <t>01518912604</t>
  </si>
  <si>
    <t>gm.jubayer.zaman@g.bracu.ac.bd</t>
  </si>
  <si>
    <t xml:space="preserve">Syed Adnan Rahman </t>
  </si>
  <si>
    <t>Treasurer</t>
  </si>
  <si>
    <t>01757358756</t>
  </si>
  <si>
    <t>syed.adnan.rahman@g.bracu.ac.bd</t>
  </si>
  <si>
    <t>Zawad Ahsan</t>
  </si>
  <si>
    <t>Communication and Marketing</t>
  </si>
  <si>
    <t>Director</t>
  </si>
  <si>
    <t>01883440600</t>
  </si>
  <si>
    <t>zawad.ahsan@g.bracu.ac.bd</t>
  </si>
  <si>
    <t>Nishat Tasnim Zannat</t>
  </si>
  <si>
    <t>01825302705</t>
  </si>
  <si>
    <t>nishat.tasnim.zannat@g.bracu.ac.bd</t>
  </si>
  <si>
    <t>Kazi Jawad</t>
  </si>
  <si>
    <t>Assistant Director</t>
  </si>
  <si>
    <t>01877111133</t>
  </si>
  <si>
    <t>kazi.jawad@g.bracu.ac.bd</t>
  </si>
  <si>
    <t>Md. Ishtiaq Mozumder</t>
  </si>
  <si>
    <t>Senior Executive</t>
  </si>
  <si>
    <t>md.ishtiaq.mozumder@g.bracu.ac.bd</t>
  </si>
  <si>
    <t>S.M.Abrar Shaleheen</t>
  </si>
  <si>
    <t>sm.abrar.shaleheen@g.bracu.ac.bd</t>
  </si>
  <si>
    <t>Ahsan Abid Razin</t>
  </si>
  <si>
    <t>ahsan.abid.razin@g.bracu.ac.bd</t>
  </si>
  <si>
    <t>Manjura Nuha</t>
  </si>
  <si>
    <t>manjura.nuha@g.bracu.ac.bd</t>
  </si>
  <si>
    <t>Tahmina Aktar</t>
  </si>
  <si>
    <t>Executive</t>
  </si>
  <si>
    <t>tahmina.aktar@g.bracu.ac.bd</t>
  </si>
  <si>
    <t>Showmit Ghosh</t>
  </si>
  <si>
    <t>showmit.ghosh@g.bracu.ac.bd</t>
  </si>
  <si>
    <t>Md. Fardin Bashar</t>
  </si>
  <si>
    <t>md.fardin.bashar@g.bracu.ac.bd</t>
  </si>
  <si>
    <t>Sufian Amin Nabil</t>
  </si>
  <si>
    <t>sufian.amin.nabil@g.bracu.ac.bd</t>
  </si>
  <si>
    <t>Sabikun Nahar Nisat</t>
  </si>
  <si>
    <t>sabikun.nahar.nisat@g.bracu.ac.bd</t>
  </si>
  <si>
    <t>Rehnuma Tasmim Raisa</t>
  </si>
  <si>
    <t>rehnuma.tasmim.raisa@g.bracu.ac.bd</t>
  </si>
  <si>
    <t>Wahida Hoque Syeda</t>
  </si>
  <si>
    <t>wahida.hoque.syeda@g.bracu.ac.bd</t>
  </si>
  <si>
    <t>MD. Fahim Faysal Tamim</t>
  </si>
  <si>
    <t>fahim.faysal.tamim@g.bracu.ac.bd</t>
  </si>
  <si>
    <t>Muhammad Fahim Faisal</t>
  </si>
  <si>
    <t>muhammad.fahim.faisal@g.bracu.ac.bd</t>
  </si>
  <si>
    <t>Habibun Nabi</t>
  </si>
  <si>
    <t>habibun.nabi.hemel@g.bracu.ac.bd</t>
  </si>
  <si>
    <t>Prothom Deshmukhya</t>
  </si>
  <si>
    <t>prothom.deshmukhya@g.bracu.ac.bd</t>
  </si>
  <si>
    <t>Zarif Tausif Ahmed Nafi</t>
  </si>
  <si>
    <t>zarif.tausif.ahmed@g.bracu.ac.bd</t>
  </si>
  <si>
    <t>Nujaimah Simrin</t>
  </si>
  <si>
    <t>nujaimah.simrin@g.bracu.ac.bd</t>
  </si>
  <si>
    <t>Rumman Ahmed</t>
  </si>
  <si>
    <t>rumman.ahmed@g.bracu.ac.bd</t>
  </si>
  <si>
    <t>Afra Ibnat</t>
  </si>
  <si>
    <t>afra.ibnat1@g.bracu.ac.bd</t>
  </si>
  <si>
    <t>Iftakhar Islam Sagor</t>
  </si>
  <si>
    <t>iftakhar.islam.sagor@g.bracu.ac.bd</t>
  </si>
  <si>
    <t>Jabir Ahsan</t>
  </si>
  <si>
    <t>jabir.ahsan@g.bracu.ac.bd</t>
  </si>
  <si>
    <t>SWAPNEEL BISWAS BARNO</t>
  </si>
  <si>
    <t>swapneel.biswas.barno@g.bracu.ac.bd</t>
  </si>
  <si>
    <t>Sabiha Sabrin Oritry</t>
  </si>
  <si>
    <t>sabiha.sabrin.oritry@g.bracu.ac.bd</t>
  </si>
  <si>
    <t>Nusaiba Chowdhury</t>
  </si>
  <si>
    <t>nusaiba.chowdhury@g.bracu.ac.bd</t>
  </si>
  <si>
    <t>MD Tashdid Islam</t>
  </si>
  <si>
    <t>Communication and Marketing/</t>
  </si>
  <si>
    <t>md.tasdid.islam@g.bracu.ac.bd</t>
  </si>
  <si>
    <t>Saumik Das</t>
  </si>
  <si>
    <t>saumik.das1@g.bracu.ac.bd</t>
  </si>
  <si>
    <t>Md. Atik Hossain Dip</t>
  </si>
  <si>
    <t>atik.hossain.dip@g.bracu.ac.bd</t>
  </si>
  <si>
    <t>Nirupom Paul Ullash</t>
  </si>
  <si>
    <t>nirupom.paul.ullash@g.bracu.ac.bd</t>
  </si>
  <si>
    <t>Payel Jannat Maliha</t>
  </si>
  <si>
    <t>General Member</t>
  </si>
  <si>
    <t>1636286146</t>
  </si>
  <si>
    <t>payel.jannat.maliha@g.bracu.ac.bd</t>
  </si>
  <si>
    <t>Raj Biswas</t>
  </si>
  <si>
    <t>8801917323282</t>
  </si>
  <si>
    <t>raj.biswas@g.bracu.ac.bd</t>
  </si>
  <si>
    <t>Radhesyam Rajbangshi Diganta</t>
  </si>
  <si>
    <t>1972715806</t>
  </si>
  <si>
    <t>radhesyam.rajbangshi.diganta@g.bracu.ac.bd</t>
  </si>
  <si>
    <t>Karib Fiyaz</t>
  </si>
  <si>
    <t>8801880006111</t>
  </si>
  <si>
    <t>karib.fiyaz@g.bracu.ac.bd</t>
  </si>
  <si>
    <t>Afifa Tayeaba</t>
  </si>
  <si>
    <t>1973367555</t>
  </si>
  <si>
    <t>afifa.tayeaba@g.bracu.ac.bd</t>
  </si>
  <si>
    <t>Mehrab Rashid</t>
  </si>
  <si>
    <t>1786607576</t>
  </si>
  <si>
    <t>mehrab.rashid@g.bracu.ac.bd</t>
  </si>
  <si>
    <t>Md.Ratul Hasan Sarkar</t>
  </si>
  <si>
    <t>ratul.hasan.sarkar@g.bracu.ac.bd</t>
  </si>
  <si>
    <t>Muwafiq Khan Josh</t>
  </si>
  <si>
    <t>muwafiq.khan.josh@g.bracu.ac.bd</t>
  </si>
  <si>
    <t>Sajir Hamid</t>
  </si>
  <si>
    <t>sajir.hamid@g.bracu.ac.bd</t>
  </si>
  <si>
    <t>Mahjabin Alam Esha</t>
  </si>
  <si>
    <t>mahjabin.alam.esha@g.bracu.ac.bd</t>
  </si>
  <si>
    <t>Moshee-Ur Rahman</t>
  </si>
  <si>
    <t>moshee.ur.rahman@g.bracu.ac.bd</t>
  </si>
  <si>
    <t>Fariya Rahman Richi</t>
  </si>
  <si>
    <t>fariya.rahman.richi@g.bracu.ac.bd</t>
  </si>
  <si>
    <t>S.A.Rahman</t>
  </si>
  <si>
    <t>s.a.rahman@g.bracu.ac.bd</t>
  </si>
  <si>
    <t>Jabir Ahmed</t>
  </si>
  <si>
    <t>jabir.ahmed@g.bracu.ac.bd</t>
  </si>
  <si>
    <t>Ahammad Ha-Meem Safwat</t>
  </si>
  <si>
    <t>ahammad.ha-meem.safwat@g.bracu.ac.bd</t>
  </si>
  <si>
    <t>Nosin Anjhum Nijhum</t>
  </si>
  <si>
    <t>nosin.anjhum.nijhum@g.bracu.ac.bd</t>
  </si>
  <si>
    <t>Suailim Islam Sakif</t>
  </si>
  <si>
    <t>suailim.islam.sakif@g.bracu.ac.bd</t>
  </si>
  <si>
    <t>Humaira Siddiqa</t>
  </si>
  <si>
    <t>humaira.siddiqa@g.bracu.ac.bd</t>
  </si>
  <si>
    <t>Md Abdullah All Hassan</t>
  </si>
  <si>
    <t>abdullah.all.hassan@g.bracu.ac.bd</t>
  </si>
  <si>
    <t>Sadik Mohammad</t>
  </si>
  <si>
    <t>sadik.mohammad@g.bracu.ac.bd</t>
  </si>
  <si>
    <t>Shah Mohaimin Kabir</t>
  </si>
  <si>
    <t>shah.mohaimin.kabir@g.bracu.ac.bd</t>
  </si>
  <si>
    <t>Ashray Mobashar Siam</t>
  </si>
  <si>
    <t>ashray.mobashar@g.bracu.ac.bd</t>
  </si>
  <si>
    <t>Md. Imteaj Rana</t>
  </si>
  <si>
    <t>md.imteaj.rana@g.bracu.ac.bd</t>
  </si>
  <si>
    <t>Fatin Noor Jahin</t>
  </si>
  <si>
    <t>fatin.noor.jahin@g.bracu.ac.bd</t>
  </si>
  <si>
    <t>Amlan Mostafiz</t>
  </si>
  <si>
    <t xml:space="preserve">Communication and Marketing
</t>
  </si>
  <si>
    <t>amlan.mostafiz@g.bracu.ac.bd</t>
  </si>
  <si>
    <t>Farhana Momtaz Raka</t>
  </si>
  <si>
    <t>farhana.momtaz.raka@g.bracu.ac.bd</t>
  </si>
  <si>
    <t>Vivian Ananda</t>
  </si>
  <si>
    <t>vivian.ananda@g.bracu.ac.bd</t>
  </si>
  <si>
    <t>Nishat Tasnim</t>
  </si>
  <si>
    <t>nishat.tasnim19@g.bracu.ac.bd</t>
  </si>
  <si>
    <t>Aisha Mahjabin Munia</t>
  </si>
  <si>
    <t>ayesha.mahjabin@g.bracu.ac.bd</t>
  </si>
  <si>
    <t>Asif Mahmud Prottoy</t>
  </si>
  <si>
    <t>asif.mahmud.prottoy@g.bracu.ac.bd</t>
  </si>
  <si>
    <t>Monoary Jabin</t>
  </si>
  <si>
    <t>monoary.jabin.rayan@g.bracu.ac.bd</t>
  </si>
  <si>
    <t>Mariya Islam Bhuiyan Nidhe</t>
  </si>
  <si>
    <t>mariya.islam.bhuiyan@g.bracu.ac.bd</t>
  </si>
  <si>
    <t>Minhaz Uddin</t>
  </si>
  <si>
    <t>minhaz.uddin@g.bracu.ac.bd</t>
  </si>
  <si>
    <t>Md. Muntasir Rahman Layek</t>
  </si>
  <si>
    <t>muntasir.rahman.layek@g.bracu.ac.bd</t>
  </si>
  <si>
    <t>Md Alvi Islam Ratul</t>
  </si>
  <si>
    <t>alvi.islam.ratul@g.bracu.ac.bd</t>
  </si>
  <si>
    <t>Sabrina Alam Sabah</t>
  </si>
  <si>
    <t>sabrina.alam.sabah@g.bracu.ac.bd</t>
  </si>
  <si>
    <t>Syeda Fabiayee Jahan</t>
  </si>
  <si>
    <t>syeda.fabiayee.jahan@g.bracu.ac.bd</t>
  </si>
  <si>
    <t>Mst.Ashrafunnuri</t>
  </si>
  <si>
    <t>mst.ashrafunnuri@g.bracu.ac.bd</t>
  </si>
  <si>
    <t>Md. Abdullah</t>
  </si>
  <si>
    <t>md.abdullah3@g.bracu.ac.bd</t>
  </si>
  <si>
    <t>Ilma Binte Sherin</t>
  </si>
  <si>
    <t>ilma.binte.sherin@g.bracu.ac.bd</t>
  </si>
  <si>
    <t>Km.Jubair Sami</t>
  </si>
  <si>
    <t>km.jubair.sami@g.bracu.ac.bd</t>
  </si>
  <si>
    <t>Habib Ullah</t>
  </si>
  <si>
    <t>habib.ullah1@g.bracu.ac.bd</t>
  </si>
  <si>
    <t>Sajid Sarower</t>
  </si>
  <si>
    <t>sajid.sarower@g.bracu.ac.bd</t>
  </si>
  <si>
    <t>Nabil Mahmud Chowdhury</t>
  </si>
  <si>
    <t>nabil.mahmud.chowdhury@g.bracu.ac.bd</t>
  </si>
  <si>
    <t>Jarin Tasnim</t>
  </si>
  <si>
    <t>Jarin.tasnim12@g.bracu.ac.bd</t>
  </si>
  <si>
    <t>Md Istiaque Ahmed</t>
  </si>
  <si>
    <t>md.istiaque.ahmed@g.bracu.ac.bd</t>
  </si>
  <si>
    <t>Wardat Iqbal</t>
  </si>
  <si>
    <t>wardat.shams.iqbal@g.bracu.ac.bd</t>
  </si>
  <si>
    <t>Mohammad Aseer Intisar</t>
  </si>
  <si>
    <t>mohammad.aseer.intisar@g.bracu.ac.bd</t>
  </si>
  <si>
    <t>Maisha Thasin</t>
  </si>
  <si>
    <t>maisha.thasin@g.bracu.ac.bd</t>
  </si>
  <si>
    <t>Atkiya Farzana</t>
  </si>
  <si>
    <t>atkiya.farzana@g.bracu.ac.bd</t>
  </si>
  <si>
    <t>Anindya Dasgupta</t>
  </si>
  <si>
    <t>anindya.dasgupta@g.bracu.ac.bd</t>
  </si>
  <si>
    <t>Md. Tahfim Billah Suny</t>
  </si>
  <si>
    <t>tahfim.billah.suny1@g.bracu.ac.bd</t>
  </si>
  <si>
    <t>Maria Hossain Tuli</t>
  </si>
  <si>
    <t>maria.hossain.tuli@g.bracu.ac.bd</t>
  </si>
  <si>
    <t>Mahedi Mostafa Rifat</t>
  </si>
  <si>
    <t>mahedi.mostafa.rifat@g.bracu.ac.bd</t>
  </si>
  <si>
    <t>Tasnia Mahjabin Maliha</t>
  </si>
  <si>
    <t>tasnia.mahjabin.maliha@g.bracu.ac.bd</t>
  </si>
  <si>
    <t>Md Zahid Hasan Nerob</t>
  </si>
  <si>
    <t>zahid.hasan.nerob@g.bracu.ac.bd</t>
  </si>
  <si>
    <t>Abdul Ahad</t>
  </si>
  <si>
    <t>abdul.ahad@g.bracu.ac.bd</t>
  </si>
  <si>
    <t>Arnab Anthony Gomes</t>
  </si>
  <si>
    <t>arnab.anthony.gomes@g.bracu.ac.bd</t>
  </si>
  <si>
    <t>Anika Fariha</t>
  </si>
  <si>
    <t>anika.fariha@g.bracu.ac.bd</t>
  </si>
  <si>
    <t>Tasnimul Ferdous Tamim</t>
  </si>
  <si>
    <t>tasnimul.ferdous.tamim@g.bracu.ac.bd</t>
  </si>
  <si>
    <t>Sandip Kumar Paul</t>
  </si>
  <si>
    <t>sandip.kumar.paul@g.bracu.ac.bd</t>
  </si>
  <si>
    <t>Sabaha Sadik</t>
  </si>
  <si>
    <t>sabaha.sadik@g.bracu.ac.bd</t>
  </si>
  <si>
    <t>Md Tahmid Raiyan</t>
  </si>
  <si>
    <t>md.tahmid.raiyan@g.bracu.ac.bd</t>
  </si>
  <si>
    <t>Sadman Hossain Ayon</t>
  </si>
  <si>
    <t>sadman.hossain.ayon@g.bracu.ac.bd</t>
  </si>
  <si>
    <t>Ramisa Faria</t>
  </si>
  <si>
    <t>ramisa.faria@g.bracu.ac.bd</t>
  </si>
  <si>
    <t>Noor-A-Kamal Islam</t>
  </si>
  <si>
    <t>noor.akamal.islam@g.bracu.ac.bd</t>
  </si>
  <si>
    <t>Rifat Bin Sadeque</t>
  </si>
  <si>
    <t>rifat.bin.sadeque@g.bracu.ac.bd</t>
  </si>
  <si>
    <t>Md.Labib Reza Joarder</t>
  </si>
  <si>
    <t>labib.reza.joarder@g.bracu.ac.bd</t>
  </si>
  <si>
    <t>Mahmud Hasan</t>
  </si>
  <si>
    <t>mahmud.hasan2@g.bracu.ac.bd</t>
  </si>
  <si>
    <t>MD Mostofa Shahriar Sajib Sharker</t>
  </si>
  <si>
    <t>mostofa.shahriar.sajib@g.bracu.ac.bd</t>
  </si>
  <si>
    <t>Tasfia Nur</t>
  </si>
  <si>
    <t>tasfia.nur@g.bracu.ac.bd</t>
  </si>
  <si>
    <t>Foysal</t>
  </si>
  <si>
    <t>foysal@g.bracu.ac.bd</t>
  </si>
  <si>
    <t>Ashvin Al Afroz</t>
  </si>
  <si>
    <t>ashvin.al.afroz@g.bracu.ac.bd</t>
  </si>
  <si>
    <t>Md. Sharafat Hossain</t>
  </si>
  <si>
    <t>md.sharafat.hossain@g.bracu.ac.bd</t>
  </si>
  <si>
    <t>Gourab Krishna Saha</t>
  </si>
  <si>
    <t>gourab.krishna.saha@g.bracu.ac.bd</t>
  </si>
  <si>
    <t>Paromita Rasheed</t>
  </si>
  <si>
    <t>paromita.rasheed@g.bracu.ac.bd</t>
  </si>
  <si>
    <t>Sayanta Saha</t>
  </si>
  <si>
    <t>sayanta.saha@g.bracu.ac.bd</t>
  </si>
  <si>
    <t>Iffat Islam Aria</t>
  </si>
  <si>
    <t>iffat.islam.aria@g.bracu.ac.bd</t>
  </si>
  <si>
    <t>Safwan Noor</t>
  </si>
  <si>
    <t>safwan.noor@g.bracu.ac.bd</t>
  </si>
  <si>
    <t>Nabil Mahmud</t>
  </si>
  <si>
    <t>nabil.mahmud1@g.bracu.ac.bd</t>
  </si>
  <si>
    <t>Ishtiak</t>
  </si>
  <si>
    <t>ishtiak@g.bracu.ac.bd</t>
  </si>
  <si>
    <t>Md.Mahbubul Haque Mahi</t>
  </si>
  <si>
    <t>mahbubul.haque.mahi@g.bracu.ac.bd</t>
  </si>
  <si>
    <t>A T M Farhan Zaman</t>
  </si>
  <si>
    <t>atm.farhan.zaman@g.bracu.ac.bd</t>
  </si>
  <si>
    <t>Muahhidul Islam Rishti</t>
  </si>
  <si>
    <t>muahhidul.islam.rishti@g.bracu.ac.bd</t>
  </si>
  <si>
    <t>Talha Jubayer</t>
  </si>
  <si>
    <t>talha.jubayer@g.bracu.ac.bd</t>
  </si>
  <si>
    <t>Md. Fuad Hasan</t>
  </si>
  <si>
    <t>md.fuad.hasan3@g.bracu.ac.bd</t>
  </si>
  <si>
    <t>Shafiur Rahman Sajid</t>
  </si>
  <si>
    <t>shafiur.rahman.sajid@g.bracu.ac.bd</t>
  </si>
  <si>
    <t>Faria Sarkar Ajanta</t>
  </si>
  <si>
    <t>faria.sarkar.ajanta@g.bracu.ac.bd</t>
  </si>
  <si>
    <t>Faria Hossain Afnan</t>
  </si>
  <si>
    <t>faria.hossain.afnan@g.bracu.ac.bd</t>
  </si>
  <si>
    <t>FAIROSE ANIKA ZAMAN PURNATA</t>
  </si>
  <si>
    <t>fairose.anika.zaman@g.bracu.ac.bd</t>
  </si>
  <si>
    <t>Rifah Nanjiba</t>
  </si>
  <si>
    <t>rifah.nanjiba4@g.bracu.ac.bd</t>
  </si>
  <si>
    <t>Tasmia Afrin Trisha</t>
  </si>
  <si>
    <t>tasmia.afrin.trisha@g.bracu.ac.bd</t>
  </si>
  <si>
    <t>Rafia Farhana Rafa</t>
  </si>
  <si>
    <t>rafia.farhana.rafa@g.bracu.ac.bd</t>
  </si>
  <si>
    <t>Rafid Bin Nasir</t>
  </si>
  <si>
    <t>rafid.bin.nasir@g.bracu.ac.bd</t>
  </si>
  <si>
    <t>Nur Raisa</t>
  </si>
  <si>
    <t>nur.raisa@g.bracu.ac.bd</t>
  </si>
  <si>
    <t>Junaid Alam</t>
  </si>
  <si>
    <t>junaid.alam@g.bracu.ac.bd</t>
  </si>
  <si>
    <t>Xavier Hasan</t>
  </si>
  <si>
    <t>xavier.hasan@g.bracu.ac.bd</t>
  </si>
  <si>
    <t>Md. Rafi Raihan</t>
  </si>
  <si>
    <t>md.rafi.raihan@g.bracu.ac.bd</t>
  </si>
  <si>
    <t>Shahed Parves Kallol</t>
  </si>
  <si>
    <t>shahed.parves.kallol@g.bracu.ac.bd</t>
  </si>
  <si>
    <t>Mashroor Sadab Ifti</t>
  </si>
  <si>
    <t>mashroor.sadab.ifti@g.bracu.ac.bd</t>
  </si>
  <si>
    <t>Fatema Karim Kusum</t>
  </si>
  <si>
    <t>fatema.karim.kusum@g.bracu.ac.bd</t>
  </si>
  <si>
    <t>Sharzil Nafis</t>
  </si>
  <si>
    <t>sharzil.nafis.hossain@g.bracu.ac.bd</t>
  </si>
  <si>
    <t>Sigratur Rahman Adiat</t>
  </si>
  <si>
    <t>sigratur.rahman.adiat@g.bracu.ac.bd</t>
  </si>
  <si>
    <t>Mahin Hossain</t>
  </si>
  <si>
    <t>mahin.hossain1@g.bracu.ac.bd</t>
  </si>
  <si>
    <t>Shikar Bhattacharjee Drik</t>
  </si>
  <si>
    <t>shikar.bhattacharjee.drik@g.bracu.ac.bd</t>
  </si>
  <si>
    <t>Meharuba Hossain Mim</t>
  </si>
  <si>
    <t>meharuba.hossain.mim@g.bracu.ac.bd</t>
  </si>
  <si>
    <t>Samira Akther</t>
  </si>
  <si>
    <t>Samira.akther@g.bracu.ac.bd</t>
  </si>
  <si>
    <t>Tasnim Islam Khan</t>
  </si>
  <si>
    <t>tasnim.islam.khan1@g.bracu.ac.bd</t>
  </si>
  <si>
    <t>Tasnia Sharmin Aurna</t>
  </si>
  <si>
    <t>tasnia.sharmin.aurna@g.bracu.ac.bd</t>
  </si>
  <si>
    <t>MD Junaid Ahmed</t>
  </si>
  <si>
    <t>Junaid@g.bracu.ac.bd</t>
  </si>
  <si>
    <t>Rafeed Al Raiyan</t>
  </si>
  <si>
    <t>rafeed.al.raiyan@g.bracu.ac.bd</t>
  </si>
  <si>
    <t>Aungkito Barua Mugdho</t>
  </si>
  <si>
    <t>aungkito.barua.mugdho@g.bracu.ac.bd</t>
  </si>
  <si>
    <t>SHAIYAN SALEH</t>
  </si>
  <si>
    <t>shaiyan.saleh@g.bracu.ac.bd</t>
  </si>
  <si>
    <t>Md Rafid Hayder</t>
  </si>
  <si>
    <t>md.rafid.hayder@g.bracu.ac.bd</t>
  </si>
  <si>
    <t>Mahfuj Amin Shakib</t>
  </si>
  <si>
    <t>mahfuj.amin.shakib@g.bracu.ac.bd</t>
  </si>
  <si>
    <t>Ishmam Zaman</t>
  </si>
  <si>
    <t>ishmam.zaman1@g.bracu.ac.bd</t>
  </si>
  <si>
    <t>Reshad Bin Zaman</t>
  </si>
  <si>
    <t>reshad.bin.zaman@g.bracu.ac.bd</t>
  </si>
  <si>
    <t>Quazi Faquid Ahbabul Haque Zareef</t>
  </si>
  <si>
    <t>Ahbabul.haque.zareef@g.bracu.ac.bd</t>
  </si>
  <si>
    <t>Sadia Ahmed Raisa</t>
  </si>
  <si>
    <t>sadia.ahmed.raisa@g.bracu.ac.bd</t>
  </si>
  <si>
    <t>MD Fahimul Hoque</t>
  </si>
  <si>
    <t>md.fahimul.hoque@g.bracu.ac.bd</t>
  </si>
  <si>
    <t>Md Adib Hassan</t>
  </si>
  <si>
    <t>md.adib.hassan1@g.bracu.ac.bd</t>
  </si>
  <si>
    <t>Sadman Sabab</t>
  </si>
  <si>
    <t>sadman.sabab@g.bracu.ac.bd</t>
  </si>
  <si>
    <t>Maroof Abdullah</t>
  </si>
  <si>
    <t>Creative</t>
  </si>
  <si>
    <t>maroof.abdullah@g.bracu.ac.bd</t>
  </si>
  <si>
    <t>Rifa Tasnia Hridi</t>
  </si>
  <si>
    <t>rifa.tasnia.hridi@g.bracu.ac.bd</t>
  </si>
  <si>
    <t>Tahmeed Ferdous</t>
  </si>
  <si>
    <t>tahmeed.ferdous@g.bracu.ac.bd</t>
  </si>
  <si>
    <t>Luban Latif</t>
  </si>
  <si>
    <t>luban.latif@g.bracu.ac.bd</t>
  </si>
  <si>
    <t>Sanjana Tahsin</t>
  </si>
  <si>
    <t>sanjana.tahsin@g.bracu.ac.bd</t>
  </si>
  <si>
    <t>Sajib Sarker</t>
  </si>
  <si>
    <t>sajib.sarker@g.bracu.ac.bd</t>
  </si>
  <si>
    <t>Md Ridwanur Rahman</t>
  </si>
  <si>
    <t>md.ridwanur.rahman@g.bracu.ac.bd</t>
  </si>
  <si>
    <t>Sadia Afrin</t>
  </si>
  <si>
    <t>sadia.afrin17@g.bracu.ac.bd</t>
  </si>
  <si>
    <t>Md. Misbahul Islam</t>
  </si>
  <si>
    <t>md.misbahul.islam@g.bracu.ac.bd</t>
  </si>
  <si>
    <t>Md. Rakibul Islam Nayan</t>
  </si>
  <si>
    <t>rakibul.islam.nayan@g.bracu.ac.bd</t>
  </si>
  <si>
    <t>Asiful Islam Ayranna</t>
  </si>
  <si>
    <t>asiful.islam.ayranna@g.bracu.ac.bd</t>
  </si>
  <si>
    <t>Tahera Toor</t>
  </si>
  <si>
    <t>tahera.toor@g.bracu.ac.bd</t>
  </si>
  <si>
    <t>Jaber Hasan</t>
  </si>
  <si>
    <t>md.jabar.hasan@g.bracu.ac.bd</t>
  </si>
  <si>
    <t>Oyshi Sarker Nishita</t>
  </si>
  <si>
    <t>oyshi.sarker.nishita@g.bracu.ac.bd</t>
  </si>
  <si>
    <t>Jahra Binte Mamoon</t>
  </si>
  <si>
    <t>jahra.binte.mamoon@g.bracu.ac.bd</t>
  </si>
  <si>
    <t>Abidur Islam Kiron</t>
  </si>
  <si>
    <t>abidur.islam.kiron@g.bracu.ac.bd</t>
  </si>
  <si>
    <t>Mahajabin Islam</t>
  </si>
  <si>
    <t>mahajabin.Islam@g.bracu.ac.bd</t>
  </si>
  <si>
    <t>Md. Mushfiqur Rahman</t>
  </si>
  <si>
    <t>md.mushfiqur.rahman@g.bracu.ac.bd</t>
  </si>
  <si>
    <t>Md. Tanaz Zafri</t>
  </si>
  <si>
    <t>md.tanaz.zafri@g.bracu.ac.bd</t>
  </si>
  <si>
    <t>Md. Tawfiq Islam</t>
  </si>
  <si>
    <t>md.tawfiq.islam@g.bracu.ac.bd</t>
  </si>
  <si>
    <t>Zahra Morshed</t>
  </si>
  <si>
    <t>zahra.morshed@g.bracu.ac.bd</t>
  </si>
  <si>
    <t>Shafin Mahamud</t>
  </si>
  <si>
    <t>shafin.mahamud@g.bracu.ac.bd</t>
  </si>
  <si>
    <t>Aishwarja Ghosh</t>
  </si>
  <si>
    <t>aishwarja.ghosh@g.bracu.ac.bd</t>
  </si>
  <si>
    <t>Md Rakib Hossain Ontu</t>
  </si>
  <si>
    <t>rakib.hossain.ontu@g.bracu.ac.bd</t>
  </si>
  <si>
    <t>Md. Nazmus Sakib Prantik</t>
  </si>
  <si>
    <t>nazmus.sakib.prantik@g.bracu.ac.bd</t>
  </si>
  <si>
    <t>Turjo Muhammad Sajid</t>
  </si>
  <si>
    <t>turjo.muhammad.sajid@g.bracu.ac.bd</t>
  </si>
  <si>
    <t>Wasi Farabi</t>
  </si>
  <si>
    <t>wasi.farabi@g.bracu.ac.bd</t>
  </si>
  <si>
    <t>Nafis Fuyad</t>
  </si>
  <si>
    <t>nafis.fuyad@g.bracu.ac.bd</t>
  </si>
  <si>
    <t>Anika Kabir</t>
  </si>
  <si>
    <t>anika.kabir1@g.bracu.ac.bd</t>
  </si>
  <si>
    <t>Tasnia Tabassum Reety</t>
  </si>
  <si>
    <t>tasnia.tabassum.reety@g.bracu.ac.bd</t>
  </si>
  <si>
    <t>Supratim saha</t>
  </si>
  <si>
    <t>supratim.saha@g.bracu.ac.bd</t>
  </si>
  <si>
    <t>Anita Haque Sushma</t>
  </si>
  <si>
    <t>anita.haque.sushma@g.bracu.ac.bd</t>
  </si>
  <si>
    <t>Nazifa Tasnim</t>
  </si>
  <si>
    <t>nazifa.tasnim1@g.bracu.ac.bd</t>
  </si>
  <si>
    <t>Md.Maknun Nehal</t>
  </si>
  <si>
    <t>md.maknun.nehal@g.bracu.ac.bd</t>
  </si>
  <si>
    <t>Fabiha Tarannum</t>
  </si>
  <si>
    <t>fabiha.tarannum@g.bracu.ac.bd</t>
  </si>
  <si>
    <t>Nuzhat Tabassum Nora</t>
  </si>
  <si>
    <t>nuzhat.tabassum.nora@g.bracu.ac.bd</t>
  </si>
  <si>
    <t>Zarin Tasnim</t>
  </si>
  <si>
    <t>zarin.tasnim30@g.bracu.ac.bd</t>
  </si>
  <si>
    <t>Md. Razin Salehin</t>
  </si>
  <si>
    <t>md.razin.salehin@g.bracu.ac.bd</t>
  </si>
  <si>
    <t>Al Anood Momenur Rahman</t>
  </si>
  <si>
    <t>alanood.momenur.rahman@g.bracu.ac.bd</t>
  </si>
  <si>
    <t>Rifah Tasnia Annzim</t>
  </si>
  <si>
    <t>rifah.tasnia.annzim@g.bracu.ac.bd</t>
  </si>
  <si>
    <t>Faiaz Ahmed Bhuiyan</t>
  </si>
  <si>
    <t>faiaz.ahmed.bhuiyan@g.bracu.ac.bd</t>
  </si>
  <si>
    <t>Khan Abdullah</t>
  </si>
  <si>
    <t>khan.abdullah@g.bracu.ac.bd</t>
  </si>
  <si>
    <t>Tasmia Tasnim</t>
  </si>
  <si>
    <t>tasmia.tasnim@g.bracu.ac.bd</t>
  </si>
  <si>
    <t>Tasmiah Ahmed</t>
  </si>
  <si>
    <t>tasmiah.ahmed@g.bracu.ac.bd</t>
  </si>
  <si>
    <t>Saptak Das Argha</t>
  </si>
  <si>
    <t>saptak.das.argha@g.bracu.ac.bd</t>
  </si>
  <si>
    <t>Talukder Khaleed Bin Hasan</t>
  </si>
  <si>
    <t>khaleed.bin.hasan@g.bracu.ac.bd</t>
  </si>
  <si>
    <t>Nawshin Mahjabin Namira</t>
  </si>
  <si>
    <t>nawshin.mahjabin.namira@g.bracu.ac.bd</t>
  </si>
  <si>
    <t>Ananya Saha Orni</t>
  </si>
  <si>
    <t>ananya.saha.orni@g.bracu.ac.bd</t>
  </si>
  <si>
    <t>Sadia Rahman Mouli</t>
  </si>
  <si>
    <t>Sadia.rahman.mouli@g.bracu.ac.bd</t>
  </si>
  <si>
    <t>Anandita Sahin</t>
  </si>
  <si>
    <t>anandita.sahin@g.bracu.ac.bd</t>
  </si>
  <si>
    <t>Md. Samsul Arefin Jafran</t>
  </si>
  <si>
    <t>samsul.arefin.jafran@g.bracu.ac.bd</t>
  </si>
  <si>
    <t>Nowrin Tanhiad</t>
  </si>
  <si>
    <t>nowrin.tanhiad@g.bracu.ac.bd</t>
  </si>
  <si>
    <t>Ryan Ahmed</t>
  </si>
  <si>
    <t>ryan.ahmed@g.bracu.ac.bd</t>
  </si>
  <si>
    <t>Dihan Islam Dhruboo</t>
  </si>
  <si>
    <t>dihan.islam.dhrubo@g.bracu.ac.bd</t>
  </si>
  <si>
    <t>Kazi Md Jawadul Hoque</t>
  </si>
  <si>
    <t>kazi.md.jawadulhoque@g.bracu.ac.bd</t>
  </si>
  <si>
    <t>zarin.tasnim29@g.bracu.ac.bd</t>
  </si>
  <si>
    <t>Farhan Tanvir</t>
  </si>
  <si>
    <t>farhan.tanvir4@g.bracu.ac.bd</t>
  </si>
  <si>
    <t>Al- Saihan Tajvi</t>
  </si>
  <si>
    <t>al.saihan.tajvi@g.bracu.ac.bd</t>
  </si>
  <si>
    <t>Nishat Anjuman Dola</t>
  </si>
  <si>
    <t>nishat.anjuman.dola@g.bracu.ac.bd</t>
  </si>
  <si>
    <t>Hasin Arman Shafin</t>
  </si>
  <si>
    <t>hasin.arman.shafin@g.bracu.ac.bd</t>
  </si>
  <si>
    <t>Sultan Sajed Shahriar</t>
  </si>
  <si>
    <t>sultan.sajed.shahriar@g.bracu.ac.bd</t>
  </si>
  <si>
    <t>Miskatul Kabir Mithila</t>
  </si>
  <si>
    <t>miskatul.kabir.mithila@g.bracu.ac.bd</t>
  </si>
  <si>
    <t>Saif Ibnay Sahed</t>
  </si>
  <si>
    <t>saif.ibnay.sahed@g.bracu.ac.bd</t>
  </si>
  <si>
    <t>Ishratul Kashfi Shaj</t>
  </si>
  <si>
    <t>ishratul.kashfi.shaj@g.bracu.ac.bd</t>
  </si>
  <si>
    <t>Shahrima Haque</t>
  </si>
  <si>
    <t>shahrima.haque@g.bracu.ac.bd</t>
  </si>
  <si>
    <t>Nahian Sadat Nahin</t>
  </si>
  <si>
    <t>nahian.sadat.nahin@g.bracu.ac.bd</t>
  </si>
  <si>
    <t>Araf Kamal</t>
  </si>
  <si>
    <t>araf.kamal@g.bracu.ac.bd</t>
  </si>
  <si>
    <t>Arik Anjum Alif</t>
  </si>
  <si>
    <t>arik.anjum.alif@g.bracu.ac.bd</t>
  </si>
  <si>
    <t>M. Farhan Tanvir</t>
  </si>
  <si>
    <t>m.farhan.tanvir@g.bracu.ac.bd</t>
  </si>
  <si>
    <t>Aritra Dey</t>
  </si>
  <si>
    <t>aritra.dey@g.bracu.ac.bd</t>
  </si>
  <si>
    <t>Alfi Shahariar</t>
  </si>
  <si>
    <t>alfi.shahariar@g.bracu.ac.bd</t>
  </si>
  <si>
    <t>Fahim Al Mahi</t>
  </si>
  <si>
    <t>Fahim.al.mahi@g.bracu.ac.bd</t>
  </si>
  <si>
    <t>Mayaz Montasim</t>
  </si>
  <si>
    <t>mayaz.montasim@g.bracu.ac.bd</t>
  </si>
  <si>
    <t>Md. Farhan Sadique</t>
  </si>
  <si>
    <t>md.farhan.sadique@g.bracu.ac.bd</t>
  </si>
  <si>
    <t>Rafsan Ahmed Ohi</t>
  </si>
  <si>
    <t>rafsan.ahmed.ohi@g.bracu.ac.bd</t>
  </si>
  <si>
    <t>Sm Sahil</t>
  </si>
  <si>
    <t>s.m.sahil@g.bracu.ac.bd</t>
  </si>
  <si>
    <t>Sayed Takey Tajwar Arko</t>
  </si>
  <si>
    <t>sayed.takey.tajwar@g.bracu.ac.bd</t>
  </si>
  <si>
    <t>Sadik Yasir Mridha</t>
  </si>
  <si>
    <t>sadik.yasir.mridha@g.bracu.ac.bd</t>
  </si>
  <si>
    <t>Fardin Islam Kabyo</t>
  </si>
  <si>
    <t>fardin.islam.kabyo@g.bracu.ac.bd</t>
  </si>
  <si>
    <t>Md. Shafat Ilham</t>
  </si>
  <si>
    <t>md.shafat.ilham@g.bracu.ac.bd</t>
  </si>
  <si>
    <t>Noushin Sonon Chandona</t>
  </si>
  <si>
    <t>noushin.sonon.chandona@g.bracu.ac.bd</t>
  </si>
  <si>
    <t>Afifa Aman Elham</t>
  </si>
  <si>
    <t>afifa.aman.elham@g.bracu.ac.bd</t>
  </si>
  <si>
    <t>Noor Rifat Aronnya</t>
  </si>
  <si>
    <t>noor.rifat.aronnya@g.bracu.ac.bd</t>
  </si>
  <si>
    <t>Hasnat Zarif</t>
  </si>
  <si>
    <t>hasnat.zarif@g.bracu.ac.bd</t>
  </si>
  <si>
    <t>Md. Mahfuzul Hoque</t>
  </si>
  <si>
    <t>md.mahfuzul.hoque@g.bracu.ac.bd</t>
  </si>
  <si>
    <t>Tasnia Binte Ashek</t>
  </si>
  <si>
    <t>tasnia.binte.ashek@g.bracu.ac.bd</t>
  </si>
  <si>
    <t>Md Roby</t>
  </si>
  <si>
    <t>md.roby@g.bracu.ac.bd</t>
  </si>
  <si>
    <t>Shohom Karmaker</t>
  </si>
  <si>
    <t>shohom.karmaker@g.bracu.ac.bd</t>
  </si>
  <si>
    <t>Sabikun Neha</t>
  </si>
  <si>
    <t>sabikun.neha@g.bracu.ac.bd</t>
  </si>
  <si>
    <t>Md.Atiqur Rahman</t>
  </si>
  <si>
    <t>md.atiqur.rahman2@g.bracu.ac.bd</t>
  </si>
  <si>
    <t>Fahad Islam</t>
  </si>
  <si>
    <t>fahad.islam1@g.bracu.ac.bd</t>
  </si>
  <si>
    <t>Jannatul Habiba Prova</t>
  </si>
  <si>
    <t>jannatul.habiba.prova@g.bracu.ac.bd</t>
  </si>
  <si>
    <t>Zubaer Habib Sayham</t>
  </si>
  <si>
    <t>zubaer.habib.sayham@g.bracu.ac.bd</t>
  </si>
  <si>
    <t>Asifur Rahman Bhuiyan</t>
  </si>
  <si>
    <t>asifur.rahman.bhuiyan@g.bracu.ac.bd</t>
  </si>
  <si>
    <t>Kaspia Khan Onti</t>
  </si>
  <si>
    <t>kaspia.khan.onti@g.bracu.ac.bd</t>
  </si>
  <si>
    <t>Tawfiqur Rahman</t>
  </si>
  <si>
    <t>tawfiqur.rahman@g.bracu.ac.bd</t>
  </si>
  <si>
    <t>Kazi Mushfikur Rahaman</t>
  </si>
  <si>
    <t>kazi.mushfikur.rahaman@g.bracu.ac.bd</t>
  </si>
  <si>
    <t>Rufaida Faruque</t>
  </si>
  <si>
    <t>rufaida.faruque@g.bracu.ac.bd</t>
  </si>
  <si>
    <t>Shehzad Hakim</t>
  </si>
  <si>
    <t>shehzad.hakim@g.bracu.ac.bd</t>
  </si>
  <si>
    <t>Meheruba Hasin</t>
  </si>
  <si>
    <t>meheruba.hasin.alif@g.bracu.ac.bd</t>
  </si>
  <si>
    <t>Afia Labiba</t>
  </si>
  <si>
    <t>afia.labiba@g.bracu.ac.bd</t>
  </si>
  <si>
    <t>Iffat Adury</t>
  </si>
  <si>
    <t>Iffat.Adury@g.bracu.ac.bd</t>
  </si>
  <si>
    <t>Mahrufa Binta Ali</t>
  </si>
  <si>
    <t>mahrufa.binta.ali@g.bracu.ac.bd</t>
  </si>
  <si>
    <t>Sagar Sarker</t>
  </si>
  <si>
    <t>sagar.sarker@g.bracu.ac.bd</t>
  </si>
  <si>
    <t>Dipita Tasnim</t>
  </si>
  <si>
    <t>dipita.tasnim@g.bracu.ac.bd</t>
  </si>
  <si>
    <t>Shamarpa Islam Neesa</t>
  </si>
  <si>
    <t>shamarpa.islam.neesa@g.bracu.ac.bd</t>
  </si>
  <si>
    <t>Ishaq Ahnaf Khan</t>
  </si>
  <si>
    <t>ishaq.ahnaf.khan@g.bracu.ac.bd</t>
  </si>
  <si>
    <t>Khandker Touhidul Muntaha</t>
  </si>
  <si>
    <t>khandker.touhidul.muntaha1@g.bracu.ac.bd</t>
  </si>
  <si>
    <t>Mohammed Al Wasee</t>
  </si>
  <si>
    <t>mohammed.al.wasee@g.bracu.ac.bd</t>
  </si>
  <si>
    <t>S. M. Ababil Islam</t>
  </si>
  <si>
    <t>sm.ababil.islam@g.bracu.ac.bd</t>
  </si>
  <si>
    <t>Sadar Ahmed</t>
  </si>
  <si>
    <t>sadar.ahmed@g.bracu.ac.bd</t>
  </si>
  <si>
    <t>Jotee Sarkar Joy</t>
  </si>
  <si>
    <t>jotee.sarkar.joy@g.bracu.ac.bd</t>
  </si>
  <si>
    <t>Iftekhar Mohammed Aritro</t>
  </si>
  <si>
    <t>iftekhar.mohammed.aritro@g.bracu.ac.bd</t>
  </si>
  <si>
    <t>Raihan Karim</t>
  </si>
  <si>
    <t>raihan.karim@g.bracu.ac.bd</t>
  </si>
  <si>
    <t>Zaber Mahmud</t>
  </si>
  <si>
    <t>zaber.mahmud@g.bracu.ac.bd</t>
  </si>
  <si>
    <t>Anika Rashid</t>
  </si>
  <si>
    <t>anika.rashid@g.bracu.ac.bd</t>
  </si>
  <si>
    <t>Fariha Binta Salim</t>
  </si>
  <si>
    <t>fariha.binta.salim@g.bracu.ac.bd</t>
  </si>
  <si>
    <t>Mehrab Sanjeed</t>
  </si>
  <si>
    <t>mehrab.sanjeed@g.bracu.ac.bd</t>
  </si>
  <si>
    <t>Arpita Ahsan</t>
  </si>
  <si>
    <t>arpita.ahsan@g.bracu.ac.bd</t>
  </si>
  <si>
    <t>Abir Dey</t>
  </si>
  <si>
    <t>abir.dey@g.bracu.ac.bd</t>
  </si>
  <si>
    <t>Md Asiful Hasan</t>
  </si>
  <si>
    <t>md.asiful.hasan@g.bracu.ac.bd</t>
  </si>
  <si>
    <t>Sifat Alam</t>
  </si>
  <si>
    <t>sifat.alam@g.bracu.ac.bd</t>
  </si>
  <si>
    <t>Nuzhat Tahsin</t>
  </si>
  <si>
    <t>nuzhat.tahsin1@g.bracu.ac.bd</t>
  </si>
  <si>
    <t>Arafat Haque Biswas</t>
  </si>
  <si>
    <t>arafat.haque.biswas@g.bracu.ac.bd</t>
  </si>
  <si>
    <t>Mir Masroor Ahmed</t>
  </si>
  <si>
    <t>mir.masroor.ahmed@g.bracu.ac.bd</t>
  </si>
  <si>
    <t>Sultan Wasee Uddin Sun</t>
  </si>
  <si>
    <t>wasee.uddin.sun@g.bracu.ac.bd</t>
  </si>
  <si>
    <t>T. M. Anoy Mazumder</t>
  </si>
  <si>
    <t>tm.anoy.mazumder@g.bracu.ac.bd</t>
  </si>
  <si>
    <t>Zobeida Zaman Chowdhury</t>
  </si>
  <si>
    <t>zobeida.zaman.chowdhury@g.bracu.ac.bd</t>
  </si>
  <si>
    <t>Chowdhury Sayeb Islam</t>
  </si>
  <si>
    <t>chowdhury.sayeb.islam@g.bracu.ac.bd</t>
  </si>
  <si>
    <t>Shajeeah Juwairiya</t>
  </si>
  <si>
    <t>shajeeah.juwairiya@g.bracu.ac.bd</t>
  </si>
  <si>
    <t>Mahdi Hasan Meem</t>
  </si>
  <si>
    <t>mahdi.hasan.meem@g.bracu.ac.bd</t>
  </si>
  <si>
    <t>Lazin Shimran</t>
  </si>
  <si>
    <t>lazin.shimran@g.bracu.ac.bd</t>
  </si>
  <si>
    <t>Tahmeed Ishmam</t>
  </si>
  <si>
    <t>tahmeed.ishmam.khan@g.bracu.ac.bd</t>
  </si>
  <si>
    <t>Farhan Haque Shakib</t>
  </si>
  <si>
    <t>farhan.haque.shakib@g.bracu.ac.bd</t>
  </si>
  <si>
    <t>Radial Rahman</t>
  </si>
  <si>
    <t>radial.rahman@g.bracu.ac.bd</t>
  </si>
  <si>
    <t>Refath Hossain</t>
  </si>
  <si>
    <t>md.refath.hossain@g.bracu.ac.bd</t>
  </si>
  <si>
    <t>Badhon Nandi</t>
  </si>
  <si>
    <t>badhon.nandi@g.bracu.ac.bd</t>
  </si>
  <si>
    <t>Mohammad Bin Kamal (Siam)</t>
  </si>
  <si>
    <t>mohammad.bin.kamal@g.bracu.ac.bd</t>
  </si>
  <si>
    <t>Avijit Dutta Utso</t>
  </si>
  <si>
    <t>avijit.dutta.utso@g.bracu.ac.bd</t>
  </si>
  <si>
    <t>Munazza Binte Rafiq</t>
  </si>
  <si>
    <t>munazza.binte.rafiq@g.bracu.ac.bd</t>
  </si>
  <si>
    <t>Tanzima Binte Delowar</t>
  </si>
  <si>
    <t>tanzima.binte.delowar@g.bracu.ac.bd</t>
  </si>
  <si>
    <t>Tahira Binte Amin</t>
  </si>
  <si>
    <t>tahira.binte.amin@g.bracu.ac.bd</t>
  </si>
  <si>
    <t>Suhana Ahmed</t>
  </si>
  <si>
    <t>suhana.ahmed@g.bracu.ac.bd</t>
  </si>
  <si>
    <t>Md. Abir Hasan Piash</t>
  </si>
  <si>
    <t>abir.hasan.piash@g.bracu.ac.bd</t>
  </si>
  <si>
    <t>Shahriar Khandoker</t>
  </si>
  <si>
    <t>shahriar.khandoker@g.bracu.ac.bd</t>
  </si>
  <si>
    <t>Namira Abrar Haque</t>
  </si>
  <si>
    <t>namira.abrar.haque@g.bracu.ac.bd</t>
  </si>
  <si>
    <t>Muntakim Rahman Tanim</t>
  </si>
  <si>
    <t>muntakim.rahman.tanim@g.bracu.ac.bd</t>
  </si>
  <si>
    <t>Sanjida Akter Bithi</t>
  </si>
  <si>
    <t>sanjida.akter.bithi@g.bracu.ac.bd</t>
  </si>
  <si>
    <t>Kh. Oakil Ahamed</t>
  </si>
  <si>
    <t>kh.oakil.ahamed@g.bracu.ac.bd</t>
  </si>
  <si>
    <t>Ahsan Habib</t>
  </si>
  <si>
    <t>ahsan.habib1@g.bracu.ac.bd</t>
  </si>
  <si>
    <t>Fairuz Suhala Reza</t>
  </si>
  <si>
    <t>fairuz.suhala.reza@g.bracu.ac.bd</t>
  </si>
  <si>
    <t>Feroza Mahzabin</t>
  </si>
  <si>
    <t>feroza.mahzabin@g.bracu.ac.bd</t>
  </si>
  <si>
    <t>Sadik Mina Dweep</t>
  </si>
  <si>
    <t>sadik.mina.dweep@g.bracu.ac.bd</t>
  </si>
  <si>
    <t>Reduan Nur Labid</t>
  </si>
  <si>
    <t>reduan.nur.labid@g.bracu.ac.bd</t>
  </si>
  <si>
    <t>Rajin Ibna Rajuanur Rahman</t>
  </si>
  <si>
    <t>rajin.ibna.rajuanurrahman@g.bracu.ac.bd</t>
  </si>
  <si>
    <t>Fahim Firoz Ridit</t>
  </si>
  <si>
    <t>fahim.firoz.ridit@g.bracu.ac.bd</t>
  </si>
  <si>
    <t>Shafaat Jamil Nakib</t>
  </si>
  <si>
    <t>shafaat.jamil.nakib@g.bracu.ac.bd</t>
  </si>
  <si>
    <t>Reaz Raza</t>
  </si>
  <si>
    <t>reaz.raza@g.bracu.ac.bd</t>
  </si>
  <si>
    <t>Labib Hasan</t>
  </si>
  <si>
    <t>labib.hasan@g.bracu.ac.bd</t>
  </si>
  <si>
    <t>Maisha Iffat Chowdhury</t>
  </si>
  <si>
    <t>maisha.iffat.chowdhury@g.bracu.ac.bd</t>
  </si>
  <si>
    <t>Sunjida Islam Susmita</t>
  </si>
  <si>
    <t>sunjida.islam.susmita@g.bracu.ac.bd</t>
  </si>
  <si>
    <t>Ragib Ahnaf</t>
  </si>
  <si>
    <t>ragib.ahnaf.nehal@g.bracu.ac.bd</t>
  </si>
  <si>
    <t>Sifatullah Fahim</t>
  </si>
  <si>
    <t>sifatullah.fahim@g.bracu.ac.bd</t>
  </si>
  <si>
    <t>S. M. Apurbo</t>
  </si>
  <si>
    <t>sm.apurbo@g.bracu.ac.bd</t>
  </si>
  <si>
    <t>Surata Saha Hiya</t>
  </si>
  <si>
    <t>Surata.saha.hiya@g.bracu.ac.bd</t>
  </si>
  <si>
    <t>Sadia Hasan Bonni</t>
  </si>
  <si>
    <t>sadia.hasan.bonni@g.bracu.ac.bd</t>
  </si>
  <si>
    <t>Saber Shahriar Fahim</t>
  </si>
  <si>
    <t>saber.shahriar.fahim@g.bracu.ac.bd</t>
  </si>
  <si>
    <t>Nigi Shikder</t>
  </si>
  <si>
    <t>nigi.shikder@g.bracu.ac.bd</t>
  </si>
  <si>
    <t>M. A. Abdullahis Sany</t>
  </si>
  <si>
    <t>ma.abdullahis.sany@g.bracu.ac.bd</t>
  </si>
  <si>
    <t>Avinabo Tarafder</t>
  </si>
  <si>
    <t>avinabo.tarafder@g.bracu.ac.bd</t>
  </si>
  <si>
    <t>Mahir Hasan Chowdhury</t>
  </si>
  <si>
    <t>mahir.hasan.chowdhury@g.bracu.ac.bd</t>
  </si>
  <si>
    <t>Wasima Jahan Aurthy</t>
  </si>
  <si>
    <t>wasima.jahan.aurthy@g.bracu.ac.bd</t>
  </si>
  <si>
    <t>Nusrat Jahan Snigdha</t>
  </si>
  <si>
    <t>nusrat.jahan.snigdha@g.bracu.ac.bd</t>
  </si>
  <si>
    <t>Ameet Faisal</t>
  </si>
  <si>
    <t>ameet.faisal@g.bracu.ac.bd</t>
  </si>
  <si>
    <t>Mahdinam Saif Prisun</t>
  </si>
  <si>
    <t>mahdinam.saif.prisun@g.bracu.ac.bd</t>
  </si>
  <si>
    <t>Subha Juraina</t>
  </si>
  <si>
    <t>subha.juraina@g.bracu.ac.bd</t>
  </si>
  <si>
    <t>Mariya Binta Mazhar</t>
  </si>
  <si>
    <t>mariya.binta.mazhar@g.bracu.ac.bd</t>
  </si>
  <si>
    <t>Ahmmed Shadeed</t>
  </si>
  <si>
    <t>ahmmed.shadeed@g.bracu.ac.bd</t>
  </si>
  <si>
    <t>Md Tashfiq Bin Sarwar</t>
  </si>
  <si>
    <t>tashfiq.bin.sarwar@g.bracu.ac.bd</t>
  </si>
  <si>
    <t>Antik Mahmud</t>
  </si>
  <si>
    <t>antik.mahmud@g.bracu.ac.bd</t>
  </si>
  <si>
    <t>Farhanul Haque Mridul</t>
  </si>
  <si>
    <t>farhanul.haque.mridul@g.bracu.ac.bd</t>
  </si>
  <si>
    <t>Farhan Karim</t>
  </si>
  <si>
    <t>farhan.karim@g.bracu.ac.bd</t>
  </si>
  <si>
    <t>MD. NURE ALAM SIDDIQUEE ZISAN</t>
  </si>
  <si>
    <t>nure.alam.siddiquee@g.bracu.ac.bd</t>
  </si>
  <si>
    <t>Sayeda Ariyan Fairooz</t>
  </si>
  <si>
    <t>sayeda.ariyan.fairooz@g.bracu.ac.bd</t>
  </si>
  <si>
    <t>Zahin Raisa</t>
  </si>
  <si>
    <t>zahin.raisa@g.bracu.ac.bd</t>
  </si>
  <si>
    <t>Md. Abrar Faiyaz</t>
  </si>
  <si>
    <t>md.abrar.faiyaz@g.bracu.ac.bd</t>
  </si>
  <si>
    <t>Partho Probal</t>
  </si>
  <si>
    <t>partho.probal@g.bracu.ac.bd</t>
  </si>
  <si>
    <t>Siratul Araf Ahammed</t>
  </si>
  <si>
    <t>siratul.araf.ahammed@g.bracu.ac.bd</t>
  </si>
  <si>
    <t>Mehezabin Soha</t>
  </si>
  <si>
    <t>mehezabin.soha@g.bracu.ac.bd</t>
  </si>
  <si>
    <t>Adrika Tabassum</t>
  </si>
  <si>
    <t>adrika.tabassum@g.bracu.ac.bd</t>
  </si>
  <si>
    <t>Zakwan Masud Jarif</t>
  </si>
  <si>
    <t>zakwan.masud.jarif@g.bracu.ac.bd</t>
  </si>
  <si>
    <t>Md Sadab Zahin Apurbo</t>
  </si>
  <si>
    <t>sadab.zahin.apurbo@g.bracu.ac.bd</t>
  </si>
  <si>
    <t>Arnab Saha Arko</t>
  </si>
  <si>
    <t>arnab.saha.arko@g.bracu.ac.bd</t>
  </si>
  <si>
    <t>Md. Shams Jamil</t>
  </si>
  <si>
    <t>md.shams.jamil@g.bracu.ac.bd</t>
  </si>
  <si>
    <t>Tasfiq Rahman Rafi</t>
  </si>
  <si>
    <t>tasfiq.rahman.rafi@g.bracu.ac.bd</t>
  </si>
  <si>
    <t>Kazi Hasibur Rahman</t>
  </si>
  <si>
    <t>kazi.hasibur.rahman@g.bracu.ac.bd</t>
  </si>
  <si>
    <t>Tasfiqul Alam</t>
  </si>
  <si>
    <t>tasfiqul.alam@g.bracu.ac.bd</t>
  </si>
  <si>
    <t>Zarab Juhayer</t>
  </si>
  <si>
    <t>zarab.juhayer@g.bracu.ac.bd</t>
  </si>
  <si>
    <t>Saad Bin Shadi Srabon</t>
  </si>
  <si>
    <t>saad.bin.shadisrabon@g.bracu.ac.bd</t>
  </si>
  <si>
    <t>Puja Banik</t>
  </si>
  <si>
    <t>puja.banik@g.bracu.ac.bd</t>
  </si>
  <si>
    <t>Rukhsath Akram</t>
  </si>
  <si>
    <t>rukhsath.akram@g.bracu.ac.bd</t>
  </si>
  <si>
    <t>ahammad asif</t>
  </si>
  <si>
    <t>ahammad.asif@g.bracu.ac.bd</t>
  </si>
  <si>
    <t>Sara Binte Zaman Roja</t>
  </si>
  <si>
    <t>sara.binte.zaman@g.bracu.ac.bd</t>
  </si>
  <si>
    <t>Abu Sufian Siam</t>
  </si>
  <si>
    <t>abu.sufian.siam@g.bracu.ac.bd</t>
  </si>
  <si>
    <t>MD.Tabiul Morsalin Kabir</t>
  </si>
  <si>
    <t>tabiul.morsalin.kabir@g.bracu.ac.bd</t>
  </si>
  <si>
    <t>Humayara Kabir Nuha</t>
  </si>
  <si>
    <t>humayara.kabir.nuha@g.bracu.ac.bd</t>
  </si>
  <si>
    <t>Israt Jahan Esha</t>
  </si>
  <si>
    <t>israt.jahan.esha1@g.bracu.ac.bd</t>
  </si>
  <si>
    <t>Rafid Abdullah</t>
  </si>
  <si>
    <t>md.abdullah.rafid@g.bracu.ac.bd</t>
  </si>
  <si>
    <t>Khadija Alam</t>
  </si>
  <si>
    <t>khadija.alam@g.bracu.ac.bd</t>
  </si>
  <si>
    <t>Moontarin Ahmed</t>
  </si>
  <si>
    <t>moontarin.ahmed@g.bracu.ac.bd</t>
  </si>
  <si>
    <t>Sanjana jahan maha</t>
  </si>
  <si>
    <t>sanjana.jahan.maha@g.bracu.ac.bd</t>
  </si>
  <si>
    <t>Khan Mohammed Fahad</t>
  </si>
  <si>
    <t>khan.mohammed.fahad@g.bracu.ac.bd</t>
  </si>
  <si>
    <t>Audity Biswas</t>
  </si>
  <si>
    <t>audity.biswas@g.bracu.ac.bd</t>
  </si>
  <si>
    <t>Arijit Barua Turza</t>
  </si>
  <si>
    <t>arijit.barua.turza@g.bracu.ac.bd</t>
  </si>
  <si>
    <t>Abdullah Sajid Nafi</t>
  </si>
  <si>
    <t>abdullah.sajid.nafi@g.bracu.ac.bd</t>
  </si>
  <si>
    <t>Nowshin Tabassum</t>
  </si>
  <si>
    <t>nowshin.tabassum1@g.bracu.ac.bd</t>
  </si>
  <si>
    <t>Md.Ahsan Habib Khan</t>
  </si>
  <si>
    <t>ahsan.habib.khan@g.bracu.ac.bd</t>
  </si>
  <si>
    <t>Arafat Hossain Ahad</t>
  </si>
  <si>
    <t>arafat.hossain.ahad@g.bracu.ac.bd</t>
  </si>
  <si>
    <t>Akidanoor  E Jannat</t>
  </si>
  <si>
    <t>akidanoor.e.jannat@g.bracu.ac.bd</t>
  </si>
  <si>
    <t>Tasmiah Abrar Farah</t>
  </si>
  <si>
    <t>tasmiah.abrar.farah@g.bracu.ac.bd</t>
  </si>
  <si>
    <t>Samira Jahan</t>
  </si>
  <si>
    <t>samira.jahan1@g.bracu.ac.bd</t>
  </si>
  <si>
    <t>Tasnin Tabassum Niha</t>
  </si>
  <si>
    <t>tasnin.tabassum.niha@g.bracu.ac.bd</t>
  </si>
  <si>
    <t>Tasnoba Rahman</t>
  </si>
  <si>
    <t>tasnoba.rahman.noba@g.bracu.ac.bd</t>
  </si>
  <si>
    <t>Tasfiqul Islam</t>
  </si>
  <si>
    <t>tasfiqul.islam.tarif@g.bracu.ac.bd</t>
  </si>
  <si>
    <t>Mehnaz Atika Bristi</t>
  </si>
  <si>
    <t>mehnaz.atika.bristi@g.bracu.ac.bd</t>
  </si>
  <si>
    <t>MD AFNAN TALUKDER</t>
  </si>
  <si>
    <t>md.afnan.talukder@g.bracu.ac.bd</t>
  </si>
  <si>
    <t>Naim Iftekhar Rahman</t>
  </si>
  <si>
    <t>naim.iftekhar.rahman@g.bracu.ac.bd</t>
  </si>
  <si>
    <t>Iftakhar Tausif Nur</t>
  </si>
  <si>
    <t>iftakhar.tausif.nur@g.bracu.ac.bd</t>
  </si>
  <si>
    <t>Ananna Hossain</t>
  </si>
  <si>
    <t>ananna.hossain2@g.bracu.ac.bd</t>
  </si>
  <si>
    <t>Nusrat Rahman</t>
  </si>
  <si>
    <t>nusrat.rahman1@g.bracu.ac.bd</t>
  </si>
  <si>
    <t>QUAZI SUMAIYA HOQUE</t>
  </si>
  <si>
    <t>quazi.sumaiya.hoque@g.bracu.ac.bd</t>
  </si>
  <si>
    <t>Maisha Haque Sneha</t>
  </si>
  <si>
    <t>maisha.haque.sneha@g.bracu.ac.bd</t>
  </si>
  <si>
    <t>Khandoker Tanjim Rahman</t>
  </si>
  <si>
    <t>khandoker.tanjim.rahman@g.bracu.ac.bd</t>
  </si>
  <si>
    <t>MD zayed</t>
  </si>
  <si>
    <t>md.zayed@g.bracu.ac.bd</t>
  </si>
  <si>
    <t>Junayed Ausaf</t>
  </si>
  <si>
    <t>junayed.ausaf@g.bracu.ac.bd</t>
  </si>
  <si>
    <t>Joy Kumer Tarafder</t>
  </si>
  <si>
    <t>joy.kumer.tarafder@g.bracu.ac.bd</t>
  </si>
  <si>
    <t>Md. Raik Islam</t>
  </si>
  <si>
    <t>md.raik.islam@g.bracu.ac.bd</t>
  </si>
  <si>
    <t>Nafis Muntasir</t>
  </si>
  <si>
    <t>nafis.muntasir@g.bracu.ac.bd</t>
  </si>
  <si>
    <t>SANJIDA HOSSAIN SEFA</t>
  </si>
  <si>
    <t>sanjida.hossain.sefa@g.bracu.ac.bd</t>
  </si>
  <si>
    <t>Nawshin Tabassum Obony</t>
  </si>
  <si>
    <t>nawshin.tabassum.obony@g.bracu.ac.bd</t>
  </si>
  <si>
    <t>Anika Rahman</t>
  </si>
  <si>
    <t>anika.rahman2@g.bracu.ac.bd</t>
  </si>
  <si>
    <t>Fouzia Fariha</t>
  </si>
  <si>
    <t>fouzia.fariha@g.bracu.ac.bd</t>
  </si>
  <si>
    <t>Afia Ayesha</t>
  </si>
  <si>
    <t>afia.ayesha@g.bracu.ac.bd</t>
  </si>
  <si>
    <t>Sayed Al Owalid</t>
  </si>
  <si>
    <t>sayed.al.owalid@g.bracu.ac.bd</t>
  </si>
  <si>
    <t>Sumaiya Tazreen Hai</t>
  </si>
  <si>
    <t>sumaiya.tazreen.hai@g.bracu.ac.bd</t>
  </si>
  <si>
    <t>Sazeed Mubin Islam</t>
  </si>
  <si>
    <t>sazeed.mubin.islam@g.bracu.ac.bd</t>
  </si>
  <si>
    <t>AQUIB ZAWAD ADIB</t>
  </si>
  <si>
    <t>aquib.zawad@g.bracu.ac.bd</t>
  </si>
  <si>
    <t>Abid Hasan</t>
  </si>
  <si>
    <t>abid.hasan1@g.bracu.ac.bd</t>
  </si>
  <si>
    <t>Ifaz Akbar</t>
  </si>
  <si>
    <t>Ifaz.akbar@g.bracu.ac.bd</t>
  </si>
  <si>
    <t>Mohammed Sayed Anwar</t>
  </si>
  <si>
    <t>Mohammed.sayed.anwar@g.bracu.ac.bd</t>
  </si>
  <si>
    <t>Ahmed Abu Bakar</t>
  </si>
  <si>
    <t>ahmed.abu.bakar@g.bracu.ac.bd</t>
  </si>
  <si>
    <t>PRIYAM BASU</t>
  </si>
  <si>
    <t>priyam.basu@g.bracu.ac.bd</t>
  </si>
  <si>
    <t>Negar Sultana Mim</t>
  </si>
  <si>
    <t>negar.sultana.mim@g.bracu.ac.bd</t>
  </si>
  <si>
    <t>Abdus Sami Rafi</t>
  </si>
  <si>
    <t>Event Management</t>
  </si>
  <si>
    <t>01968443111</t>
  </si>
  <si>
    <t>abdus.sami.rafi@g.bracu.ac.bd</t>
  </si>
  <si>
    <t>Nowrin Afrin</t>
  </si>
  <si>
    <t>01617611664</t>
  </si>
  <si>
    <t>nowrin.afrin@g.bracu.ac.bd</t>
  </si>
  <si>
    <t>Ifdita Hossain Chowdhury</t>
  </si>
  <si>
    <t>01834663588</t>
  </si>
  <si>
    <t>ifdita.hossain.chowdhury@g.bracu.ac.bd</t>
  </si>
  <si>
    <t>Muntasir Mubeen</t>
  </si>
  <si>
    <t>01558230318</t>
  </si>
  <si>
    <t>muntasir.mubeen@g.bracu.ac.bd</t>
  </si>
  <si>
    <t>Shafaitul Kabir Rudro</t>
  </si>
  <si>
    <t>01740499466</t>
  </si>
  <si>
    <t>shafaitul.kabir.rudro@g.bracu.ac.bd</t>
  </si>
  <si>
    <t>Tasnim Nida</t>
  </si>
  <si>
    <t>01797190682</t>
  </si>
  <si>
    <t>tasnim.nida@g.bracu.ac.bd</t>
  </si>
  <si>
    <t>Fahim al razy</t>
  </si>
  <si>
    <t>fahim.al.razy@g.bracu.ac.bd</t>
  </si>
  <si>
    <t>Md.Rahatul Islam Rahat</t>
  </si>
  <si>
    <t>rahatul.islam.rahat@g.bracu.ac.bd</t>
  </si>
  <si>
    <t>Tayeb Islam Tosif</t>
  </si>
  <si>
    <t>tayeb.islam.tosif@g.bracu.ac.bd</t>
  </si>
  <si>
    <t>Zuhaer Mahtab Alif</t>
  </si>
  <si>
    <t>zuhaer.mahtab.alif@g.bracu.ac.bd</t>
  </si>
  <si>
    <t>Fahim Faisal</t>
  </si>
  <si>
    <t>fahim.faisal5@g.bracu.ac.bd</t>
  </si>
  <si>
    <t>Hibrul Anam Prantik</t>
  </si>
  <si>
    <t>hibrul.anam.prantik@g.bracu.ac.bd</t>
  </si>
  <si>
    <t>Talal Rahat Dipto</t>
  </si>
  <si>
    <t>talal.rahat.dipto@g.bracu.ac.bd</t>
  </si>
  <si>
    <t>Rakat-E-Jannat Raka</t>
  </si>
  <si>
    <t>rakat.ejannat.raka@g.bracu.ac.bd</t>
  </si>
  <si>
    <t>Fabiha Muzahid</t>
  </si>
  <si>
    <t>fabiha.muzahid@g.bracu.ac.bd</t>
  </si>
  <si>
    <t>LAMIA RAHMAN</t>
  </si>
  <si>
    <t>lamia.rahman1@g.bracu.ac.bd</t>
  </si>
  <si>
    <t>Saad Noman Adeeb</t>
  </si>
  <si>
    <t>saad.noman.adeeb@g.bracu.ac.bd</t>
  </si>
  <si>
    <t>Rudian Ahmed</t>
  </si>
  <si>
    <t>rudian.ahmed@g.bracu.ac.bd</t>
  </si>
  <si>
    <t>Md. Nasimuzzaman Shakkhor</t>
  </si>
  <si>
    <t>md.nasimuzzaman.shakkhor@g.bracu.ac.bd</t>
  </si>
  <si>
    <t>Wahid Saifullah Fida</t>
  </si>
  <si>
    <t>wahid.saifullah.fida@g.bracu.ac.bd</t>
  </si>
  <si>
    <t>Rafiad Zaman Khan</t>
  </si>
  <si>
    <t>rafiad.zaman.khan@g.bracu.ac.bd</t>
  </si>
  <si>
    <t>Zinia Ahmed Toushy</t>
  </si>
  <si>
    <t>zinia.ahmed.toushy@g.bracu.ac.bd</t>
  </si>
  <si>
    <t>Mubassir Rahman</t>
  </si>
  <si>
    <t>mubassir.rahman@g.bracu.ac.bd</t>
  </si>
  <si>
    <t>Md.Tanvirul Islam Rifat</t>
  </si>
  <si>
    <t>tanvirul.islam.rifat@g.bracu.ac.bd</t>
  </si>
  <si>
    <t>Ishrat Jahan</t>
  </si>
  <si>
    <t>ishrat.jahan7@g.bracu.ac.bd</t>
  </si>
  <si>
    <t>Mehjabin Mostare Momo</t>
  </si>
  <si>
    <t>mehjabin.mostare.momo@g.bracu.ac.bd</t>
  </si>
  <si>
    <t>Khandoker Wahiduzzaman Anik</t>
  </si>
  <si>
    <t>khandoker.wahiduzzaman.anik@g.bracu.ac.bd</t>
  </si>
  <si>
    <t>Suchitra Barua</t>
  </si>
  <si>
    <t>suchitra.barua@g.bracu.ac.bd</t>
  </si>
  <si>
    <t>Tawsif Islam Chowdhury</t>
  </si>
  <si>
    <t>tawsif.islam.chowdhury@g.bracu.ac.bd</t>
  </si>
  <si>
    <t>Mahfuza Raihana</t>
  </si>
  <si>
    <t>mahfuza.raihana@g.bracu.ac.bd</t>
  </si>
  <si>
    <t>Sinthia Khandoker</t>
  </si>
  <si>
    <t>sinthia.khandoker@g.bracu.ac.bd</t>
  </si>
  <si>
    <t>Sadia Siddique</t>
  </si>
  <si>
    <t>sadia.siddique@g.bracu.ac.bd</t>
  </si>
  <si>
    <t>Rafid Raihan Shadman</t>
  </si>
  <si>
    <t>rafid.raihan.shadman@g.bracu.ac.bd</t>
  </si>
  <si>
    <t>Faiaz Abrar Zaman Pronoy</t>
  </si>
  <si>
    <t>faiaz.abrar.zaman@g.bracu.ac.bd</t>
  </si>
  <si>
    <t>Ahanaf Abid Sazid</t>
  </si>
  <si>
    <t>ahanaf.abid.sazid@g.bracu.ac.bd</t>
  </si>
  <si>
    <t>Jaky Ahmed Chowdhury</t>
  </si>
  <si>
    <t>jaky.ahmed.chowdhury@g.bracu.ac.bd</t>
  </si>
  <si>
    <t>Nabilah Hossain</t>
  </si>
  <si>
    <t>nabilah.hossain@g.bracu.ac.bd</t>
  </si>
  <si>
    <t>Muhammad Mostafa Habib Zawad</t>
  </si>
  <si>
    <t>mostafa.habib.zawad@g.bracu.ac.bd</t>
  </si>
  <si>
    <t>Rifat Hasan Nazim</t>
  </si>
  <si>
    <t>rifat.hasan.nazim@g.bracu.ac.bd</t>
  </si>
  <si>
    <t>Hossain Tasnim Rumki</t>
  </si>
  <si>
    <t>hossain.tasnim.rumki@g.bracu.ac.bd</t>
  </si>
  <si>
    <t>S.M Nafeu Al Sikder</t>
  </si>
  <si>
    <t>nafeu.al.sikder@g.bracu.ac.bd</t>
  </si>
  <si>
    <t>Rafia Nigar Noor</t>
  </si>
  <si>
    <t>rafia.nigar.noor@g.bracu.ac.bd</t>
  </si>
  <si>
    <t>Tanbir Ahmed</t>
  </si>
  <si>
    <t>tanbir.ahmed@g.bracu.ac.bd</t>
  </si>
  <si>
    <t>RIFA SANJIDA</t>
  </si>
  <si>
    <t>rifa.sanjida@g.bracu.ac.bd</t>
  </si>
  <si>
    <t>Faiza Islam</t>
  </si>
  <si>
    <t>faiza.islam@g.bracu.ac.bd</t>
  </si>
  <si>
    <t>Nuzhat Saadat</t>
  </si>
  <si>
    <t>nuzhat.saadat@g.bracu.ac.bd</t>
  </si>
  <si>
    <t>Nafisa Tahsin</t>
  </si>
  <si>
    <t>nafisa.tahsin1@g.bracu.ac.bd</t>
  </si>
  <si>
    <t>Ahana Roy</t>
  </si>
  <si>
    <t>ahana.roy@g.bracu.ac.bd</t>
  </si>
  <si>
    <t>Bushra Binte Nozir</t>
  </si>
  <si>
    <t>bushra.binte.nozir@g.bracu.ac.bd</t>
  </si>
  <si>
    <t>Abdullah Al Aosaf</t>
  </si>
  <si>
    <t>abdullah.al.aosaf@g.bracu.ac.bd</t>
  </si>
  <si>
    <t>Abdullah Al Sadi</t>
  </si>
  <si>
    <t>abdullah.al.sadi@g.bracu.ac.bd</t>
  </si>
  <si>
    <t>Fardin Zaman</t>
  </si>
  <si>
    <t>fardin.zaman1@g.bracu.ac.bd</t>
  </si>
  <si>
    <t>Md. Fazle Taseen Bhuiyan</t>
  </si>
  <si>
    <t>fazle.taseen.bhuiyan@g.bracu.ac.bd</t>
  </si>
  <si>
    <t>Nishad Islam Utso</t>
  </si>
  <si>
    <t>nishad.islam.utso@g.bracu.ac.bd</t>
  </si>
  <si>
    <t>Shams Tahmid</t>
  </si>
  <si>
    <t>shams.tahmid.malitha@g.bracu.ac.bd</t>
  </si>
  <si>
    <t>Dibbyajoti Chatterjee Kabbya</t>
  </si>
  <si>
    <t>dibbyajoti.chatterjee.kabbya@g.bracu.ac.bd</t>
  </si>
  <si>
    <t>Sadman Shabab</t>
  </si>
  <si>
    <t>sadman.shabab@g.bracu.ac.bd</t>
  </si>
  <si>
    <t>Suryatapa Sinha</t>
  </si>
  <si>
    <t>suryatapa.sinha@g.bracu.ac.bd</t>
  </si>
  <si>
    <t>Md Ataullah Biswas</t>
  </si>
  <si>
    <t>md.ataullah.biswas@g.bracu.ac.bd</t>
  </si>
  <si>
    <t>Sk Mehedi Hassan</t>
  </si>
  <si>
    <t>sk.mehedi.hassan@g.bracu.ac.bd</t>
  </si>
  <si>
    <t>Mirza Galib</t>
  </si>
  <si>
    <t>mirza.galib@g.bracu.ac.bd</t>
  </si>
  <si>
    <t>Ridhwanur Rahman Khan</t>
  </si>
  <si>
    <t>ridhwanur.rahman.khan@g.bracu.ac.bd</t>
  </si>
  <si>
    <t>Tahsin Ahmed</t>
  </si>
  <si>
    <t>tahsin.ahmed2@g.bracu.ac.bd</t>
  </si>
  <si>
    <t>Kaniz Fatema Kanta</t>
  </si>
  <si>
    <t>kaniz.fatema.kanta@g.bracu.ac.bd</t>
  </si>
  <si>
    <t>Md Rafiqul Islam</t>
  </si>
  <si>
    <t>md.rafiqul.islam2@g.bracu.ac.bd</t>
  </si>
  <si>
    <t>Salma Akter</t>
  </si>
  <si>
    <t>salma.akter@g.bracu.ac.bd</t>
  </si>
  <si>
    <t>Rabaya Farzana Sikder</t>
  </si>
  <si>
    <t>rabaya.farzana.sikder@g.bracu.ac.bd</t>
  </si>
  <si>
    <t>Md Sohan</t>
  </si>
  <si>
    <t>saad.bin.sohan@g.bracu.ac.bd</t>
  </si>
  <si>
    <t>Md. Salman Pasha</t>
  </si>
  <si>
    <t>md.salman.pasha@g.bracu.ac.bd</t>
  </si>
  <si>
    <t>Md. Rakibur Rahman Shovon</t>
  </si>
  <si>
    <t>rakibur.rahman.shovon@g.bracu.ac.bd</t>
  </si>
  <si>
    <t>Mohammad Omar Rusham</t>
  </si>
  <si>
    <t>mohammad.omar.rusham@g.bracu.ac.bd</t>
  </si>
  <si>
    <t>Mustafina Joarder</t>
  </si>
  <si>
    <t>mustafina.joarder@g.bracu.ac.bd</t>
  </si>
  <si>
    <t>Rifah Jahan Tamanna</t>
  </si>
  <si>
    <t>rifah.jahan.tamanna@g.bracu.ac.bd</t>
  </si>
  <si>
    <t>Nusrat Zahin Chowdhury</t>
  </si>
  <si>
    <t>nusrat.zahin.chowdhury@g.bracu.ac.bd</t>
  </si>
  <si>
    <t>Syed Maruf Kabir</t>
  </si>
  <si>
    <t>syed.maruf.kabir@g.bracu.ac.bd</t>
  </si>
  <si>
    <t>Siratim Mustakim</t>
  </si>
  <si>
    <t>siratim.mustakim@g.bracu.ac.bd</t>
  </si>
  <si>
    <t>Mohammad Shamin Ihsan</t>
  </si>
  <si>
    <t>mohammad.shamin.ihsan@g.bracu.ac.bd</t>
  </si>
  <si>
    <t>Nowshin Zahan</t>
  </si>
  <si>
    <t>nowshin.zahan@g.bracu.ac.bd</t>
  </si>
  <si>
    <t>Tanvir Ahmed Maruf</t>
  </si>
  <si>
    <t>tanvir.ahmed.maruf@g.bracu.ac.bd</t>
  </si>
  <si>
    <t>Ayesha Siddika</t>
  </si>
  <si>
    <t>ayesha.siddika4@g.bracu.ac.bd</t>
  </si>
  <si>
    <t>Md. Jubaid Hasan</t>
  </si>
  <si>
    <t>md.jubaid.hasan@g.bracu.ac.bd</t>
  </si>
  <si>
    <t>Labina Mehrin</t>
  </si>
  <si>
    <t>labina.mehrin@g.bracu.ac.bd</t>
  </si>
  <si>
    <t>Nazim Mahmud Zishan</t>
  </si>
  <si>
    <t>nazim.mahmud.zishan@g.bracu.ac.bd</t>
  </si>
  <si>
    <t>Mamduda Nahar Khanom</t>
  </si>
  <si>
    <t>mamduda.nahar.khanom@g.bracu.ac.bd</t>
  </si>
  <si>
    <t>Md.Borhan Uddin</t>
  </si>
  <si>
    <t>md.borhan.uddin@g.bracu.ac.bd</t>
  </si>
  <si>
    <t>Naimur Rahman Sifat</t>
  </si>
  <si>
    <t>naimur.rahman.sifat@g.bracu.ac.bd</t>
  </si>
  <si>
    <t>Nashid A Sikder Amio</t>
  </si>
  <si>
    <t>nashid.a.sikder@g.bracu.ac.bd</t>
  </si>
  <si>
    <t>Simanta Majumder</t>
  </si>
  <si>
    <t>simanta.majumdar@g.bracu.ac.bd</t>
  </si>
  <si>
    <t>Md Zarif Latif</t>
  </si>
  <si>
    <t>md.zarif.latif@g.bracu.ac.bd</t>
  </si>
  <si>
    <t>zunaid mahmood</t>
  </si>
  <si>
    <t>zunaid.mahmood@g.bracu.ac.bd</t>
  </si>
  <si>
    <t>Salma Jahan Shila</t>
  </si>
  <si>
    <t>salma.jahan.shila@g.bracu.ac.bd</t>
  </si>
  <si>
    <t>Fahim Alam</t>
  </si>
  <si>
    <t>fahim.alam@g.bracu.ac.bd</t>
  </si>
  <si>
    <t>Md. Asaduzzaman</t>
  </si>
  <si>
    <t>md.asaduzzaman1@g.bracu.ac.bd</t>
  </si>
  <si>
    <t>Kaniz Farhana oishi</t>
  </si>
  <si>
    <t>kaniz.farhana.oishi@g.bracu.ac.bd</t>
  </si>
  <si>
    <t>Tajrian Parvez Tuba</t>
  </si>
  <si>
    <t>tajrian.parvez.tuba@g.bracu.ac.bd</t>
  </si>
  <si>
    <t>Zannatul Fardaus</t>
  </si>
  <si>
    <t>zannatul.fardaus@g.bracu.ac.bd</t>
  </si>
  <si>
    <t>Irtiza Tasnimah</t>
  </si>
  <si>
    <t>irtiza.tasnimah@g.bracu.ac.bd</t>
  </si>
  <si>
    <t>Md. Atik Shahriar</t>
  </si>
  <si>
    <t>md.atik.shahriar@g.bracu.ac.bd</t>
  </si>
  <si>
    <t>Niloy Roy</t>
  </si>
  <si>
    <t>niloy.roy@g.bracu.ac.bd</t>
  </si>
  <si>
    <t>Sadiatul Jannat</t>
  </si>
  <si>
    <t>sadiatul.jannat@g.bracu.ac.bd</t>
  </si>
  <si>
    <t>Kazi Jubaer Faruk</t>
  </si>
  <si>
    <t>kazi.jubaer.faruk@g.bracu.ac.bd</t>
  </si>
  <si>
    <t>MD.ASHFAQUZZAMAN</t>
  </si>
  <si>
    <t>md.ashfaquzzaman@g.bracu.ac.bd</t>
  </si>
  <si>
    <t>Md. Abid Rahman</t>
  </si>
  <si>
    <t>md.abid.rahman@g.bracu.ac.bd</t>
  </si>
  <si>
    <t>Nigella Binte Khair</t>
  </si>
  <si>
    <t>nigella.binte.khair@g.bracu.ac.bd</t>
  </si>
  <si>
    <t>Md. Farhan Shahriar</t>
  </si>
  <si>
    <t>md.farhan.shahriar@g.bracu.ac.bd</t>
  </si>
  <si>
    <t>Ananda Raj Bhowmik Aditya</t>
  </si>
  <si>
    <t>anandaraj.bhowmik.aditya@g.bracu.ac.bd</t>
  </si>
  <si>
    <t>Arnob Banik</t>
  </si>
  <si>
    <t>arnob.banik@g.bracu.ac.bd</t>
  </si>
  <si>
    <t>Fabiha Nower</t>
  </si>
  <si>
    <t>fabiha.nower@g.bracu.ac.bd</t>
  </si>
  <si>
    <t>Muktadin Ahmed Bhuiyan</t>
  </si>
  <si>
    <t>muktadin.ahmed.bhuiyan@g.bracu.ac.bd</t>
  </si>
  <si>
    <t>Anika Nawar Anannya</t>
  </si>
  <si>
    <t>anika.nawar.anannya@g.bracu.ac.bd</t>
  </si>
  <si>
    <t>Meherub Mahmud Shahed</t>
  </si>
  <si>
    <t>meherub.mahmud.shahed@g.bracu.ac.bd</t>
  </si>
  <si>
    <t>Mahadi Araf Siddike</t>
  </si>
  <si>
    <t>mahadi.araf.siddike@g.bracu.ac.bd</t>
  </si>
  <si>
    <t>Debashish Das</t>
  </si>
  <si>
    <t>debashish.das@g.bracu.ac.bd</t>
  </si>
  <si>
    <t>Quazi Mufrad Mahid</t>
  </si>
  <si>
    <t>quazi.mufrad.mahid@g.bracu.ac.bd</t>
  </si>
  <si>
    <t>Md.Abdullah Bin Islam</t>
  </si>
  <si>
    <t>abdullah.bin.islam@g.bracu.ac.bd</t>
  </si>
  <si>
    <t>Aorko Shikder</t>
  </si>
  <si>
    <t>aorko.shikder@g.bracu.ac.bd</t>
  </si>
  <si>
    <t>Ahmad Azwad Raeed</t>
  </si>
  <si>
    <t>ahmad.azwad.raeed@g.bracu.ac.bd</t>
  </si>
  <si>
    <t>Prachurzo Ray</t>
  </si>
  <si>
    <t>prachurzo.ray@g.bracu.ac.bd</t>
  </si>
  <si>
    <t>Fahmida Haque Tropa</t>
  </si>
  <si>
    <t>fahmida.haque.tropa@g.bracu.ac.bd</t>
  </si>
  <si>
    <t>Ds Paul</t>
  </si>
  <si>
    <t>dibyojyuti.paul.srijan@g.bracu.ac.bd</t>
  </si>
  <si>
    <t>Naurose Farhan Mostafa</t>
  </si>
  <si>
    <t>naurose.farhan.mostafa@g.bracu.ac.bd</t>
  </si>
  <si>
    <t>Md. Sajid Hossain</t>
  </si>
  <si>
    <t>md.sajid.hossain1@g.bracu.ac.bd</t>
  </si>
  <si>
    <t>Fauzia Abida Raida</t>
  </si>
  <si>
    <t>fauzia.abida.raida@g.bracu.ac.bd</t>
  </si>
  <si>
    <t>Shamsul Huda Md. Ishmamul Hye</t>
  </si>
  <si>
    <t>shamsulhuda.md.ishmam@g.bracu.ac.bd</t>
  </si>
  <si>
    <t>Abrar Alek Hossain</t>
  </si>
  <si>
    <t>abrar.alek.hossain@g.bracu.ac.bd</t>
  </si>
  <si>
    <t>Nafees Sadat Sayeem</t>
  </si>
  <si>
    <t>nafees.sadat.sayeem@g.bracu.ac.bd</t>
  </si>
  <si>
    <t>Zafra Musarrat Islam</t>
  </si>
  <si>
    <t>zafra.musarrat.islam@g.bracu.ac.bd</t>
  </si>
  <si>
    <t>Yeamin Alam</t>
  </si>
  <si>
    <t>yeamin.alam@g.bracu.ac.bd</t>
  </si>
  <si>
    <t>Sayeduz Zaman</t>
  </si>
  <si>
    <t>sayeduz.zaman@g.bracu.ac.bd</t>
  </si>
  <si>
    <t>Humaira Tanha</t>
  </si>
  <si>
    <t>humaira.tanha@g.bracu.ac.bd</t>
  </si>
  <si>
    <t>Ittehad Ahmed Tausif</t>
  </si>
  <si>
    <t>ittehad.ahmed.tausif@g.bracu.ac.bd</t>
  </si>
  <si>
    <t>Umme Habiba Ishme</t>
  </si>
  <si>
    <t>umme.habiba.ishme@g.bracu.ac.bd</t>
  </si>
  <si>
    <t>Aishik Saurav</t>
  </si>
  <si>
    <t>aishik.saurav@g.bracu.ac.bd</t>
  </si>
  <si>
    <t>Tawhid Hasan</t>
  </si>
  <si>
    <t>tawhid.hasan@g.bracu.ac.bd</t>
  </si>
  <si>
    <t>Tanvir Islam</t>
  </si>
  <si>
    <t>tanvir.islam5@g.bracu.ac.bd</t>
  </si>
  <si>
    <t>Md. Mursalin Biswas Shishir</t>
  </si>
  <si>
    <t>mursalin.biswas.shishir@g.bracu.ac.bd</t>
  </si>
  <si>
    <t>Jawadul Arham</t>
  </si>
  <si>
    <t>jawadul.arham@g.bracu.ac.bd</t>
  </si>
  <si>
    <t>Shaikh Tajwar Xion</t>
  </si>
  <si>
    <t>shaikh.tajwar.xion@g.bracu.ac.bd</t>
  </si>
  <si>
    <t>Tawsiyat Chowdhury Mahin</t>
  </si>
  <si>
    <t>tawsiyat.chowdhury.mahin@g.bracu.ac.bd</t>
  </si>
  <si>
    <t>Ishraq Ahmed</t>
  </si>
  <si>
    <t>ishraq.ahmed1@g.bracu.ac.bd</t>
  </si>
  <si>
    <t>Sumaiya Islam Aritra</t>
  </si>
  <si>
    <t>sumaiya.islam.aritra@g.bracu.ac.bd</t>
  </si>
  <si>
    <t>Mahir Al Muntaqim</t>
  </si>
  <si>
    <t>mahir.al.muntaqim@g.bracu.ac.bd</t>
  </si>
  <si>
    <t>Rakib Shahriar</t>
  </si>
  <si>
    <t>rakib.shahriar@g.bracu.ac.bd</t>
  </si>
  <si>
    <t>Abdullah Al Faisal</t>
  </si>
  <si>
    <t>abdullah.al.faisal1@g.bracu.ac.bd</t>
  </si>
  <si>
    <t>Tasnia Rahman</t>
  </si>
  <si>
    <t>tasnia.rahman3@g.bracu.ac.bd</t>
  </si>
  <si>
    <t>Tanvir Ishtiaq</t>
  </si>
  <si>
    <t>tanvir.ishtiaq@g.bracu.ac.bd</t>
  </si>
  <si>
    <t>Antar Nath</t>
  </si>
  <si>
    <t>antar.nath@g.bracu.ac.bd</t>
  </si>
  <si>
    <t>Shahjahan Hossain Sakib</t>
  </si>
  <si>
    <t>shahjahan.hossain.sakib@g.bracu.ac.bd</t>
  </si>
  <si>
    <t>Haniah Mokhtar</t>
  </si>
  <si>
    <t>haniah.mokhtar@g.bracu.ac.bd</t>
  </si>
  <si>
    <t>Salman Farsi</t>
  </si>
  <si>
    <t>salman.farsi@g.bracu.ac.bd</t>
  </si>
  <si>
    <t>Ohidul Hossain</t>
  </si>
  <si>
    <t>ohidul.hossain@g.bracu.ac.bd</t>
  </si>
  <si>
    <t>K S Sazid Abesh</t>
  </si>
  <si>
    <t>ks.sazid.abesh@g.bracu.ac.bd</t>
  </si>
  <si>
    <t>Aurora Bintay Mostafa</t>
  </si>
  <si>
    <t>Aurora.Bintay.mostafa@g.bracu.ac.bd</t>
  </si>
  <si>
    <t>Israt Hossain</t>
  </si>
  <si>
    <t>israt.hossain@g.bracu.ac.bd</t>
  </si>
  <si>
    <t>Maliha Binte Shamim</t>
  </si>
  <si>
    <t>maliha.binte.shamim@g.bracu.ac.bd</t>
  </si>
  <si>
    <t>Sifatul Karim</t>
  </si>
  <si>
    <t>sifatul.karim@g.bracu.ac.bd</t>
  </si>
  <si>
    <t>Sadia Naima Nawar</t>
  </si>
  <si>
    <t>sadia.naima.nawar@g.bracu.ac.bd</t>
  </si>
  <si>
    <t>Md. Junain Muntasir</t>
  </si>
  <si>
    <t>md.junain.muntasir@g.bracu.ac.bd</t>
  </si>
  <si>
    <t>Jubair Al Baky</t>
  </si>
  <si>
    <t>jubair.al.baky@g.bracu.ac.bd</t>
  </si>
  <si>
    <t>Toasin Ahmed</t>
  </si>
  <si>
    <t>toasin.ahmed@g.bracu.ac.bd</t>
  </si>
  <si>
    <t>Md.Samin Awsaf Rahman</t>
  </si>
  <si>
    <t>samin.awsaf.rahman@g.bracu.ac.bd</t>
  </si>
  <si>
    <t>H.M Muid</t>
  </si>
  <si>
    <t>hm.muid@g.bracu.ac.bd</t>
  </si>
  <si>
    <t>Arafat Islam Siam</t>
  </si>
  <si>
    <t>arafat.islam.siam@g.bracu.ac.bd</t>
  </si>
  <si>
    <t>Md. Sakib Hossain</t>
  </si>
  <si>
    <t>md.sakib.hossain2@g.bracu.ac.bd</t>
  </si>
  <si>
    <t>Shouvik Banik</t>
  </si>
  <si>
    <t>shouvik.banik@g.bracu.ac.bd</t>
  </si>
  <si>
    <t>Asif Mahmud Bin Goni</t>
  </si>
  <si>
    <t>asifmahmud.bin.goni@g.bracu.ac.bd</t>
  </si>
  <si>
    <t>Omar Faruk</t>
  </si>
  <si>
    <t>omar.faruk2@g.bracu.ac.bd</t>
  </si>
  <si>
    <t>Miesha Tasmiah Raya</t>
  </si>
  <si>
    <t>miesha.tasmiah.raya@g.bracu.ac.bd</t>
  </si>
  <si>
    <t>Md.Asif Ahemed</t>
  </si>
  <si>
    <t>md.asif.ahemed@g.bracu.ac.bd</t>
  </si>
  <si>
    <t>Nusrat Jahan Choity</t>
  </si>
  <si>
    <t>nusrat.jahan.choity@g.bracu.ac.bd</t>
  </si>
  <si>
    <t>Tanzim Alam Nova</t>
  </si>
  <si>
    <t>tanzim.alam.nova@g.bracu.ac.bd</t>
  </si>
  <si>
    <t>Saif Karim</t>
  </si>
  <si>
    <t>saif.karim@g.bracu.ac.bd</t>
  </si>
  <si>
    <t>Mahdi Ashraf</t>
  </si>
  <si>
    <t>mahdi.ashraf@g.bracu.ac.bd</t>
  </si>
  <si>
    <t>Mujahidul Haque Jihad</t>
  </si>
  <si>
    <t>mujahidul.haque.jihad@g.bracu.ac.bd</t>
  </si>
  <si>
    <t>Umme Humayra</t>
  </si>
  <si>
    <t>umme.humayra@g.bracu.ac.bd</t>
  </si>
  <si>
    <t>Moin Ahammed</t>
  </si>
  <si>
    <t>moin.ahammed@g.bracu.ac.bd</t>
  </si>
  <si>
    <t>Shuvashis Basak</t>
  </si>
  <si>
    <t>shuvashis.basak@g.bracu.ac.bd</t>
  </si>
  <si>
    <t>Abu Sayed Md. Saad</t>
  </si>
  <si>
    <t>abusayed.md.saad@g.bracu.ac.bd</t>
  </si>
  <si>
    <t>M. M. Nasim Osmani Shourov</t>
  </si>
  <si>
    <t>nasim.osmani.shourov@g.bracu.ac.bd</t>
  </si>
  <si>
    <t>Rashed Ul Islam</t>
  </si>
  <si>
    <t>rashed.ul.islam@g.bracu.ac.bd</t>
  </si>
  <si>
    <t>Afsana Akter</t>
  </si>
  <si>
    <t>afsana.akter2@g.bracu.ac.bd</t>
  </si>
  <si>
    <t>Dipta Mazumder</t>
  </si>
  <si>
    <t>dipta.mazumder@g.bracu.ac.bd</t>
  </si>
  <si>
    <t>Shafin Mashrafe</t>
  </si>
  <si>
    <t>shafin.mashrafe@g.bracu.ac.bd</t>
  </si>
  <si>
    <t>Raiana Ferdous Disha</t>
  </si>
  <si>
    <t>raiana.ferdous.disha@g.bracu.ac.bd</t>
  </si>
  <si>
    <t>Md. Shahariar Shopnil</t>
  </si>
  <si>
    <t>md.shahariar.shopnil@g.bracu.ac.bd</t>
  </si>
  <si>
    <t>Abdullah Al Zubayer</t>
  </si>
  <si>
    <t>abdullah.al.zubayer@g.bracu.ac.bd</t>
  </si>
  <si>
    <t>Amira Tanjum Chowdhury</t>
  </si>
  <si>
    <t>amira.tanjum.chowdhury@g.bracu.ac.bd</t>
  </si>
  <si>
    <t>Owara Binte Mamun</t>
  </si>
  <si>
    <t>owara.binte.mamun@g.bracu.ac.bd</t>
  </si>
  <si>
    <t>Sabah Anjim Farabi</t>
  </si>
  <si>
    <t>sabah.anjim.farabi@g.bracu.ac.bd</t>
  </si>
  <si>
    <t>Mehrab Arefin</t>
  </si>
  <si>
    <t>mehrab.arefin@g.bracu.ac.bd</t>
  </si>
  <si>
    <t>Md Shahriar Islam Rafi</t>
  </si>
  <si>
    <t>shahriar.islam.rafi@g.bracu.ac.bd</t>
  </si>
  <si>
    <t>Dhrubo Hazra</t>
  </si>
  <si>
    <t>dhrubo.hazra@g.bracu.ac.bd</t>
  </si>
  <si>
    <t>Raiyan Sarker</t>
  </si>
  <si>
    <t>mohammad.raiyan.sarker@g.bracu.ac.bd</t>
  </si>
  <si>
    <t>Shams Rubaiat Shammo</t>
  </si>
  <si>
    <t>shams.rubaiat.shammo@g.bracu.ac.bd</t>
  </si>
  <si>
    <t>Kaiser Fahim</t>
  </si>
  <si>
    <t>kaiser.fahim@g.bracu.ac.bd</t>
  </si>
  <si>
    <t>Md.Robiul.Hassan@G.Bracu.Ac.Bd</t>
  </si>
  <si>
    <t>md.robiul.hassan@g.bracu.ac.bd</t>
  </si>
  <si>
    <t>Md.Shohiduzzaman Biswas</t>
  </si>
  <si>
    <t>md.shohiduzzaman.biswas@g.bracu.ac.bd</t>
  </si>
  <si>
    <t>Md. Nazmul Khandoker</t>
  </si>
  <si>
    <t>md.nazmul.khandoker@g.bracu.ac.bd</t>
  </si>
  <si>
    <t>Md. Kamrul Islam Niloy</t>
  </si>
  <si>
    <t>md.kamrul.islam1@g.bracu.ac.bd</t>
  </si>
  <si>
    <t>Shaikhul Islam Sinat</t>
  </si>
  <si>
    <t>shaikhul.islam.sinat@g.bracu.ac.bd</t>
  </si>
  <si>
    <t>Sharadia Dev Mim</t>
  </si>
  <si>
    <t>sharadia.dev.mim@g.bracu.ac.bd</t>
  </si>
  <si>
    <t>Armeen Ahmed Amin</t>
  </si>
  <si>
    <t>armeen.ahmed.amin@g.bracu.ac.bd</t>
  </si>
  <si>
    <t>Atahar Shihab</t>
  </si>
  <si>
    <t>atahar.shihab@g.bracu.ac.bd</t>
  </si>
  <si>
    <t>Md. Sanaullah Efti</t>
  </si>
  <si>
    <t>md.sanaullah.efti@g.bracu.ac.bd</t>
  </si>
  <si>
    <t>Md. Obaidullah Ahrar</t>
  </si>
  <si>
    <t>md.obaidullah.ahrar@g.bracu.ac.bd</t>
  </si>
  <si>
    <t>Md.Muztaba Rafid</t>
  </si>
  <si>
    <t>md.muztaba.rafid@g.bracu.ac.bd</t>
  </si>
  <si>
    <t>Sajid Muhammod</t>
  </si>
  <si>
    <t>Sajid.muhammod@g.bracu.ac.bd</t>
  </si>
  <si>
    <t>Ahmed Abdus Sayem</t>
  </si>
  <si>
    <t>ahamed.abdus.sayem@g.bracu.ac.bd</t>
  </si>
  <si>
    <t>Hridoy Islam</t>
  </si>
  <si>
    <t>hridoy.islam@g.bracu.ac.bd</t>
  </si>
  <si>
    <t>Mustavi Hassan</t>
  </si>
  <si>
    <t>mustavi.hassan@g.bracu.ac.bd</t>
  </si>
  <si>
    <t>Md. Sameer Sakib</t>
  </si>
  <si>
    <t>md.sameer.sakib@g.bracu.ac.bd</t>
  </si>
  <si>
    <t>Zonaed Ahmed</t>
  </si>
  <si>
    <t>zonaed.ahmed@g.bracu.ac.bd</t>
  </si>
  <si>
    <t>Razin Sufian</t>
  </si>
  <si>
    <t>razin.sufian@g.bracu.ac.bd</t>
  </si>
  <si>
    <t>Shami Islam Khan</t>
  </si>
  <si>
    <t>shami.islam.khan@g.bracu.ac.bd</t>
  </si>
  <si>
    <t>Md Imdadul Islam</t>
  </si>
  <si>
    <t>md.imdadul.islam@g.bracu.ac.bd</t>
  </si>
  <si>
    <t>Raisul Islam</t>
  </si>
  <si>
    <t>raisul.islam.mahi@g.bracu.ac.bd</t>
  </si>
  <si>
    <t>Tapu Mohammad Fahad</t>
  </si>
  <si>
    <t>tapu.mohammad.fahad@g.bracu.ac.bd</t>
  </si>
  <si>
    <t>Abu Huzaifa</t>
  </si>
  <si>
    <t>abu.huzaifa@g.bracu.ac.bd</t>
  </si>
  <si>
    <t>Istiak Al Imran</t>
  </si>
  <si>
    <t>istiak.al.imran@g.bracu.ac.bd</t>
  </si>
  <si>
    <t>Fariya Nahar</t>
  </si>
  <si>
    <t>fariya.nahar.riya@g.bracu.ac.bd</t>
  </si>
  <si>
    <t>Nafesa Tanzeem Mrettika</t>
  </si>
  <si>
    <t>nafesa.tanzem.mrettika@g.bracu.ac.bd</t>
  </si>
  <si>
    <t>Humayera Tabassum Tunan</t>
  </si>
  <si>
    <t>humayera.tabassum.tunan@g.bracu.ac.bd</t>
  </si>
  <si>
    <t>Miad Ahmed</t>
  </si>
  <si>
    <t>miad.ahmed@g.bracu.ac.bd</t>
  </si>
  <si>
    <t>Hazrat Mishkat</t>
  </si>
  <si>
    <t>hazrat.mishkat@g.bracu.ac.bd</t>
  </si>
  <si>
    <t>Mhutasim Bellah Mahir</t>
  </si>
  <si>
    <t>mhutasim.bellah.mahir@g.bracu.ac.bd</t>
  </si>
  <si>
    <t>Md Tanvir Siam</t>
  </si>
  <si>
    <t>md.tanvir.siam@g.bracu.ac.bd</t>
  </si>
  <si>
    <t>Sayed Arifin Ahmed Alak</t>
  </si>
  <si>
    <t>arifin.ahmed.alak@g.bracu.ac.bd</t>
  </si>
  <si>
    <t>Md.Imran Ali</t>
  </si>
  <si>
    <t>md.imran.ali@g.bracu.ac.bd</t>
  </si>
  <si>
    <t>Mirza Julkawsar</t>
  </si>
  <si>
    <t>mirzajul.kawsar@g.bracu.ac.bd</t>
  </si>
  <si>
    <t>Farhan Mahmud</t>
  </si>
  <si>
    <t>farhan.mahmud@g.bracu.ac.bd</t>
  </si>
  <si>
    <t>Md Shahriar Saif</t>
  </si>
  <si>
    <t>md.shahriar.saif@g.bracu.ac.bd</t>
  </si>
  <si>
    <t>Al Mumit Siddiqui</t>
  </si>
  <si>
    <t>al.mumit.siddiqui@g.bracu.ac.bd</t>
  </si>
  <si>
    <t>Md. Adnan Hossain Sadi</t>
  </si>
  <si>
    <t>adnan.hossain.sadi@g.bracu.ac.bd</t>
  </si>
  <si>
    <t>Mushfiq Muhim Borshon</t>
  </si>
  <si>
    <t>mushfique.muhim.borshon@g.bracu.ac.bd</t>
  </si>
  <si>
    <t>Md. Shafiul Basher</t>
  </si>
  <si>
    <t>md.shafiul.basher@g.bracu.ac.bd</t>
  </si>
  <si>
    <t>Sadman Sakib Abir</t>
  </si>
  <si>
    <t>sadman.sakib.abir@g.bracu.ac.bd</t>
  </si>
  <si>
    <t>Nahian Mahmud</t>
  </si>
  <si>
    <t>nahian.mahmud@g.bracu.ac.bd</t>
  </si>
  <si>
    <t>Tasnia Ahmed Chowdhury</t>
  </si>
  <si>
    <t>tasnia.ahmed.chowdhury@g.bracu.ac.bd</t>
  </si>
  <si>
    <t>Avrow Jothi Bose</t>
  </si>
  <si>
    <t>avrow.jothi.bose@g.bracu.ac.bd</t>
  </si>
  <si>
    <t>Nusrat Jahan Barsha</t>
  </si>
  <si>
    <t>nusrat.jahan.barsha@g.bracu.ac.bd</t>
  </si>
  <si>
    <t>Mamun Ahmmed</t>
  </si>
  <si>
    <t>mamun.ahmmed@g.bracu.ac.bd</t>
  </si>
  <si>
    <t>Sheikh Waliur Rahman</t>
  </si>
  <si>
    <t>sheikh.waliur.rahman@g.bracu.ac.bd</t>
  </si>
  <si>
    <t>Lamia Rouf</t>
  </si>
  <si>
    <t>lamia.rouf@g.bracu.ac.bd</t>
  </si>
  <si>
    <t>Ashikur Rahman</t>
  </si>
  <si>
    <t>ashikur.rahman5@g.bracu.ac.bd</t>
  </si>
  <si>
    <t>Abdullah Al Anas Himel</t>
  </si>
  <si>
    <t>abdullah.alanas.himel@g.bracu.ac.bd</t>
  </si>
  <si>
    <t>Md. Musfiqur Rahman Sohan</t>
  </si>
  <si>
    <t>musfiqur.rahman.sohan@g.bracu.ac.bd</t>
  </si>
  <si>
    <t>Nawaz Uddin Tamim</t>
  </si>
  <si>
    <t>nawaz.uddin.tamim@g.bracu.ac.bd</t>
  </si>
  <si>
    <t>Rafi Ahamed</t>
  </si>
  <si>
    <t>rafi.ahamed1@g.bracu.ac.bd</t>
  </si>
  <si>
    <t>Umme Hani Mir Upoma</t>
  </si>
  <si>
    <t>ummehani.mir.upoma@g.bracu.ac.bd</t>
  </si>
  <si>
    <t>Imteshar Ahmed</t>
  </si>
  <si>
    <t>imteshar.ahmed@g.bracu.ac.bd</t>
  </si>
  <si>
    <t>Maymuna Fairuj Bushra</t>
  </si>
  <si>
    <t>maymuna.fairuj.bushra@g.bracu.ac.bd</t>
  </si>
  <si>
    <t>Shoaib Ahamed</t>
  </si>
  <si>
    <t>shoaib.ahamed@g.bracu.ac.bd</t>
  </si>
  <si>
    <t>Tohidur Rahman Mujahid</t>
  </si>
  <si>
    <t>tohidur.rahman.mujahid@g.bracu.ac.bd</t>
  </si>
  <si>
    <t>Sadib Jaman</t>
  </si>
  <si>
    <t>sadib.jaman@g.bracu.ac.bd</t>
  </si>
  <si>
    <t>Sheikh Ismid Jobayer Kibria</t>
  </si>
  <si>
    <t>Ismid.jobayer.kibria@g.bracu.ac.bd</t>
  </si>
  <si>
    <t>Ahnaf Shafique</t>
  </si>
  <si>
    <t>ahnaf.shafique@g.bracu.ac.bd</t>
  </si>
  <si>
    <t>Syed Hasibur Rahman Shafin</t>
  </si>
  <si>
    <t>hasibur.rahman.shafin@g.bracu.ac.bd</t>
  </si>
  <si>
    <t>Afifa Ahmed</t>
  </si>
  <si>
    <t>afifa.ahmed@g.bracu.ac.bd</t>
  </si>
  <si>
    <t>Injamamul Haque Fahim</t>
  </si>
  <si>
    <t>injamamul.haque.fahim@g.bracu.ac.bd</t>
  </si>
  <si>
    <t>Jamil Shahriar Anto</t>
  </si>
  <si>
    <t>jamil.shahriar.anto@g.bracu.ac.bd</t>
  </si>
  <si>
    <t>Sahana Parvin Nupur</t>
  </si>
  <si>
    <t>sahana.parvin.nupur@g.bracu.ac.bd</t>
  </si>
  <si>
    <t>Mahtab Uddin Khan</t>
  </si>
  <si>
    <t>mahtab.uddin.khan@g.bracu.ac.bd</t>
  </si>
  <si>
    <t>Humaira Binte Moshiur</t>
  </si>
  <si>
    <t>humaira.binte.moshiur@g.bracu.ac.bd</t>
  </si>
  <si>
    <t>Raihan Khaled</t>
  </si>
  <si>
    <t>sm.raihan.khaled@g.bracu.ac.bd</t>
  </si>
  <si>
    <t>Hironmoy Roy Rudra</t>
  </si>
  <si>
    <t>hironmoy.roy.rudra@g.bracu.ac.bd</t>
  </si>
  <si>
    <t>Tanjum Khondoker</t>
  </si>
  <si>
    <t>tanjum.khondoker@g.bracu.ac.bd</t>
  </si>
  <si>
    <t>Md.Shourove Shahriar</t>
  </si>
  <si>
    <t>md.shourove.shahriar@g.bracu.ac.bd</t>
  </si>
  <si>
    <t>Nihad Hasan Niloy</t>
  </si>
  <si>
    <t>nihad.hasan.niloy@g.bracu.ac.bd</t>
  </si>
  <si>
    <t>Bushra Mehreen</t>
  </si>
  <si>
    <t>bushra.mehreen@g.bracu.ac.bd</t>
  </si>
  <si>
    <t>Raiyan Khan</t>
  </si>
  <si>
    <t>raiyan.khan@g.bracu.ac.bd</t>
  </si>
  <si>
    <t>Samia Rahman</t>
  </si>
  <si>
    <t>samia.rahman6@g.bracu.ac.bd</t>
  </si>
  <si>
    <t>Moinuddin Tasin</t>
  </si>
  <si>
    <t>akm.moinuddin.tasin@g.bracu.ac.bd</t>
  </si>
  <si>
    <t>Showkat Zaman Abir</t>
  </si>
  <si>
    <t>showkat.zaman.abir@g.bracu.ac.bd</t>
  </si>
  <si>
    <t>Danial Readoan Rayed</t>
  </si>
  <si>
    <t>danial.readoan.rayed@g.bracu.ac.bd</t>
  </si>
  <si>
    <t>Kazi Mohammad Saifullah</t>
  </si>
  <si>
    <t>kazi.mohammad.saifullah@g.bracu.ac.bd</t>
  </si>
  <si>
    <t>Ahnaf Fahmid Iqbal</t>
  </si>
  <si>
    <t>ahnaf.fahmid.iqbal@g.bracu.ac.bd</t>
  </si>
  <si>
    <t>Nazah S. Anis</t>
  </si>
  <si>
    <t>nazah.s.anis@g.bracu.ac.bd</t>
  </si>
  <si>
    <t>Shafiul Zahid Saim</t>
  </si>
  <si>
    <t>shafiul.zahid.saim@g.bracu.ac.bd</t>
  </si>
  <si>
    <t>Md.Abid Hasan Apurbo</t>
  </si>
  <si>
    <t>abid.hasan.apurbo@g.bracu.ac.bd</t>
  </si>
  <si>
    <t>Mushfiqur Rahman Manob</t>
  </si>
  <si>
    <t>mushfiqur.rahman.manob@g.bracu.ac.bd</t>
  </si>
  <si>
    <t>Maliha Tabassum Bint Asad</t>
  </si>
  <si>
    <t>malihatabassum.bint.asad@g.bracu.ac.bd</t>
  </si>
  <si>
    <t>Md.Ridowanul Alam</t>
  </si>
  <si>
    <t>md.ridowanul.alam@g.bracu.ac.bd</t>
  </si>
  <si>
    <t>Maherul Hasan Sabbir</t>
  </si>
  <si>
    <t>maherul.hasan.sabbir@g.bracu.ac.bd</t>
  </si>
  <si>
    <t>Md. Mehedi Hasan Sohag</t>
  </si>
  <si>
    <t>mehedi.hasan.sohag@g.bracu.ac.bd</t>
  </si>
  <si>
    <t>Fardin Jahan Badhon</t>
  </si>
  <si>
    <t>fardin.jahan.badhon@g.bracu.ac.bd</t>
  </si>
  <si>
    <t>Afaf Binta Shamsuddin</t>
  </si>
  <si>
    <t>afaf.binta.shamsuddin@g.bracu.ac.bd</t>
  </si>
  <si>
    <t>Md Mahmudul Islam Moyen</t>
  </si>
  <si>
    <t>mahmudul.islam.moyen@g.bracu.ac.bd</t>
  </si>
  <si>
    <t>Noshin Tabassom Nabila</t>
  </si>
  <si>
    <t>noshin.tabassom.nabila@g.bracu.ac.bd</t>
  </si>
  <si>
    <t>Alvee Israque</t>
  </si>
  <si>
    <t>alvee.ishraque@g.bracu.ac.bd</t>
  </si>
  <si>
    <t>Naimul Hasan</t>
  </si>
  <si>
    <t>naimul.hasan@g.bracu.ac.bd</t>
  </si>
  <si>
    <t>Md. Jobayer Hasan</t>
  </si>
  <si>
    <t>md.jobayer.hasan@g.bracu.ac.bd</t>
  </si>
  <si>
    <t>Shihab Ahmed</t>
  </si>
  <si>
    <t>shihab.ahmed@g.bracu.ac.bd</t>
  </si>
  <si>
    <t>Niaz Morshed</t>
  </si>
  <si>
    <t>niaz.morshed1@g.bracu.ac.bd</t>
  </si>
  <si>
    <t>Fahmida Jarin</t>
  </si>
  <si>
    <t>fahmida.jarin@g.bracu.ac.bd</t>
  </si>
  <si>
    <t>Md Abdur Rob</t>
  </si>
  <si>
    <t>md.abdur.rob@g.bracu.ac.bd</t>
  </si>
  <si>
    <t>Jarin Islam</t>
  </si>
  <si>
    <t>jarin.islam@g.bracu.ac.bd</t>
  </si>
  <si>
    <t>Kawser Alam Noman</t>
  </si>
  <si>
    <t>kawser.alam.noman@g.bracu.ac.bd</t>
  </si>
  <si>
    <t>Anthonio Alex D Costa</t>
  </si>
  <si>
    <t>anthonio.alex.d.costa@g.bracu.ac.bd</t>
  </si>
  <si>
    <t>Md. Muhtadi Muizur Rahman</t>
  </si>
  <si>
    <t>muhtadi.muizur.rahman@g.bracu.ac.bd</t>
  </si>
  <si>
    <t>Md. Anwar Hossain</t>
  </si>
  <si>
    <t>md.anwar.hossain1@g.bracu.ac.bd</t>
  </si>
  <si>
    <t>Rubayet Hassan Rupom</t>
  </si>
  <si>
    <t>rubayet.hassan.rupom@g.bracu.ac.bd</t>
  </si>
  <si>
    <t>Sabira Rahman</t>
  </si>
  <si>
    <t>sabira.rahman1@g.bracu.ac.bd</t>
  </si>
  <si>
    <t>Arnab Rajbangshi</t>
  </si>
  <si>
    <t>arnab.rajbangshi@g.bracu.ac.bd</t>
  </si>
  <si>
    <t>Kazi Iftekharul Adnan</t>
  </si>
  <si>
    <t>kazi.iftekharul.adnan@g.bracu.ac.bd</t>
  </si>
  <si>
    <t>Md. Ashiqur Rahman Abir</t>
  </si>
  <si>
    <t>ashiqur.rahman.abir@g.bracu.ac.bd</t>
  </si>
  <si>
    <t>Md. Faiyaz</t>
  </si>
  <si>
    <t>md.faiyaz@g.bracu.ac.bd</t>
  </si>
  <si>
    <t>Molla Sazidur Rahman</t>
  </si>
  <si>
    <t>molla.sazidur.rahman@g.bracu.ac.bd</t>
  </si>
  <si>
    <t>Nuhan Habib</t>
  </si>
  <si>
    <t>nuhan.habib@g.bracu.ac.bd</t>
  </si>
  <si>
    <t>Debashis Saha</t>
  </si>
  <si>
    <t>debashis.saha@g.bracu.ac.bd</t>
  </si>
  <si>
    <t>A.K.M.Touhidul Amin</t>
  </si>
  <si>
    <t>akm.touhidul.amin@g.bracu.ac.bd</t>
  </si>
  <si>
    <t>Nowmi Islam</t>
  </si>
  <si>
    <t>nowmi.islam@g.bracu.ac.bd</t>
  </si>
  <si>
    <t>Md.Tamejul Habib</t>
  </si>
  <si>
    <t>md.tamejul.habib@g.bracu.ac.bd</t>
  </si>
  <si>
    <t>Janifar Tabassum</t>
  </si>
  <si>
    <t>janifar.tabassum@g.bracu.ac.bd</t>
  </si>
  <si>
    <t>Yeasin Arafat</t>
  </si>
  <si>
    <t>yeasin.arafat1@g.bracu.ac.bd</t>
  </si>
  <si>
    <t>Md. Redwan Islam</t>
  </si>
  <si>
    <t>md.redwan.islam@g.bracu.ac.bd</t>
  </si>
  <si>
    <t>Mustafis Ahsan</t>
  </si>
  <si>
    <t>mustafis.ahsan@g.bracu.ac.bd</t>
  </si>
  <si>
    <t>Md. Mustafizur Rahman Minhaz</t>
  </si>
  <si>
    <t>mustafizur.rahman.minhaz@g.bracu.ac.bd</t>
  </si>
  <si>
    <t>S. M. Saidur Rahman</t>
  </si>
  <si>
    <t>sm.saidur.rahman@g.bracu.ac.bd</t>
  </si>
  <si>
    <t>Tonmoy Pal</t>
  </si>
  <si>
    <t>tonmoy.pal@g.bracu.ac.bd</t>
  </si>
  <si>
    <t>Md Abu Taher</t>
  </si>
  <si>
    <t>md.abu.taher@g.bracu.ac.bd</t>
  </si>
  <si>
    <t>Md Safkat Zahir</t>
  </si>
  <si>
    <t>md.safkat.zahir@g.bracu.ac.bd</t>
  </si>
  <si>
    <t>Saif Alam Shaan</t>
  </si>
  <si>
    <t>saif.alam.shaan@g.bracu.ac.bd</t>
  </si>
  <si>
    <t>Md Rahim Bhuiyan</t>
  </si>
  <si>
    <t>md.rahim.bhuiyan@g.bracu.ac.bd</t>
  </si>
  <si>
    <t>Sifat Shariar</t>
  </si>
  <si>
    <t>sifat.shariar.ador@g.bracu.ac.bd</t>
  </si>
  <si>
    <t>Asir Adnan</t>
  </si>
  <si>
    <t>asir.adnan@g.bracu.ac.bd</t>
  </si>
  <si>
    <t>Andalib Iftakher</t>
  </si>
  <si>
    <t>andalib.iftakher@g.bracu.ac.bd</t>
  </si>
  <si>
    <t>Avishek Nandi</t>
  </si>
  <si>
    <t>avishek.nandi.barna@g.bracu.ac.bd</t>
  </si>
  <si>
    <t>Eshat Tanzeem</t>
  </si>
  <si>
    <t>eshat.tanzeem@g.bracu.ac.bd</t>
  </si>
  <si>
    <t>Mir Jubaer Abedin Shazid</t>
  </si>
  <si>
    <t>Jubaer.abedin.shazid@g.bracu.ac.bd</t>
  </si>
  <si>
    <t>Md. Shaikh Saimum</t>
  </si>
  <si>
    <t>md.shaikh.saimum@g.bracu.ac.bd</t>
  </si>
  <si>
    <t>S. M. Mushfiqur Rahman Nayeem</t>
  </si>
  <si>
    <t>mushfiqur.rahman.nayeem@g.bracu.ac.bd</t>
  </si>
  <si>
    <t>Md Golam Tawhid Fahad</t>
  </si>
  <si>
    <t>golam.tawhid.fahad@g.bracu.ac.bd</t>
  </si>
  <si>
    <t>Israt Kayesh Ipsit</t>
  </si>
  <si>
    <t>israt.kayesh.ipsit@g.bracu.ac.bd</t>
  </si>
  <si>
    <t>Anuprerona Saha</t>
  </si>
  <si>
    <t>anuprerona.saha@g.bracu.ac.bd</t>
  </si>
  <si>
    <t>Tasdida Nawaz</t>
  </si>
  <si>
    <t>tasdida.nawaz@g.bracu.ac.bd</t>
  </si>
  <si>
    <t>Quazi Tousif Ishraq</t>
  </si>
  <si>
    <t>quazi.tousif.ishraq@g.bracu.ac.bd</t>
  </si>
  <si>
    <t>Fahmidur Iqbal Swapnil</t>
  </si>
  <si>
    <t>fahmidur.iqbal.swapnil@g.bracu.ac.bd</t>
  </si>
  <si>
    <t>Nabid Hasan Omi</t>
  </si>
  <si>
    <t>nabid.hasan.omi@g.bracu.ac.bd</t>
  </si>
  <si>
    <t>Md. Talik Hasan</t>
  </si>
  <si>
    <t>md.talik.hasan@g.bracu.ac.bd</t>
  </si>
  <si>
    <t>Chowdhury Isfatul Karim</t>
  </si>
  <si>
    <t>chowdhury.isfatul.karim@g.bracu.ac.bd</t>
  </si>
  <si>
    <t>Oishik Dey</t>
  </si>
  <si>
    <t>oishik.dey@g.bracu.ac.bd</t>
  </si>
  <si>
    <t>Md. Moniruzzaman</t>
  </si>
  <si>
    <t>md.moniruzzaman4@g.bracu.ac.bd</t>
  </si>
  <si>
    <t>Abdul Gaffar Imon</t>
  </si>
  <si>
    <t>abdul.gaffar.imon@g.bracu.ac.bd</t>
  </si>
  <si>
    <t>Muktadir Haque Sarker</t>
  </si>
  <si>
    <t>muktadir.haque.sarker@g.bracu.ac.bd</t>
  </si>
  <si>
    <t>Faysal Mohammed Abir</t>
  </si>
  <si>
    <t>faysal.mohammed.abir@g.bracu.ac.bd</t>
  </si>
  <si>
    <t>Arfan Ahmed Fahim</t>
  </si>
  <si>
    <t>arfan.ahmed.fahim@g.bracu.ac.bd</t>
  </si>
  <si>
    <t>Shawana Maliha</t>
  </si>
  <si>
    <t>shawana.maliha@g.bracu.ac.bd</t>
  </si>
  <si>
    <t>Hasan Mohammad Sayem</t>
  </si>
  <si>
    <t>hasan.mohammed.sayem@g.bracu.ac.bd</t>
  </si>
  <si>
    <t>Maliha Hossain Munia</t>
  </si>
  <si>
    <t>maliha.hossain.munia@g.bracu.ac.bd</t>
  </si>
  <si>
    <t>Aowfi Adon Foraejy</t>
  </si>
  <si>
    <t>aowfi.adon.foraejy@g.bracu.ac.bd</t>
  </si>
  <si>
    <t>Saumik Das Turja</t>
  </si>
  <si>
    <t>saumik.das.turja@g.bracu.ac.bd</t>
  </si>
  <si>
    <t>Sadat Sakib Prodhhan</t>
  </si>
  <si>
    <t>sadat.sakib.prodhan@g.bracu.ac.bd</t>
  </si>
  <si>
    <t>Tasnimul Hasan</t>
  </si>
  <si>
    <t>tasnimul.hasan@g.bracu.ac.bd</t>
  </si>
  <si>
    <t>Shakib Shadman Shoumik</t>
  </si>
  <si>
    <t>shakib.shadman.shoumik@g.bracu.ac.bd</t>
  </si>
  <si>
    <t>Yeasin Ibne Kadir</t>
  </si>
  <si>
    <t>yeasin.ibne.kadir@g.bracu.ac.bd</t>
  </si>
  <si>
    <t>Md Labibul Ahsan Alif</t>
  </si>
  <si>
    <t>labibul.ahsan.alif@g.bracu.ac.bd</t>
  </si>
  <si>
    <t>Syeda Nazifa Ali</t>
  </si>
  <si>
    <t>syeda.nazifa.ali@g.bracu.ac.bd</t>
  </si>
  <si>
    <t>Sabiha.Rahman.Raisa@G.Bracu.Ac.Bd</t>
  </si>
  <si>
    <t>sabiha.rahman.raisa@g.bracu.ac.bd</t>
  </si>
  <si>
    <t>Mayen Shahriar Kabir</t>
  </si>
  <si>
    <t>mayen.shahriar.kabir@g.bracu.ac.bd</t>
  </si>
  <si>
    <t>Md.Minhazul Mowla</t>
  </si>
  <si>
    <t>md.minhazul.mowla@g.bracu.ac.bd</t>
  </si>
  <si>
    <t>Naheyan Tahmin</t>
  </si>
  <si>
    <t>naheyan.tahmin@g.bracu.ac.bd</t>
  </si>
  <si>
    <t>Yamin Chowdhury</t>
  </si>
  <si>
    <t>yamin.chowdhury@g.bracu.ac.bd</t>
  </si>
  <si>
    <t>Tanjilur Rahman</t>
  </si>
  <si>
    <t>tanjilur.rahman2@g.bracu.ac.bd</t>
  </si>
  <si>
    <t>Adibur Rahman</t>
  </si>
  <si>
    <t>adibur.rahman@g.bracu.ac.bd</t>
  </si>
  <si>
    <t>Mubtasim Ariyan</t>
  </si>
  <si>
    <t>mubtasim.ariyan@g.bracu.ac.bd</t>
  </si>
  <si>
    <t>Al-Aksha Ali Katha</t>
  </si>
  <si>
    <t>alaksha.ali.katha@g.bracu.ac.bd</t>
  </si>
  <si>
    <t>Lamia Rahman</t>
  </si>
  <si>
    <t>lamia.rahman2@g.bracu.ac.bd</t>
  </si>
  <si>
    <t>MD. Farhad Hossain Shishir</t>
  </si>
  <si>
    <t>farhad.hossain.shishir@g.bracu.ac.bd</t>
  </si>
  <si>
    <t>Fauzia Zaman Shupty</t>
  </si>
  <si>
    <t>fauzia.zaman.shupty@g.bracu.ac.bd</t>
  </si>
  <si>
    <t>Nabil</t>
  </si>
  <si>
    <t>nabil.ahmed1@g.bracu.ac.bd</t>
  </si>
  <si>
    <t>Nafiz Kamal</t>
  </si>
  <si>
    <t>nafiz.kamal@g.bracu.ac.bd</t>
  </si>
  <si>
    <t>Shouharda Dey</t>
  </si>
  <si>
    <t>shouharda.dey@g.bracu.ac.bd</t>
  </si>
  <si>
    <t>Ahmed Yeasin Mowla</t>
  </si>
  <si>
    <t>ahmed.yeasin.mowla@g.bracu.ac.bd</t>
  </si>
  <si>
    <t>Fardin Islam</t>
  </si>
  <si>
    <t>fardin.islam1@g.bracu.ac.bd</t>
  </si>
  <si>
    <t>Niloy Sarkar</t>
  </si>
  <si>
    <t>niloy.sarkar1@g.bracu.ac.bd</t>
  </si>
  <si>
    <t>Saiful Islam</t>
  </si>
  <si>
    <t>saiful.islam5@g.bracu.ac.bd</t>
  </si>
  <si>
    <t>MD. Mustafizur Rahman</t>
  </si>
  <si>
    <t>md.mustafizur.rahman2@g.bracu.ac.bd</t>
  </si>
  <si>
    <t>Md Abu Shahed</t>
  </si>
  <si>
    <t>md.abu.shahed@g.bracu.ac.bd</t>
  </si>
  <si>
    <t>Sajid Ahmed</t>
  </si>
  <si>
    <t>sajid.ahmed2@g.bracu.ac.bd</t>
  </si>
  <si>
    <t>Md. Sadman Islam Sams</t>
  </si>
  <si>
    <t>sadman.islam.sams@g.bracu.ac.bd</t>
  </si>
  <si>
    <t>Gazi Md. Nawfil Ahsan</t>
  </si>
  <si>
    <t>gazi.md.nawfilahsan@g.bracu.ac.bd</t>
  </si>
  <si>
    <t>Sabab Al Saba</t>
  </si>
  <si>
    <t>sabab.al.saba@g.bracu.ac.bd</t>
  </si>
  <si>
    <t>Fatir Ahmed Bhuiyan</t>
  </si>
  <si>
    <t>fatir.ahmed.bhuiyan@g.bracu.ac.bd</t>
  </si>
  <si>
    <t>Rahnuma Rusammi</t>
  </si>
  <si>
    <t>rahnuma.rusammi.riya@g.bracu.ac.bd</t>
  </si>
  <si>
    <t>Shahriar sharif</t>
  </si>
  <si>
    <t>Shahriar.sharif@g.bracu.ac.bd</t>
  </si>
  <si>
    <t>Sihab Sumon</t>
  </si>
  <si>
    <t>sihab.sumon@g.bracu.ac.bd</t>
  </si>
  <si>
    <t>Madhuri Mazumder</t>
  </si>
  <si>
    <t>madhuri.mazumder@g.bracu.ac.bd</t>
  </si>
  <si>
    <t>Farhan Ahmed Tinon</t>
  </si>
  <si>
    <t>farhan.ahmed.tinon@g.bracu.ac.bd</t>
  </si>
  <si>
    <t>HASIN HAMID UDDIN</t>
  </si>
  <si>
    <t>hasin.hamid.uddin@g.bracu.ac.bd</t>
  </si>
  <si>
    <t>Syed Wasif Towfique</t>
  </si>
  <si>
    <t>syed.wasif.towfique@g.bracu.ac.bd</t>
  </si>
  <si>
    <t>Al-Washi Sarker</t>
  </si>
  <si>
    <t>al.washi.sarker@g.bracu.ac.bd</t>
  </si>
  <si>
    <t>Fahim Shahriar Hossain</t>
  </si>
  <si>
    <t>fahim.shahriar.hossain@g.bracu.ac.bd</t>
  </si>
  <si>
    <t>Ahnaf Hasan Arnab</t>
  </si>
  <si>
    <t>ahnaf.hasan1@g.bracu.ac.bd</t>
  </si>
  <si>
    <t>Ilham Morsalin</t>
  </si>
  <si>
    <t>ilham.morsalin@g.bracu.ac.bd</t>
  </si>
  <si>
    <t>Danial Rahman</t>
  </si>
  <si>
    <t>danial.rahman@g.bracu.ac.bd</t>
  </si>
  <si>
    <t>Sayandeep Chakrabarty</t>
  </si>
  <si>
    <t>sayandeep.chakrabarty@g.bracu.ac.bd</t>
  </si>
  <si>
    <t>Taseen Mohammad Faruk</t>
  </si>
  <si>
    <t>taseen.mohammad.faruk@g.bracu.ac.bd</t>
  </si>
  <si>
    <t>Abu Jaham Shaisab</t>
  </si>
  <si>
    <t>abu.jaham.shaisab@g.bracu.ac.bd</t>
  </si>
  <si>
    <t>Tasmia Hossain</t>
  </si>
  <si>
    <t>tasmia.hossain@g.bracu.ac.bd</t>
  </si>
  <si>
    <t>NUR MD SHAHORIAR</t>
  </si>
  <si>
    <t>nur.md.shahoriar@g.bracu.ac.bd</t>
  </si>
  <si>
    <t>Nasrul Azam Rafi</t>
  </si>
  <si>
    <t>nasrul.azam.rafi@g.bracu.ac.bd</t>
  </si>
  <si>
    <t>Ahnaf Muttaqi</t>
  </si>
  <si>
    <t>ahnaf.muttaqi@g.bracu.ac.bd</t>
  </si>
  <si>
    <t>Mehrab Hossain Sajin</t>
  </si>
  <si>
    <t>Maiaha Rahman</t>
  </si>
  <si>
    <t>maisha.rahman2@g.bracu.ac.bd</t>
  </si>
  <si>
    <t>Mahmum Nazmus Saquib</t>
  </si>
  <si>
    <t>mahmud.nazmus.saquib@g.bracu.ac.bd</t>
  </si>
  <si>
    <t>Abhishek Bosu Anup</t>
  </si>
  <si>
    <t>abhishek.bosu.anup@g.bracu.ac.bd</t>
  </si>
  <si>
    <t>Rubyeat Wadud Galpa</t>
  </si>
  <si>
    <t>rubyeat.wadud.galpa@g.bracu.ac.bd</t>
  </si>
  <si>
    <t>Razen zaman</t>
  </si>
  <si>
    <t>Razen.zaman.salehin@g.bracu.ac.bd</t>
  </si>
  <si>
    <t>Ashfaq Rahman</t>
  </si>
  <si>
    <t>ashfaq.rahman@g.bracu.ac.bd</t>
  </si>
  <si>
    <t>MD Tasfiq Tasin</t>
  </si>
  <si>
    <t>md.tasfiq.tasin@g.bracu.ac.bd</t>
  </si>
  <si>
    <t>Rahid Ahmed</t>
  </si>
  <si>
    <t>rahid.ahmed@g.bracu.ac.bd</t>
  </si>
  <si>
    <t>Abdur Rahman Saad</t>
  </si>
  <si>
    <t>abdur.rahman.saad1@g.bracu.ac.bd</t>
  </si>
  <si>
    <t>Zuhayer Iqbal Shafin</t>
  </si>
  <si>
    <t>zuhayer.iqbal.shafin@g.bracu.ac.bd</t>
  </si>
  <si>
    <t>Istiak Ahmmed Bishal</t>
  </si>
  <si>
    <t>istiak.ahmmed.bishal@g.bracu.ac.bd</t>
  </si>
  <si>
    <t>Navid Tahmid Nibir</t>
  </si>
  <si>
    <t>navid.tahmid.nibir@g.bracu.ac.bd</t>
  </si>
  <si>
    <t>Tanha Zaman</t>
  </si>
  <si>
    <t>tanha.zaman@g.bracu.ac.bd</t>
  </si>
  <si>
    <t>Tahrim Ahmed</t>
  </si>
  <si>
    <t>tahrim.ahmed@g.bracu.ac.bd</t>
  </si>
  <si>
    <t>MD. Mahi Hyder</t>
  </si>
  <si>
    <t>md.mahi.hyder@g.bracu.ac.bd</t>
  </si>
  <si>
    <t>Alvi Ahmed</t>
  </si>
  <si>
    <t>alvi.ahmed@g.bracu.ac.bd</t>
  </si>
  <si>
    <t>Md Rayhan Chowdhury</t>
  </si>
  <si>
    <t>md.rayhan.chowdhury@g.bracu.ac.bd</t>
  </si>
  <si>
    <t>Tozammal Hossain Evan</t>
  </si>
  <si>
    <t>tozammal.hossain.evan@g.bracu.ac.bd</t>
  </si>
  <si>
    <t>Rukaya Tasfia Karim</t>
  </si>
  <si>
    <t>rukaya.tasfia.karim@g.bracu.ac.bd</t>
  </si>
  <si>
    <t>Arjan Kumar Banik</t>
  </si>
  <si>
    <t>arjan.kumar.banik@g.bracu.ac.bd</t>
  </si>
  <si>
    <t>Salsabila Khan Rithmy</t>
  </si>
  <si>
    <t>Salsabila.khan.rithmy@g.bracu.ac.bd</t>
  </si>
  <si>
    <t>Kazi Shuwrid Raiyan</t>
  </si>
  <si>
    <t>kazi.shuwrid.raiyan@g.bracu.ac.bd</t>
  </si>
  <si>
    <t>Mashfiqur Rahman Khan</t>
  </si>
  <si>
    <t>mashfiqur.rahman.khan@g.bracu.ac.bd</t>
  </si>
  <si>
    <t>Pallab Saha</t>
  </si>
  <si>
    <t>pallab.saha@g.bracu.ac.bd</t>
  </si>
  <si>
    <t>Rudranil Debnath</t>
  </si>
  <si>
    <t>rudranil.debnath@g.bracu.ac.bd</t>
  </si>
  <si>
    <t>Ridwan Ahmed</t>
  </si>
  <si>
    <t>ridwan.ahmed2@g.bracu.ac.bd</t>
  </si>
  <si>
    <t>Habibul Bashar</t>
  </si>
  <si>
    <t>habibul.bashar@g.bracu.ac.bd</t>
  </si>
  <si>
    <t>Rubayat Hosne Rhine</t>
  </si>
  <si>
    <t>rubayat.hosne.rhine@g.bracu.ac.bd</t>
  </si>
  <si>
    <t>Fahmid Shahriar</t>
  </si>
  <si>
    <t>fahmid.shahriar@g.bracu.ac.bd</t>
  </si>
  <si>
    <t>Sabiha Noor</t>
  </si>
  <si>
    <t>Sabiha.noor@g.bracu.ac.bd</t>
  </si>
  <si>
    <t>Ronjoy paul</t>
  </si>
  <si>
    <t>ronjoy.paul@g.bracu.ac.bd</t>
  </si>
  <si>
    <t>S.M. Fuad Hasan</t>
  </si>
  <si>
    <t>sm.fuad.hasan@g.bracu.ac.bd</t>
  </si>
  <si>
    <t>SHAJALAL ANJUM</t>
  </si>
  <si>
    <t>shajalal.anjum@g.bracu.ac.bd</t>
  </si>
  <si>
    <t>Rifakat Ul Quadir Nasif</t>
  </si>
  <si>
    <t>rifakat.ul.quadir@g.bracu.ac.bd</t>
  </si>
  <si>
    <t>Md. Tahsin Abid Khan</t>
  </si>
  <si>
    <t>tahsin.abid.khan@g.bracu.ac.bd</t>
  </si>
  <si>
    <t>Ahana Fairuz Zara</t>
  </si>
  <si>
    <t>ahana.fairuz.zara@g.bracu.ac.bd</t>
  </si>
  <si>
    <t>Khalid Reza Khan</t>
  </si>
  <si>
    <t>khalid.reza.khan@g.bracu.ac.bd</t>
  </si>
  <si>
    <t>Tasnim Shahad Rafi</t>
  </si>
  <si>
    <t>tasnim.shahad.rafi@g.bracu.ac.bd</t>
  </si>
  <si>
    <t>MD Tariqul Hasan Faysal</t>
  </si>
  <si>
    <t>tariqul.hasan.faysal@g.bracu.ac.bd</t>
  </si>
  <si>
    <t>Jarif Ihtisum Khan</t>
  </si>
  <si>
    <t>jarif.ihtisum.khan@g.bracu.ac.bd</t>
  </si>
  <si>
    <t>Lubaiyana Afroze Khan</t>
  </si>
  <si>
    <t>lubaiyana.afroze.khan@g.bracu.ac.bd</t>
  </si>
  <si>
    <t>Pritam Sarker</t>
  </si>
  <si>
    <t>pritam.sarker@g.bracu.ac.bd</t>
  </si>
  <si>
    <t>S.M. Talha Jubayer</t>
  </si>
  <si>
    <t>sm.talha.jubayer@g.bracu.ac.bd</t>
  </si>
  <si>
    <t>Fariha Zaman</t>
  </si>
  <si>
    <t>fariha.zaman1@g.bracu.ac.bd</t>
  </si>
  <si>
    <t>Hiya Barua</t>
  </si>
  <si>
    <t>hiya.barua@g.bracu.ac.bd</t>
  </si>
  <si>
    <t>Masfik Rahman Nusan</t>
  </si>
  <si>
    <t>masfik.rahman.nusan@g.bracu.ac.bd</t>
  </si>
  <si>
    <t>Tasfia Jamal Binta</t>
  </si>
  <si>
    <t>tasfia.jamal.binta@g.bracu.ac.bd</t>
  </si>
  <si>
    <t>Shafayet Ahmad</t>
  </si>
  <si>
    <t>shafayet.ahmad@g.bracu.ac.bd</t>
  </si>
  <si>
    <t>Fatema Tuj Johora</t>
  </si>
  <si>
    <t>fatema.tuj.johora2@g.bracu.ac.bd</t>
  </si>
  <si>
    <t>Most. Esrat Jahan Reya</t>
  </si>
  <si>
    <t>esrat.jahan.reya@g.bracu.ac.bd</t>
  </si>
  <si>
    <t>Mahatir Mahraz Niloy</t>
  </si>
  <si>
    <t>mahatir.mahraz.niloy@g.bracu.ac.bd</t>
  </si>
  <si>
    <t>Mariyam Mahbub</t>
  </si>
  <si>
    <t>mariyam.mahbub@g.bracu.ac.bd</t>
  </si>
  <si>
    <t>Sidrat Ahsan</t>
  </si>
  <si>
    <t>sidrat.ahsan@g.bracu.ac.bd</t>
  </si>
  <si>
    <t>Md Robayet Mia</t>
  </si>
  <si>
    <t>md.robayet.mia@g.bracu.ac.bd</t>
  </si>
  <si>
    <t>Moutmayen Nafis</t>
  </si>
  <si>
    <t>moutmayen.omama.nafis@g.bracu.ac.bd</t>
  </si>
  <si>
    <t>Shariful Islam Naeem</t>
  </si>
  <si>
    <t>mohammad.shariful.islam@g.bracu.ac.bd</t>
  </si>
  <si>
    <t>Zarif Yeameen</t>
  </si>
  <si>
    <t>zarif.yeameen@g.bracu.ac.bd</t>
  </si>
  <si>
    <t>Shaiara Noshin</t>
  </si>
  <si>
    <t>shaiara.noshin@g.bracu.ac.bd</t>
  </si>
  <si>
    <t>Nawar Shafin</t>
  </si>
  <si>
    <t>nawar.shafin@g.bracu.ac.bd</t>
  </si>
  <si>
    <t>Rafsan Rahman</t>
  </si>
  <si>
    <t>rafsan.rahman1@g.bracu.ac.bd</t>
  </si>
  <si>
    <t>Prottoy Chatterji</t>
  </si>
  <si>
    <t>prottay.chatterji@g.bracu.ac.bd</t>
  </si>
  <si>
    <t>Pranto Roy</t>
  </si>
  <si>
    <t>pranto.roy@g.bracu.ac.bd</t>
  </si>
  <si>
    <t>Fayez Ahmad Protik</t>
  </si>
  <si>
    <t>fayez.ahmad.protik@g.bracu.ac.bd</t>
  </si>
  <si>
    <t>Anika Akter</t>
  </si>
  <si>
    <t>anika.akter1@g.bracu.ac.bd</t>
  </si>
  <si>
    <t>Somanur Binte Sohid Smita</t>
  </si>
  <si>
    <t>somanur.binte.sohid@g.bracu.ac.bd</t>
  </si>
  <si>
    <t>Anindya Debnath Ani</t>
  </si>
  <si>
    <t>anindya.debnath.ani@g.bracu.ac.bd</t>
  </si>
  <si>
    <t>Md. Munasib Al Karim</t>
  </si>
  <si>
    <t>munasib.al.karim@g.bracu.ac.bd</t>
  </si>
  <si>
    <t>MD.ADNAN MURSALIN IBNE ASHIQUE</t>
  </si>
  <si>
    <t>adnanmursalin.ibne.ashique@g.bracu.ac.bd</t>
  </si>
  <si>
    <t>Iftekhar Alvee</t>
  </si>
  <si>
    <t>md.iftekhar.alvee@g.bracu.ac.bd</t>
  </si>
  <si>
    <t>Saifullah Mohd. Sakib</t>
  </si>
  <si>
    <t>saifullah.mohd.sakib@g.bracu.ac.bd</t>
  </si>
  <si>
    <t>Nowshed Alam Chowdhury Rahat</t>
  </si>
  <si>
    <t>nowshed.alam.chowdhury@g.bracu.ac.bd</t>
  </si>
  <si>
    <t>Abdul kadir Abir</t>
  </si>
  <si>
    <t>abdul.kadir.abir@g.bracu.ac.bd</t>
  </si>
  <si>
    <t>Md. Yash Akif</t>
  </si>
  <si>
    <t>md.yash.akif@g.bracu.ac.bd</t>
  </si>
  <si>
    <t>Asif Anjum Niloy</t>
  </si>
  <si>
    <t>asif.anjum.niloy@g.bracu.ac.bd</t>
  </si>
  <si>
    <t>Mohammad Faiyaz Mazumder</t>
  </si>
  <si>
    <t>mohammad.faiyaz.mazumder@g.bracu.ac.bd</t>
  </si>
  <si>
    <t>Md Moniruzzaman</t>
  </si>
  <si>
    <t>md.moniruzzaman5@g.bracu.ac.bd</t>
  </si>
  <si>
    <t>Safwan Islam</t>
  </si>
  <si>
    <t>safwan.islam1@g.bracu.ac.bd</t>
  </si>
  <si>
    <t>Safayat Rahman</t>
  </si>
  <si>
    <t>safayat.rahman@g.bracu.ac.bd</t>
  </si>
  <si>
    <t>Miftahul Jannat Jim</t>
  </si>
  <si>
    <t>miftahul.jannat5@g.bracu.ac.bd</t>
  </si>
  <si>
    <t>Enan Ahnaf</t>
  </si>
  <si>
    <t>enan.ahnaf@g.bracu.ac.bd</t>
  </si>
  <si>
    <t>Nagib Shahriar Rad</t>
  </si>
  <si>
    <t>nagib.shahriar.rad@g.bracu.ac.bd</t>
  </si>
  <si>
    <t>Md. Zakaria Hafiz</t>
  </si>
  <si>
    <t>md.zakaria.hafiz@g.bracu.ac.bd</t>
  </si>
  <si>
    <t>Anita Rahman Chadni</t>
  </si>
  <si>
    <t>anita.rahman.chadni@g.bracu.ac.bd</t>
  </si>
  <si>
    <t>MD. Rasel Ahmed</t>
  </si>
  <si>
    <t>MD.rasel.ahmed@g.bracu.ac.bd</t>
  </si>
  <si>
    <t>Be-nozir Hossain Hamza</t>
  </si>
  <si>
    <t>benozir.hossain.hamza@g.bracu.ac.bd</t>
  </si>
  <si>
    <t>Tasin Mahbub</t>
  </si>
  <si>
    <t>tasin.mahbub@g.bracu.ac.bd</t>
  </si>
  <si>
    <t>Mahibullah Sami</t>
  </si>
  <si>
    <t>sm.mahibullah.sami@g.bracu.ac.bd</t>
  </si>
  <si>
    <t>Swapnil Debnath</t>
  </si>
  <si>
    <t>swapnil.debnath@g.bracu.ac.bd</t>
  </si>
  <si>
    <t>Fahmid Rahman</t>
  </si>
  <si>
    <t>fahmid.rahman@g.bracu.ac.bd</t>
  </si>
  <si>
    <t>Humayra Saniat Lithe</t>
  </si>
  <si>
    <t>humayra.saniat.lithe@g.bracu.ac.bd</t>
  </si>
  <si>
    <t>Md. Osman Saad</t>
  </si>
  <si>
    <t>md.osman.saad@g.bracu.ac.bd</t>
  </si>
  <si>
    <t>Tahsinul Haque Miraz</t>
  </si>
  <si>
    <t>tahsinul.haque@g.bracu.ac.bd</t>
  </si>
  <si>
    <t>Moontaha Mahjabin</t>
  </si>
  <si>
    <t>moontaha.mahjabin@g.bracu.ac.bd</t>
  </si>
  <si>
    <t>Nowme Khan</t>
  </si>
  <si>
    <t>nowme.khan@g.bracu.ac.bd</t>
  </si>
  <si>
    <t>Anushuya Annanova</t>
  </si>
  <si>
    <t>anushuya.annanova@g.bracu.ac.bd</t>
  </si>
  <si>
    <t>MD KHALID SAIFULLAH</t>
  </si>
  <si>
    <t>md.khalid.saifullah@g.bracu.ac.bd</t>
  </si>
  <si>
    <t>Efat Ahmed</t>
  </si>
  <si>
    <t>efat.ahmed@g.bracu.ac.bd</t>
  </si>
  <si>
    <t>Sayed Mostafa Kamal</t>
  </si>
  <si>
    <t>sayed.mostafa.kamal@g.bracu.ac.bd</t>
  </si>
  <si>
    <t>Tafhimul Haque Wafee</t>
  </si>
  <si>
    <t>tafhimul.haque.wafee@g.bracu.ac.bd</t>
  </si>
  <si>
    <t>Faiza Farzana</t>
  </si>
  <si>
    <t>faiza.farzana1@g.bracu.ac.bd</t>
  </si>
  <si>
    <t>Eshan SInha</t>
  </si>
  <si>
    <t>eshan.sinha@g.bracu.ac.bd</t>
  </si>
  <si>
    <t>Saramoni</t>
  </si>
  <si>
    <t>saramoni@g.bracu.ac.bd</t>
  </si>
  <si>
    <t>Md. Shafein Rahman</t>
  </si>
  <si>
    <t>md.shafein.rahman@g.bracu.ac.bd</t>
  </si>
  <si>
    <t>Saad Ahmed</t>
  </si>
  <si>
    <t>saad.ahmed1@g.bracu.ac.bd</t>
  </si>
  <si>
    <t>Shirajum Munira Dyuti</t>
  </si>
  <si>
    <t>shirajum.munira.dyuti@g.bracu.ac.bd</t>
  </si>
  <si>
    <t>Md. Rakibul Islam</t>
  </si>
  <si>
    <t>rakibul.islam6@g.bracu.ac.bd</t>
  </si>
  <si>
    <t>Tahsin Tarannum</t>
  </si>
  <si>
    <t>tahsin.tarannum1@g.bracu.ac.bd</t>
  </si>
  <si>
    <t>Alip Raha</t>
  </si>
  <si>
    <t>alip.raha@g.bracu.ac.bd</t>
  </si>
  <si>
    <t>MD ABU RAYHAN SEFAT</t>
  </si>
  <si>
    <t>abu.rayhan.sefat@g.bracu.ac.bd</t>
  </si>
  <si>
    <t>Abib Hasan</t>
  </si>
  <si>
    <t>abib.hasan@g.bracu.ac.bd</t>
  </si>
  <si>
    <t>Eamin Ahmed Akash</t>
  </si>
  <si>
    <t>eamin.ahmed.akash@g.bracu.ac.bd</t>
  </si>
  <si>
    <t>Dipta Ghosh</t>
  </si>
  <si>
    <t>dipta.ghosh@g.bracu.ac.bd</t>
  </si>
  <si>
    <t>Syed Farah Ummy Ahsan</t>
  </si>
  <si>
    <t>farah.ummy.ahsan@g.bracu.ac.bd</t>
  </si>
  <si>
    <t>ISTIAK ALAM IFTE</t>
  </si>
  <si>
    <t>istiak.alam.ifte@g.bracu.ac.bd</t>
  </si>
  <si>
    <t>Amana Jahan Tisha</t>
  </si>
  <si>
    <t>amana.jahan.tisha@g.bracu.ac.bd</t>
  </si>
  <si>
    <t>Masud Hasan Khan</t>
  </si>
  <si>
    <t>masud.hasan.khan@g.bracu.ac.bd</t>
  </si>
  <si>
    <t>Aryan Islam Durjoy</t>
  </si>
  <si>
    <t>aryan.islam.durjoy@g.bracu.ac.bd</t>
  </si>
  <si>
    <t>Shahed Amin</t>
  </si>
  <si>
    <t>shahed.amin1@g.bracu.ac.bd</t>
  </si>
  <si>
    <t>Ashikur Rahman Ashik</t>
  </si>
  <si>
    <t>ashikur.rahman.ashik@g.bracu.ac.bd</t>
  </si>
  <si>
    <t>Syed Ayman Ul Alam</t>
  </si>
  <si>
    <t>ayman.ul.alam@g.bracu.ac.bd</t>
  </si>
  <si>
    <t>Marzia Tabassum</t>
  </si>
  <si>
    <t>marzia.tabassum@g.bracu.ac.bd</t>
  </si>
  <si>
    <t>Sayma Shazrin</t>
  </si>
  <si>
    <t>sayma.shazrin@g.bracu.ac.bd</t>
  </si>
  <si>
    <t>Nowshin Tasnia Rafa</t>
  </si>
  <si>
    <t>nowshin.tasnia.rafa@g.bracu.ac.bd</t>
  </si>
  <si>
    <t>Ariful Islam Rafid</t>
  </si>
  <si>
    <t>ariful.islam.rafid@g.bracu.ac.bd</t>
  </si>
  <si>
    <t>Madeha Nower Pushon</t>
  </si>
  <si>
    <t>madeha.nower.pushon@g.bracu.ac.bd</t>
  </si>
  <si>
    <t>MD NAVIDUL HOSSAIN</t>
  </si>
  <si>
    <t>md.navidul.hossain@g.bracu.ac.bd</t>
  </si>
  <si>
    <t>MD Monirul Islam</t>
  </si>
  <si>
    <t>md.monirul.islam2@g.bracu.ac.bd</t>
  </si>
  <si>
    <t>SAKIF WASIR HAQUE</t>
  </si>
  <si>
    <t>sakif.wasir.haque@g.bracu.ac.bd</t>
  </si>
  <si>
    <t>Jarin Zaman</t>
  </si>
  <si>
    <t>jarin.zaman@g.bracu.ac.bd</t>
  </si>
  <si>
    <t>Sajia Tanzin Rahman</t>
  </si>
  <si>
    <t>sajia.tanzin.rahman@g.bracu.ac.bd</t>
  </si>
  <si>
    <t>Anika Ibnat Ananna</t>
  </si>
  <si>
    <t>anika.ibnat.ananna@g.bracu.ac.bd</t>
  </si>
  <si>
    <t>Jannat Ara Jahan</t>
  </si>
  <si>
    <t>jannat.ara.jahan@g.bracu.ac.bd</t>
  </si>
  <si>
    <t>Labiba Tabassum</t>
  </si>
  <si>
    <t>labiba.tabassum@g.bracu.ac.bd</t>
  </si>
  <si>
    <t>Fardin Inan Ahmed</t>
  </si>
  <si>
    <t>fardin.inan.ahmed@g.bracu.ac.bd</t>
  </si>
  <si>
    <t>CHOWDHURY NAFISA SADHAF</t>
  </si>
  <si>
    <t>chowdhury.nafisa.sadhaf@g.bracu.ac.bd</t>
  </si>
  <si>
    <t>Zarin Tasnim Samira</t>
  </si>
  <si>
    <t>zarin.tasnim.samira@g.bracu.ac.bd</t>
  </si>
  <si>
    <t>Junainah Alam Sanza</t>
  </si>
  <si>
    <t>junainah.alam.sanza@g.bracu.ac.bd</t>
  </si>
  <si>
    <t>Sudipto Majumder</t>
  </si>
  <si>
    <t>sudipto.majumder@g.bracu.ac.bd</t>
  </si>
  <si>
    <t>Md. Dodi Al Fayed</t>
  </si>
  <si>
    <t>Finance</t>
  </si>
  <si>
    <t>dodi.al.fayed@g.bracu.ac.bd</t>
  </si>
  <si>
    <t>Noor-E-Jannat</t>
  </si>
  <si>
    <t>noor.e.jannat3@g.bracu.ac.bd</t>
  </si>
  <si>
    <t>Md. Rawnak Ahasan</t>
  </si>
  <si>
    <t>md.rawnak.ahasan@g.bracu.ac.bd</t>
  </si>
  <si>
    <t>Tasnim Zarin Jhilik</t>
  </si>
  <si>
    <t>tasnim.zarin.jhilik@g.bracu.ac.bd</t>
  </si>
  <si>
    <t>Jannatul Afrin Tahima</t>
  </si>
  <si>
    <t>jannatul.afrin.tahima@g.bracu.ac.bd</t>
  </si>
  <si>
    <t>Rafia Taimur Raisa</t>
  </si>
  <si>
    <t>rafia.taimur.raisa@g.bracu.ac.bd</t>
  </si>
  <si>
    <t>Arnab Sen</t>
  </si>
  <si>
    <t>arnab.sen@g.bracu.ac.bd</t>
  </si>
  <si>
    <t>Tamanna Hossain</t>
  </si>
  <si>
    <t>tamanna.hossain2@g.bracu.ac.bd</t>
  </si>
  <si>
    <t>Kazi Md Tanvirul Hasan Sadd</t>
  </si>
  <si>
    <t>tanvirul.hasan.sadd@g.bracu.ac.bd</t>
  </si>
  <si>
    <t>Samin Safwan</t>
  </si>
  <si>
    <t>samin.safwan@g.bracu.ac.bd</t>
  </si>
  <si>
    <t>Agradip Saha</t>
  </si>
  <si>
    <t>agradip.saha@g.bracu.ac.bd</t>
  </si>
  <si>
    <t>Farsin Rahman Nahin</t>
  </si>
  <si>
    <t>farsin.rahman.nahin@g.bracu.ac.bd</t>
  </si>
  <si>
    <t>Samirah Alom Sarah</t>
  </si>
  <si>
    <t>samirah.alom.sarah@g.bracu.ac.bd</t>
  </si>
  <si>
    <t>Hamza Bin Islam</t>
  </si>
  <si>
    <t>hamza.bin.islam@g.bracu.ac.bd</t>
  </si>
  <si>
    <t>Shahriar</t>
  </si>
  <si>
    <t>shahriar@g.bracu.ac.bd</t>
  </si>
  <si>
    <t>Arnab Saha</t>
  </si>
  <si>
    <t>arnab.saha1@g.bracu.ac.bd</t>
  </si>
  <si>
    <t>Senan Sami</t>
  </si>
  <si>
    <t>senan.sami@g.bracu.ac.bd</t>
  </si>
  <si>
    <t>Towfique Nishad</t>
  </si>
  <si>
    <t>towfique.nishad@g.bracu.ac.bd</t>
  </si>
  <si>
    <t>Irfan Alam Rahi</t>
  </si>
  <si>
    <t>irfan.alam.rahi@g.bracu.ac.bd</t>
  </si>
  <si>
    <t>Fariha yasmin</t>
  </si>
  <si>
    <t>fariha.yasmin@g.bracu.ac.bd</t>
  </si>
  <si>
    <t>Mahmudul Hassan Taseen</t>
  </si>
  <si>
    <t>mahmudul.hassan.taseen@g.bracu.ac.bd</t>
  </si>
  <si>
    <t>Ishraq Ishat Khan</t>
  </si>
  <si>
    <t>ishraq.ishat.khan@g.bracu.ac.bd</t>
  </si>
  <si>
    <t>AFSHA IBNAT</t>
  </si>
  <si>
    <t>afsha.ibnat.jahin@g.bracu.ac.bd</t>
  </si>
  <si>
    <t>Shraysee Shraya</t>
  </si>
  <si>
    <t>shraysee.shraya@g.bracu.ac.bd</t>
  </si>
  <si>
    <t>Bandhu Bilas Saha</t>
  </si>
  <si>
    <t>bandhu.bilas.saha@g.bracu.ac.bd</t>
  </si>
  <si>
    <t>Aayan Anwar</t>
  </si>
  <si>
    <t>aayan.anwar@g.bracu.ac.bd</t>
  </si>
  <si>
    <t>Atik Shahriar</t>
  </si>
  <si>
    <t>atik.shahriar@g.bracu.ac.bd</t>
  </si>
  <si>
    <t>Tithi Bhattacharjee</t>
  </si>
  <si>
    <t>tithi.bhattacharjee@g.bracu.ac.bd</t>
  </si>
  <si>
    <t>Sharif Mohammad Omar Faruq</t>
  </si>
  <si>
    <t>mohammad.omar.faruq@g.bracu.ac.bd</t>
  </si>
  <si>
    <t>Yash Hammam</t>
  </si>
  <si>
    <t>yash.hammam@g.bracu.ac.bd</t>
  </si>
  <si>
    <t>A.A.M Miad Islam</t>
  </si>
  <si>
    <t>aam.miad.islam@g.bracu.ac.bd</t>
  </si>
  <si>
    <t>Sahela Khan Retu</t>
  </si>
  <si>
    <t>sahela.khan.retu@g.bracu.ac.bd</t>
  </si>
  <si>
    <t>Taskia Ferdous Jhumu</t>
  </si>
  <si>
    <t>taskia.ferdous.jhumu@g.bracu.ac.bd</t>
  </si>
  <si>
    <t>Mohammed Abtahi Intesir</t>
  </si>
  <si>
    <t>mohammed.abtahi.intesir@g.bracu.ac.bd</t>
  </si>
  <si>
    <t>Moriam Akter</t>
  </si>
  <si>
    <t>moriam.akter1@g.bracu.ac.bd</t>
  </si>
  <si>
    <t>Md.Rifat Abdullah Sarker</t>
  </si>
  <si>
    <t>rifat.abdullah.sarkar@g.bracu.ac.bd</t>
  </si>
  <si>
    <t>Md. Rafid Bin Hassan</t>
  </si>
  <si>
    <t>rafid.bin.hassan@g.bracu.ac.bd</t>
  </si>
  <si>
    <t>Mahir Faysal Metul</t>
  </si>
  <si>
    <t>mahir.faysal.metul@g.bracu.ac.bd</t>
  </si>
  <si>
    <t>Afif Aktab Zaman Audry</t>
  </si>
  <si>
    <t>afif.aktab.zaman@g.bracu.ac.bd</t>
  </si>
  <si>
    <t>Abdullah Al Mamun</t>
  </si>
  <si>
    <t>abdullah.al.mamun15@g.bracu.ac.bd</t>
  </si>
  <si>
    <t>Myesha Zaman Ridika</t>
  </si>
  <si>
    <t>myesha.zaman.ridika@g.bracu.ac.bd</t>
  </si>
  <si>
    <t>Nadim Tanvir</t>
  </si>
  <si>
    <t>nadim.tanvir@g.bracu.ac.bd</t>
  </si>
  <si>
    <t>Zinnia Nahid</t>
  </si>
  <si>
    <t>zinnia.nahid@g.bracu.ac.bd</t>
  </si>
  <si>
    <t>Abdur Rahman Khalid</t>
  </si>
  <si>
    <t>abdur.rahman.khalid@g.bracu.ac.bd</t>
  </si>
  <si>
    <t>Abrar Srabon</t>
  </si>
  <si>
    <t>abrar.srabon@g.bracu.ac.bd</t>
  </si>
  <si>
    <t>Aditya Banik</t>
  </si>
  <si>
    <t>aditya.banik1@g.bracu.ac.bd</t>
  </si>
  <si>
    <t>Asif Iqbal</t>
  </si>
  <si>
    <t>asif.iqbal3@g.bracu.ac.bd</t>
  </si>
  <si>
    <t>Raiyan Rahman</t>
  </si>
  <si>
    <t>raiyan.rahman3@g.bracu.ac.bd</t>
  </si>
  <si>
    <t>Md.Sanzid Rahman Sadik</t>
  </si>
  <si>
    <t>sanzid.rahman.sadik@g.bracu.ac.bd</t>
  </si>
  <si>
    <t>Ahmed Mahbub-E-Sadic</t>
  </si>
  <si>
    <t>ahmedmahbub.e.sadic@g.bracu.ac.bd</t>
  </si>
  <si>
    <t>Mahmudul Hasan Mahi</t>
  </si>
  <si>
    <t>mahmudul.hasan.mahi@g.bracu.ac.bd</t>
  </si>
  <si>
    <t>Zawwad Ali Shah Ha-Mim</t>
  </si>
  <si>
    <t>zawwad.alishah.hamim@g.bracu.ac.bd</t>
  </si>
  <si>
    <t>Yasar Mostafa</t>
  </si>
  <si>
    <t>yasar.mostafa.prionto@g.bracu.ac.bd</t>
  </si>
  <si>
    <t>Rufaida Tasneem Nuha</t>
  </si>
  <si>
    <t>rufaida.tasneem.nuha@g.bracu.ac.bd</t>
  </si>
  <si>
    <t>Mohammad Tohsin Mridha</t>
  </si>
  <si>
    <t>mohammad.tohsin.mridha@g.bracu.ac.bd</t>
  </si>
  <si>
    <t>Sadia Siddiqa</t>
  </si>
  <si>
    <t>sadia.siddiqa@g.bracu.ac.bd</t>
  </si>
  <si>
    <t>A R M Shadman Suham Khan</t>
  </si>
  <si>
    <t>shadman.suham.khan@g.bracu.ac.bd</t>
  </si>
  <si>
    <t>Tanvir Hasan</t>
  </si>
  <si>
    <t>tanvir.hasan1@g.bracu.ac.bd</t>
  </si>
  <si>
    <t>Syed Sadab Bin Noor</t>
  </si>
  <si>
    <t>sadab.bin.noor@g.bracu.ac.bd</t>
  </si>
  <si>
    <t>A.S.M. Asif Islam</t>
  </si>
  <si>
    <t>asm.asif.islam@g.bracu.ac.bd</t>
  </si>
  <si>
    <t>Md Ashique Anjam Rupom</t>
  </si>
  <si>
    <t>ashique.anjam.rupom@g.bracu.ac.bd</t>
  </si>
  <si>
    <t>Jawad Ibtahaj</t>
  </si>
  <si>
    <t>jawadibtahaj.bin.sattar@g.bracu.ac.bd</t>
  </si>
  <si>
    <t>Soumen Purkayastha</t>
  </si>
  <si>
    <t>Soumen.purkayastha@g.bracu.ac.bd</t>
  </si>
  <si>
    <t>Jh Wasi</t>
  </si>
  <si>
    <t>julkifl.hasan.wasi@g.bracu.ac.bd</t>
  </si>
  <si>
    <t>Mehjabin Iqbal Efa</t>
  </si>
  <si>
    <t>mehjabin.iqbal.efa @g.bracu.ac.bd</t>
  </si>
  <si>
    <t>Jarin Tasnim Dia</t>
  </si>
  <si>
    <t>jarin.tasnim.dia@g.bracu.ac.bd</t>
  </si>
  <si>
    <t>Nandini Das Jhumu</t>
  </si>
  <si>
    <t>nandini.das.jhumu@g.bracu.ac.bd</t>
  </si>
  <si>
    <t>Manjur Kader Shuvo</t>
  </si>
  <si>
    <t>manjur.kader.shuvo@g.bracu.ac.bd</t>
  </si>
  <si>
    <t>Mohammad Taysir Chowdhury</t>
  </si>
  <si>
    <t>mohammad.taysir.chowdhury@g.bracu.ac.bd</t>
  </si>
  <si>
    <t>Suppreo Sen Suvro</t>
  </si>
  <si>
    <t>suppreo.sen.suvro@g.bracu.ac.bd</t>
  </si>
  <si>
    <t>Md. Murad Al Hasan</t>
  </si>
  <si>
    <t>md.murad.al.hasan@g.bracu.ac.bd</t>
  </si>
  <si>
    <t>Saniyat Firoz Khan</t>
  </si>
  <si>
    <t>saniyat.firoz.khan@g.bracu.ac.bd</t>
  </si>
  <si>
    <t>Md.Nabil Thahamid Chowdhury</t>
  </si>
  <si>
    <t>nabil.thahamid.chowdhury@g.bracu.ac.bd</t>
  </si>
  <si>
    <t>Fateha-E-Noor</t>
  </si>
  <si>
    <t>fateha.e.noor@g.bracu.ac.bd</t>
  </si>
  <si>
    <t>Rafiul Bari Chowdhury</t>
  </si>
  <si>
    <t>rafiul.bari.chowdhury@g.bracu.ac.bd</t>
  </si>
  <si>
    <t>Zannaty Aziza</t>
  </si>
  <si>
    <t>zannaty.aziza@g.bracu.ac.bd</t>
  </si>
  <si>
    <t>Faiyaz Hossain</t>
  </si>
  <si>
    <t>faiyaz.hossain@g.bracu.ac.bd</t>
  </si>
  <si>
    <t>Sabbir Mahmud</t>
  </si>
  <si>
    <t>sabbir.mahmud.rifat@g.bracu.ac.bd</t>
  </si>
  <si>
    <t>Meraj Mahamud</t>
  </si>
  <si>
    <t>md.meraj.mahamud@g.bracu.ac.bd</t>
  </si>
  <si>
    <t>Md. Abid Ali</t>
  </si>
  <si>
    <t>md.abid.ali1@g.bracu.ac.bd</t>
  </si>
  <si>
    <t>Kaoushik Debnath Joy</t>
  </si>
  <si>
    <t>kaoushik.debnath.joy@g.bracu.ac.bd</t>
  </si>
  <si>
    <t>Nabila Islam</t>
  </si>
  <si>
    <t>Nabela.islam@g.bracu.ac.bd</t>
  </si>
  <si>
    <t>Md Al Farabi</t>
  </si>
  <si>
    <t>md.al.farabi1@g.bracu.ac.bd</t>
  </si>
  <si>
    <t>A K.M Sazidur Rahman</t>
  </si>
  <si>
    <t>akm.sazidur.rahman@g.bracu.ac.bd</t>
  </si>
  <si>
    <t>Md. Sadat Sakib</t>
  </si>
  <si>
    <t>md.sadat.sakib@g.bracu.ac.bd</t>
  </si>
  <si>
    <t>Farhan Sadiq Rhythm</t>
  </si>
  <si>
    <t>farhan.sadiq.rhythm@g.bracu.ac.bd</t>
  </si>
  <si>
    <t>Soumen Barua</t>
  </si>
  <si>
    <t>soumen.barua@g.bracu.ac.bd</t>
  </si>
  <si>
    <t>Ayan Sarkar</t>
  </si>
  <si>
    <t>ayan.sarkar@g.bracu.ac.bd</t>
  </si>
  <si>
    <t>Simantha Saha</t>
  </si>
  <si>
    <t>simantha.saha@g.bracu.ac.bd</t>
  </si>
  <si>
    <t>Md Fardin Alam</t>
  </si>
  <si>
    <t>md.fardin.alam@g.bracu.ac.bd</t>
  </si>
  <si>
    <t>Syed Izdian Siraji</t>
  </si>
  <si>
    <t>syed.izdian.siraji@g.bracu.ac.bd</t>
  </si>
  <si>
    <t>Md Mizanur Rahman</t>
  </si>
  <si>
    <t>md.mizanur.rahman3@g.bracu.ac.bd</t>
  </si>
  <si>
    <t>Tasbir Ahmed</t>
  </si>
  <si>
    <t>tasbir.ahmed@g.bracu.ac.bd</t>
  </si>
  <si>
    <t>Fariha Mohammed Al Zahir</t>
  </si>
  <si>
    <t>fariha.mohammed.alzahir@g.bracu.ac.bd</t>
  </si>
  <si>
    <t>Aumio Rahman</t>
  </si>
  <si>
    <t>aumio.rahman@g.bracu.ac.bd</t>
  </si>
  <si>
    <t>Md.Ashraful Alam</t>
  </si>
  <si>
    <t>md.ashraful.alam@g.bracu.ac.bd</t>
  </si>
  <si>
    <t>Istiak Ahmed</t>
  </si>
  <si>
    <t>istiak.ahmed3@g.bracu.ac.bd</t>
  </si>
  <si>
    <t>Nur-A-Alam Rubait Shihab</t>
  </si>
  <si>
    <t>alam.rubait.shihab@g.bracu.ac.bd</t>
  </si>
  <si>
    <t>Enan Mahmud</t>
  </si>
  <si>
    <t>enan.mahmud@g.bracu.ac.bd</t>
  </si>
  <si>
    <t>MD Sajid Hossain</t>
  </si>
  <si>
    <t>md.sajid.hossain2@g.bracu.ac.bd</t>
  </si>
  <si>
    <t>Md. Mahee Adnan Rafi</t>
  </si>
  <si>
    <t>mahee.adnan.rafi@g.bracu.ac.bd</t>
  </si>
  <si>
    <t>Alif Elham</t>
  </si>
  <si>
    <t>alif.elham@g.bracu.ac.bd</t>
  </si>
  <si>
    <t>Sidrat Moon Taher</t>
  </si>
  <si>
    <t>sidrat.moon.taher@g.bracu.ac.bd</t>
  </si>
  <si>
    <t>Navil Hossain Chowdhury</t>
  </si>
  <si>
    <t>navil.hossain.chowdhury@g.bracu.ac.bd</t>
  </si>
  <si>
    <t>Md Zahidun Muntaqa khan</t>
  </si>
  <si>
    <t>zahidun.muntaqa.khan@g.bracu.ac.bd</t>
  </si>
  <si>
    <t>Nusrat Jahan</t>
  </si>
  <si>
    <t>nusrat.jahan25@g.bracu.ac.bd</t>
  </si>
  <si>
    <t>Mostofa Morshed Sayeem</t>
  </si>
  <si>
    <t>Mostofa.morshed.sayeem@g.bracu.ac.bd</t>
  </si>
  <si>
    <t>Shadman Labib Eram</t>
  </si>
  <si>
    <t>shadman.labib.eram@g.bracu.ac.bd</t>
  </si>
  <si>
    <t>Saqlaine Noor</t>
  </si>
  <si>
    <t>saqlaine.noor@g.bracu.ac.bd</t>
  </si>
  <si>
    <t>Md. Mahidul Islam</t>
  </si>
  <si>
    <t>md.mahidul.islam@g.bracu.ac.bd</t>
  </si>
  <si>
    <t>Md Haseeb Afeef</t>
  </si>
  <si>
    <t>md.haseeb.afeef@g.bracu.ac.bd</t>
  </si>
  <si>
    <t>Khalid Hasan</t>
  </si>
  <si>
    <t>khalid@g.bracu.ac.bd</t>
  </si>
  <si>
    <t>KM Emmanuel Rinoy</t>
  </si>
  <si>
    <t>km.emmanuel.rinoy@g.bracu.ac.bd</t>
  </si>
  <si>
    <t>Shafiul Bashar Prodhan</t>
  </si>
  <si>
    <t>shafiul.bashar.prodhan@g.bracu.ac.bd</t>
  </si>
  <si>
    <t>Sanjida Tasnim</t>
  </si>
  <si>
    <t>sanjida.tasnim1@g.bracu.ac.bd</t>
  </si>
  <si>
    <t>Jannatul Ferdous Piya</t>
  </si>
  <si>
    <t>jannatul.ferdous.piya@g.bracu.ac.bd</t>
  </si>
  <si>
    <t>Soumitra Das</t>
  </si>
  <si>
    <t>soumitra.das1@g.bracu.ac.bd</t>
  </si>
  <si>
    <t>Avisheek Pal Joy</t>
  </si>
  <si>
    <t>avisheek.pal.joy@g.bracu.ac.bd</t>
  </si>
  <si>
    <t>Shahid Al Xian</t>
  </si>
  <si>
    <t>shahid.al.xian@g.bracu.ac.bd</t>
  </si>
  <si>
    <t>Aynul islam Ayon</t>
  </si>
  <si>
    <t>aynulislamayon@g.bracu.ac.bd</t>
  </si>
  <si>
    <t>Sidratul Moontaha</t>
  </si>
  <si>
    <t>sidratul.moontaha1@g.bracu.ac.bd</t>
  </si>
  <si>
    <t>Joy Das</t>
  </si>
  <si>
    <t>joy.das@g.bracu.ac.bd</t>
  </si>
  <si>
    <t>Tasfia Jalal Meghla</t>
  </si>
  <si>
    <t>tasfia.jalal.meghla@g.bracu.ac.bd</t>
  </si>
  <si>
    <t>Mohammad Sarafat Sadik Sajeeb</t>
  </si>
  <si>
    <t>sarafat.sadik.sajeeb@g.bracu.ac.bd</t>
  </si>
  <si>
    <t>Elaika Alam</t>
  </si>
  <si>
    <t>elaika.alam@g.bracu.ac.bd</t>
  </si>
  <si>
    <t>Syed Fahmid Arefeen</t>
  </si>
  <si>
    <t>syed.fahmid.arefeen@g.bracu.ac.bd</t>
  </si>
  <si>
    <t>Safwan Zahid Saion</t>
  </si>
  <si>
    <t>safwan.zahid.saion@g.bracu.ac.bd</t>
  </si>
  <si>
    <t>Tasnia Afrin</t>
  </si>
  <si>
    <t>tasnia.afrin@g.bracu.ac.bd</t>
  </si>
  <si>
    <t>Snigdha Kumar Saha</t>
  </si>
  <si>
    <t>snigdha.kumar.saha@g.bracu.ac.bd</t>
  </si>
  <si>
    <t>NUSRAT JAHAN</t>
  </si>
  <si>
    <t>nusrat.jahan40@g.bracu.ac.bd</t>
  </si>
  <si>
    <t>Jannatul Ferdousi Seion</t>
  </si>
  <si>
    <t>jannatul.ferdousi.seion@g.bracu.ac.bd</t>
  </si>
  <si>
    <t>Hossain Mahmud</t>
  </si>
  <si>
    <t>hossain.mahmud@g.bracu.ac.bd</t>
  </si>
  <si>
    <t>MD. Mushfiqur Naim</t>
  </si>
  <si>
    <t>md.mushfiqur.naim@g.bracu.ac.bd</t>
  </si>
  <si>
    <t>Tamzid Hasan Anan</t>
  </si>
  <si>
    <t>tamzid.hasan.anan@g.bracu.ac.bd</t>
  </si>
  <si>
    <t>MD. Monjurul Islam</t>
  </si>
  <si>
    <t>md.monjurul.islam2@g.bracu.ac.bd</t>
  </si>
  <si>
    <t>Zawad Ibne Shams</t>
  </si>
  <si>
    <t>zawad.ibne.shams@g.bracu.ac.bd</t>
  </si>
  <si>
    <t>Kabya Hassan</t>
  </si>
  <si>
    <t>Human Resources</t>
  </si>
  <si>
    <t>01316985231</t>
  </si>
  <si>
    <t>kabya.hassan@g.bracu.ac.bd</t>
  </si>
  <si>
    <t>M. A. Zubaer</t>
  </si>
  <si>
    <t>01921683327</t>
  </si>
  <si>
    <t>m.a.zubaer@g.bracu.ac.bd</t>
  </si>
  <si>
    <t>Md Enayet Ali Labib</t>
  </si>
  <si>
    <t>01711649120</t>
  </si>
  <si>
    <t>enayet.ali.labib@g.bracu.ac.bd</t>
  </si>
  <si>
    <t>Shakeel</t>
  </si>
  <si>
    <t>01858581774</t>
  </si>
  <si>
    <t>shakeel@g.bracu.ac.bd</t>
  </si>
  <si>
    <t>Zarrafuzzaman Choudhury</t>
  </si>
  <si>
    <t>01674490755</t>
  </si>
  <si>
    <t>zarrafuzzaman.choudhury@g.bracu.ac.bd</t>
  </si>
  <si>
    <t>Dibyo Singho Barua Subrajit</t>
  </si>
  <si>
    <t>dibyosingho.barua.subrajit@g.bracu.ac.bd</t>
  </si>
  <si>
    <t>Fahmidul Islam</t>
  </si>
  <si>
    <t>fahmidul.islam@g.bracu.ac.bd</t>
  </si>
  <si>
    <t>Newaz Bin Jafor</t>
  </si>
  <si>
    <t>01726221986</t>
  </si>
  <si>
    <t>newaz.bin.jafor@g.bracu.ac.bd</t>
  </si>
  <si>
    <t>Adittya Dey</t>
  </si>
  <si>
    <t>Adittya.dey@g.bracu.ac.bd</t>
  </si>
  <si>
    <t>Pushpita Pronoti</t>
  </si>
  <si>
    <t>pushpita.pronoti@g.bracu.ac.bd</t>
  </si>
  <si>
    <t>Kazi Nazifa Tabassum</t>
  </si>
  <si>
    <t>kazi.nazifa.tabassum@g.bracu.ac.bd</t>
  </si>
  <si>
    <t>Fatin Ilham</t>
  </si>
  <si>
    <t>fatin.ilham@g.bracu.ac.bd</t>
  </si>
  <si>
    <t>Anan Rahman Khan</t>
  </si>
  <si>
    <t>anan@g.bracu.ac.bd</t>
  </si>
  <si>
    <t>Ishfak Mahbub Samin</t>
  </si>
  <si>
    <t>ishfak.mahbub.samin@g.bracu.ac.bd</t>
  </si>
  <si>
    <t>Mehedi Hasan</t>
  </si>
  <si>
    <t>mehedi.hasan18@g.bracu.ac.bd</t>
  </si>
  <si>
    <t>Sakif Arman</t>
  </si>
  <si>
    <t>sakif.arman@g.bracu.ac.bd</t>
  </si>
  <si>
    <t>Md Ragib Shahriar</t>
  </si>
  <si>
    <t>1552383521</t>
  </si>
  <si>
    <t>md.ragib.shahriar1@g.bracu.ac.bd</t>
  </si>
  <si>
    <t>Mehrun-Nisa Rahman</t>
  </si>
  <si>
    <t>1977233453</t>
  </si>
  <si>
    <t>mehrun.nisa.rahman@g.bracu.ac.bd</t>
  </si>
  <si>
    <t>Farah Tabussum</t>
  </si>
  <si>
    <t>farah.tabussum@g.bracu.ac.bd</t>
  </si>
  <si>
    <t>Sikder Mohammad Mahdi Swad</t>
  </si>
  <si>
    <t>sikdermohammad.mahdiswad@g.bracu.ac.bd</t>
  </si>
  <si>
    <t>Samiha Tashin</t>
  </si>
  <si>
    <t>1841556516</t>
  </si>
  <si>
    <t>samiha.tashin@g.bracu.ac.bd</t>
  </si>
  <si>
    <t>Syed Al Naphew Adib</t>
  </si>
  <si>
    <t>1400893587</t>
  </si>
  <si>
    <t>syed.alnaphew.adib@g.bracu.ac.bd</t>
  </si>
  <si>
    <t>Antik Debnath</t>
  </si>
  <si>
    <t>1841365056</t>
  </si>
  <si>
    <t>antik.debnath@g.bracu.ac.bd</t>
  </si>
  <si>
    <t>Md. Meheraz Hossain Alif</t>
  </si>
  <si>
    <t>1647666630</t>
  </si>
  <si>
    <t>meheraz.hossain.alif@g.bracu.ac.bd</t>
  </si>
  <si>
    <t>Ishmam Mohammed Chowdhury</t>
  </si>
  <si>
    <t>ishmam.mohammed.chowdhury@g.bracu.ac.bd</t>
  </si>
  <si>
    <t>Ayesha Islam Upama</t>
  </si>
  <si>
    <t>Ayesha.islam.upama@g.bracu.ac.bd</t>
  </si>
  <si>
    <t>Nova Tasnim</t>
  </si>
  <si>
    <t>nova.tasnim@g.bracu.ac.bd</t>
  </si>
  <si>
    <t>Sneha Bhattacharjee</t>
  </si>
  <si>
    <t>sneha.bhattacharjee1@g.bracu.ac.bd</t>
  </si>
  <si>
    <t>Mehjabin Iffat Binte Mahbub</t>
  </si>
  <si>
    <t>1907111000</t>
  </si>
  <si>
    <t>mehjabiniffat.binte.mahbub@g.bracu.ac.bd</t>
  </si>
  <si>
    <t>Sidratul Muntaha Khan</t>
  </si>
  <si>
    <t>1681531225</t>
  </si>
  <si>
    <t>sidratul.muntaha.khan1@g.bracu.ac.bd</t>
  </si>
  <si>
    <t>Md. Mahathir Alam</t>
  </si>
  <si>
    <t>1854943188</t>
  </si>
  <si>
    <t>md.mahathir.alam@g.bracu.ac.bd</t>
  </si>
  <si>
    <t>Abdullah Ash Shakur</t>
  </si>
  <si>
    <t>1976441637</t>
  </si>
  <si>
    <t>abdullah.ash.shakur@g.bracu.ac.bd</t>
  </si>
  <si>
    <t>Mahira Tahsin Aurpa</t>
  </si>
  <si>
    <t>1929580472</t>
  </si>
  <si>
    <t>mahira.tahsin.aurpa@g.bracu.ac.bd</t>
  </si>
  <si>
    <t>Umar Ahmed Salah</t>
  </si>
  <si>
    <t>1762018891</t>
  </si>
  <si>
    <t>umar.ahmed.salah@g.bracu.ac.bd</t>
  </si>
  <si>
    <t>Hasanul Banna Himel</t>
  </si>
  <si>
    <t>1976903571</t>
  </si>
  <si>
    <t>hasanul.banna.himel@g.bracu.ac.bd</t>
  </si>
  <si>
    <t>Tasnia Tasnim Mumu</t>
  </si>
  <si>
    <t>1600119412</t>
  </si>
  <si>
    <t>tasnia.tasnim.mumu@g.bracu.ac.bd</t>
  </si>
  <si>
    <t>Fahim Abrar</t>
  </si>
  <si>
    <t>1741295738</t>
  </si>
  <si>
    <t>fahim.abrar3@g.bracu.ac.bd</t>
  </si>
  <si>
    <t>Md. Ashabur Rahman</t>
  </si>
  <si>
    <t>1721936021</t>
  </si>
  <si>
    <t>md.ashabur.rahman@g.bracu.ac.bd</t>
  </si>
  <si>
    <t>Sheikh Sadat Ahmed</t>
  </si>
  <si>
    <t>1949464486</t>
  </si>
  <si>
    <t>sheikh.sadat.ahmed@g.bracu.ac.bd</t>
  </si>
  <si>
    <t>Kazi Ohiduzzaman Sheam</t>
  </si>
  <si>
    <t>1623303395</t>
  </si>
  <si>
    <t>kazi.ohiduzzaman.sheam@g.bracu.ac.bd</t>
  </si>
  <si>
    <t>Sajid Hassan Sarker</t>
  </si>
  <si>
    <t>1817286291</t>
  </si>
  <si>
    <t>sajid.hassan.sarker@g.bracu.ac.bd</t>
  </si>
  <si>
    <t>Shahrat Rayan</t>
  </si>
  <si>
    <t>1951134080</t>
  </si>
  <si>
    <t>shahrat.rayan@g.bracu.ac.bd</t>
  </si>
  <si>
    <t>Tausif Ahamed Adib</t>
  </si>
  <si>
    <t>1518305583</t>
  </si>
  <si>
    <t>tausif.ahamed.adib@g.bracu.ac.bd</t>
  </si>
  <si>
    <t>Jenin Tasnim</t>
  </si>
  <si>
    <t>1971757891</t>
  </si>
  <si>
    <t>jenin.tasnim@g.bracu.ac.bd</t>
  </si>
  <si>
    <t>Kazi Arafat Bin Ibrahim</t>
  </si>
  <si>
    <t>1777976955</t>
  </si>
  <si>
    <t>arafat.bin.Ibrahim@g.bracu.ac.bd</t>
  </si>
  <si>
    <t>Aditya Das Gupta</t>
  </si>
  <si>
    <t>1319026339</t>
  </si>
  <si>
    <t>aditya.das.gupta@g.bracu.ac.bd</t>
  </si>
  <si>
    <t>Mabia Ferdous</t>
  </si>
  <si>
    <t>1878871382</t>
  </si>
  <si>
    <t>mabia.ferdous@g.bracu.ac.bd</t>
  </si>
  <si>
    <t>Raihan Yusuf</t>
  </si>
  <si>
    <t>1590036984</t>
  </si>
  <si>
    <t>raihan.yusuf@g.bracu.ac.bd</t>
  </si>
  <si>
    <t>Md. Musfiquer Rahman</t>
  </si>
  <si>
    <t>1989565591</t>
  </si>
  <si>
    <t>md.musfiquer.rahman@g.bracu.ac.bd</t>
  </si>
  <si>
    <t>Md. Faisal Iftekhar</t>
  </si>
  <si>
    <t>1642334352</t>
  </si>
  <si>
    <t>md.faisal.iftekhar@g.bracu.ac.bd</t>
  </si>
  <si>
    <t>Atika Tabassum</t>
  </si>
  <si>
    <t>1972322025</t>
  </si>
  <si>
    <t>atika.tabassum1@g.bracu.ac.bd</t>
  </si>
  <si>
    <t>Tawfiq Aziz Khan Rafi</t>
  </si>
  <si>
    <t>1581696189</t>
  </si>
  <si>
    <t>tawfiqaziz.khan.rafi@g.bracu.ac.bd</t>
  </si>
  <si>
    <t>Wasif Billah Tanoy</t>
  </si>
  <si>
    <t>1533533834</t>
  </si>
  <si>
    <t>wasif.billah.tanoy@g.bracu.ac.bd</t>
  </si>
  <si>
    <t>Iftekhar Hossain Rahi</t>
  </si>
  <si>
    <t>1303670630</t>
  </si>
  <si>
    <t>iftekhar.hossain.rahi@g.bracu.ac.bd</t>
  </si>
  <si>
    <t>Md Nabil Khan</t>
  </si>
  <si>
    <t>1632341604</t>
  </si>
  <si>
    <t>md.nabil.khan@g.bracu.ac.bd</t>
  </si>
  <si>
    <t>Md. Fuadur Rahman</t>
  </si>
  <si>
    <t>fuadur.rahman.mollah@g.bracu.ac.bd</t>
  </si>
  <si>
    <t>Saikat Rahman Asif</t>
  </si>
  <si>
    <t>1892401669</t>
  </si>
  <si>
    <t>saikat.rahman.asif@g.bracu.ac.bd</t>
  </si>
  <si>
    <t>Sadia Sultana</t>
  </si>
  <si>
    <t>1701562932</t>
  </si>
  <si>
    <t>sadia.sultana.tamim@g.bracu.ac.bd</t>
  </si>
  <si>
    <t>Monaz Zerin Monir Bismah</t>
  </si>
  <si>
    <t>1608901527</t>
  </si>
  <si>
    <t>monaz.zerin.monirbismah@g.bracu.ac.bd</t>
  </si>
  <si>
    <t>Sani Munir Mannan Muntazar</t>
  </si>
  <si>
    <t>1999990217</t>
  </si>
  <si>
    <t>sanimunir.mannan.muntazar@g.bracu.ac.bd</t>
  </si>
  <si>
    <t>Salman Siddique</t>
  </si>
  <si>
    <t>1928367765</t>
  </si>
  <si>
    <t>salman.siddique@g.bracu.ac.bd</t>
  </si>
  <si>
    <t>Nazmoon Nahar Aka</t>
  </si>
  <si>
    <t>1835849600</t>
  </si>
  <si>
    <t>nazmoon.nahar.aka@g.bracu.ac.bd</t>
  </si>
  <si>
    <t>Syed Habibul Bashar</t>
  </si>
  <si>
    <t>1531965534</t>
  </si>
  <si>
    <t>syed.habibul.bashar@g.bracu.ac.bd</t>
  </si>
  <si>
    <t>Shagupta Tasnim</t>
  </si>
  <si>
    <t>1869132868</t>
  </si>
  <si>
    <t>shagupta.tasnim@g.bracu.ac.bd</t>
  </si>
  <si>
    <t>Muktadir Rahman</t>
  </si>
  <si>
    <t>1604371350</t>
  </si>
  <si>
    <t>muktadir.rahman@g.bracu.ac.bd</t>
  </si>
  <si>
    <t>Sharaf Ahmed</t>
  </si>
  <si>
    <t>sharaf.ahmed@g.bracu.ac.bd</t>
  </si>
  <si>
    <t>Adiba Anjum ( MITHILA )</t>
  </si>
  <si>
    <t>adiba.anjum@g.bracu.ac.bd</t>
  </si>
  <si>
    <t>Rayan Tamim Ahona</t>
  </si>
  <si>
    <t>rayan.tamim.ahona@g.bracu.ac.bd</t>
  </si>
  <si>
    <t>Rahib Khan</t>
  </si>
  <si>
    <t>rahib.khan@g.bracu.ac.bd</t>
  </si>
  <si>
    <t>Quazi Naqibul Alam</t>
  </si>
  <si>
    <t>quazi.naqibul.alam@g.bracu.ac.bd</t>
  </si>
  <si>
    <t>Shaira Binte Aziz</t>
  </si>
  <si>
    <t>shaira.binte.aziz@g.bracu.ac.bd</t>
  </si>
  <si>
    <t>Plabon Mondal</t>
  </si>
  <si>
    <t>plabon.mondal@g.bracu.ac.bd</t>
  </si>
  <si>
    <t>Mihir Foysal Mahin</t>
  </si>
  <si>
    <t>mihir.foysal.mahin@g.bracu.ac.bd</t>
  </si>
  <si>
    <t>Adib Mohsin</t>
  </si>
  <si>
    <t>adib.mohsin@g.bracu.ac.bd</t>
  </si>
  <si>
    <t>Adnan Wahid</t>
  </si>
  <si>
    <t>adnan.wahid@g.bracu.ac.bd</t>
  </si>
  <si>
    <t>Kazi Md Rafid Nur Ferdous</t>
  </si>
  <si>
    <t>raffid.nur.ferdous@g.bracu.ac.bd</t>
  </si>
  <si>
    <t>MD Rifat Chowdhury</t>
  </si>
  <si>
    <t>md.rifat.chowdhury@g.bracu.ac.bd</t>
  </si>
  <si>
    <t>Farhan Sadid</t>
  </si>
  <si>
    <t>farhan.sadid@g.bracu.ac.bd</t>
  </si>
  <si>
    <t>Noushin Saadaf Khan</t>
  </si>
  <si>
    <t>Noushin.saadaf.khan@g.bracu.ac.bd</t>
  </si>
  <si>
    <t>MD. Golam Mortuza Ali Rohan</t>
  </si>
  <si>
    <t>golam.mortuza.ali@g.bracu.ac.bd</t>
  </si>
  <si>
    <t>Mahmood Almas Zakaria Sreyan</t>
  </si>
  <si>
    <t>mahmood.almas.zakaria@g.bracu.ac.bd</t>
  </si>
  <si>
    <t>Tajrean Karim Taj</t>
  </si>
  <si>
    <t>tajrean.karim.taj@g.bracu.ac.bd</t>
  </si>
  <si>
    <t>Saima Adiba Alam</t>
  </si>
  <si>
    <t>saima.adiba.alam@g.bracu.ac.bd</t>
  </si>
  <si>
    <t>Naseef Nazrul Islam</t>
  </si>
  <si>
    <t>naseef.nazrul.islam@g.bracu.ac.bd</t>
  </si>
  <si>
    <t>Shamsul Azam MD Naser</t>
  </si>
  <si>
    <t>shamsulazam.md.naser@g.bracu.ac.bd</t>
  </si>
  <si>
    <t>Mohammad Rashedul Haque</t>
  </si>
  <si>
    <t>mohammad.rashedul.haque@g.bracu.ac.bd</t>
  </si>
  <si>
    <t>Md. Tauhid Uz-Zaman</t>
  </si>
  <si>
    <t>tauhid.uz.zaman@g.bracu.ac.bd</t>
  </si>
  <si>
    <t>Sabbir Bin Abbas</t>
  </si>
  <si>
    <t>sabbir.bin.abbas@g.bracu.ac.bd</t>
  </si>
  <si>
    <t>Md. Saleh Ahmed Rahat</t>
  </si>
  <si>
    <t>saleh.ahmed.rahat@g.bracu.ac.bd</t>
  </si>
  <si>
    <t>K. M. Mahim Ahsan</t>
  </si>
  <si>
    <t>km.mahim.ahsan@g.bracu.ac.bd</t>
  </si>
  <si>
    <t>Faed Ahnaf Mahdee</t>
  </si>
  <si>
    <t>faed.ahnaf.mahdee@g.bracu.ac.bd</t>
  </si>
  <si>
    <t>Meshkatul Arefin</t>
  </si>
  <si>
    <t>meshkatul.arefin1@g.bracu.ac.bd</t>
  </si>
  <si>
    <t>Sakib Abrar Rahman</t>
  </si>
  <si>
    <t>sakib.abrar.rahman@g.bracu.ac.bd</t>
  </si>
  <si>
    <t>MAIMUN MAAZ</t>
  </si>
  <si>
    <t>maimun.maaz@g.bracu.ac.bd</t>
  </si>
  <si>
    <t>Syeda Nushrat Jahan Pionty</t>
  </si>
  <si>
    <t>nusrat.jahan.pionty@g.bracu.ac.bd</t>
  </si>
  <si>
    <t>Nafisa Sultana</t>
  </si>
  <si>
    <t>nafisa.sultana@g.bracu.ac.bd</t>
  </si>
  <si>
    <t>Sadia Afroze</t>
  </si>
  <si>
    <t>sadia.afroze2@g.bracu.ac.bd</t>
  </si>
  <si>
    <t>Arunima Lodh</t>
  </si>
  <si>
    <t>arunima.lodh@g.bracu.ac.bd</t>
  </si>
  <si>
    <t>Zareeshna Anwar</t>
  </si>
  <si>
    <t>zareeshna.anwar@g.bracu.ac.bd</t>
  </si>
  <si>
    <t>Ifaz Abdullah</t>
  </si>
  <si>
    <t>ifaz.abdullah@g.bracu.ac.bd</t>
  </si>
  <si>
    <t>Kazi Sumehra Tasneem</t>
  </si>
  <si>
    <t>kazi.sumehra.tasneem@g.bracu.ac.bd</t>
  </si>
  <si>
    <t>Adnan Mahmud Nibir</t>
  </si>
  <si>
    <t>adnan.mahmud.nibir@g.bracu.ac.bd</t>
  </si>
  <si>
    <t>Naimul Alam Sadman</t>
  </si>
  <si>
    <t>naimul.alam.sadman@g.bracu.ac.bd</t>
  </si>
  <si>
    <t>Anika Salsabil</t>
  </si>
  <si>
    <t>Press Release &amp; Publications</t>
  </si>
  <si>
    <t>anika.salsabil1@g.bracu.ac.bd</t>
  </si>
  <si>
    <t>Md. Mushroor Muttakin Khan</t>
  </si>
  <si>
    <t>mushroor.muttakin.khan@g.bracu.ac.bd</t>
  </si>
  <si>
    <t>Shajedul Arefin</t>
  </si>
  <si>
    <t>shajedul.arefin@g.bracu.ac.bd</t>
  </si>
  <si>
    <t>Md. Rizwanul Mushfiq</t>
  </si>
  <si>
    <t>md.rizwanul.mushfiq@g.bracu.ac.bd</t>
  </si>
  <si>
    <t>Hasnain Ashraf</t>
  </si>
  <si>
    <t>hasnain.ashraf@g.bracu.ac.bd</t>
  </si>
  <si>
    <t>Sayed Sohanul Islam</t>
  </si>
  <si>
    <t>sayed.sohanul.islam@g.bracu.ac.bd</t>
  </si>
  <si>
    <t>Afrin Anowar Tanisha</t>
  </si>
  <si>
    <t>afrin.anowar.tanisha@g.bracu.ac.bd</t>
  </si>
  <si>
    <t>Tarannum Al Akida</t>
  </si>
  <si>
    <t>tarannum.al.akida@g.bracu.ac.bd</t>
  </si>
  <si>
    <t>Imtiaz Ahmed Shovon</t>
  </si>
  <si>
    <t>imtiaz.ahmed.shovon@g.bracu.ac.bd</t>
  </si>
  <si>
    <t>Rahat Ahmed Jobu</t>
  </si>
  <si>
    <t>rahat.ahmed.jobu@g.bracu.ac.bd</t>
  </si>
  <si>
    <t>Anika Tahsin Moumita</t>
  </si>
  <si>
    <t>anika.tahsin.moumita@g.bracu.ac.bd</t>
  </si>
  <si>
    <t>Sumaya Afroze Chaha</t>
  </si>
  <si>
    <t>sumaya.afroze.chaha@g.bracu.ac.bd</t>
  </si>
  <si>
    <t>Rubaiyet Anjum</t>
  </si>
  <si>
    <t>rubaiyet.anjum@g.bracu.ac.bd</t>
  </si>
  <si>
    <t>Sanjeed Showkat Sajeen</t>
  </si>
  <si>
    <t>sanjeed.showkat.sajeen@g.bracu.ac.bd</t>
  </si>
  <si>
    <t>Ishatir Makhsura Jahan</t>
  </si>
  <si>
    <t>ishatir.makhsura.jahan@g.bracu.ac.bd</t>
  </si>
  <si>
    <t>Jawwad Jinan</t>
  </si>
  <si>
    <t>jawwad.jinan@g.bracu.ac.bd</t>
  </si>
  <si>
    <t>Authoy Rahman</t>
  </si>
  <si>
    <t>authoy.rahman@g.bracu.ac.bd</t>
  </si>
  <si>
    <t>Abdullah Abtahee Mohammad</t>
  </si>
  <si>
    <t>abdullah.abtahee.mohammad@g.bracu.ac.bd</t>
  </si>
  <si>
    <t>tahsin.ahmed5@g.bracu.ac.bd</t>
  </si>
  <si>
    <t>Wasifa Afsara</t>
  </si>
  <si>
    <t>wasifa.afsara@g.bracu.ac.bd</t>
  </si>
  <si>
    <t>Syba Binte Mahadi</t>
  </si>
  <si>
    <t>syba.binte.mahadi@g.bracu.ac.bd</t>
  </si>
  <si>
    <t>Md. Nawshad Zaman Khan</t>
  </si>
  <si>
    <t>nawshad.zaman.khan@g.bracu.ac.bd</t>
  </si>
  <si>
    <t>Ashfia Newaz</t>
  </si>
  <si>
    <t>ashfia.newaz@g.bracu.ac.bd</t>
  </si>
  <si>
    <t>Nabila Tabassum Khan</t>
  </si>
  <si>
    <t>nabila.tabassum.khan@g.bracu.ac.bd</t>
  </si>
  <si>
    <t>Sumaiya Tabassum</t>
  </si>
  <si>
    <t>sumaiya.tabassum5@g.bracu.ac.bd</t>
  </si>
  <si>
    <t>Zawad Hossain</t>
  </si>
  <si>
    <t>zawad.hossain1@g.bracu.ac.bd</t>
  </si>
  <si>
    <t>Eishat Ijaireen</t>
  </si>
  <si>
    <t>eishat.ijaireen@g.bracu.ac.bd</t>
  </si>
  <si>
    <t>S M Zaheen Muktadir</t>
  </si>
  <si>
    <t>sm.zaheen.muktadir@g.bracu.ac.bd</t>
  </si>
  <si>
    <t>Mohammed Sayed Sameer</t>
  </si>
  <si>
    <t>Mohammed.sayed.sameer@g.bracu.ac.bd</t>
  </si>
  <si>
    <t>Intasir Kamal Chowdhury Safin</t>
  </si>
  <si>
    <t>intasir.kamal.chowdhury@g.bracu.ac.bd</t>
  </si>
  <si>
    <t>Parisa Asaf</t>
  </si>
  <si>
    <t>parisa.asaf@g.bracu.ac.bd</t>
  </si>
  <si>
    <t>Jerin Akter</t>
  </si>
  <si>
    <t>jerin.akter@g.bracu.ac.bd</t>
  </si>
  <si>
    <t>Koushik Dey</t>
  </si>
  <si>
    <t>koushik.dey@g.bracu.ac.bd</t>
  </si>
  <si>
    <t>Fariha Afreen Preety</t>
  </si>
  <si>
    <t>fariha.afreen.preety@g.bracu.ac.bd</t>
  </si>
  <si>
    <t>Pranjal Basak</t>
  </si>
  <si>
    <t>pranjal.basak@g.bracu.ac.bd</t>
  </si>
  <si>
    <t>Irfan Sadi Dhrubo</t>
  </si>
  <si>
    <t>irfan.sadi.dhrubo@g.bracu.ac.bd</t>
  </si>
  <si>
    <t>Md. Mahidul Alam Araf</t>
  </si>
  <si>
    <t>mahidul.alam.araf@g.bracu.ac.bd</t>
  </si>
  <si>
    <t>Maisha Zaman Khan</t>
  </si>
  <si>
    <t>maisha.zaman.khan@g.bracu.ac.bd</t>
  </si>
  <si>
    <t>Farjana Sadia Prome</t>
  </si>
  <si>
    <t>farjana.sadia.prome@g.bracu.ac.bd</t>
  </si>
  <si>
    <t>Pronoy Pramanick</t>
  </si>
  <si>
    <t>pronoy.pramanick@g.bracu.ac.bd</t>
  </si>
  <si>
    <t>Adrija Paul</t>
  </si>
  <si>
    <t>adrija.paul@g.bracu.ac.bd</t>
  </si>
  <si>
    <t>Imtiaz Mashrafee Samin</t>
  </si>
  <si>
    <t>imtiaz.mashrafee.samin@g.bracu.ac.bd</t>
  </si>
  <si>
    <t>Shararah Kibria</t>
  </si>
  <si>
    <t>shararah.kibria@g.bracu.ac.bd</t>
  </si>
  <si>
    <t>Tanjim Mohamed Nirjhor</t>
  </si>
  <si>
    <t>tanjim.mohamed.nirjhor@g.bracu.ac.bd</t>
  </si>
  <si>
    <t>Aayan Haider</t>
  </si>
  <si>
    <t>aayan.haider@g.bracu.ac.bd</t>
  </si>
  <si>
    <t>Mohammad Jabir Safa Khandoker</t>
  </si>
  <si>
    <t>jabir.safa.khandoker@g.bracu.ac.bd</t>
  </si>
  <si>
    <t>Lusaka Nower Arpita</t>
  </si>
  <si>
    <t>lusaka.nower.arpita@g.bracu.ac.bd</t>
  </si>
  <si>
    <t>Md Sakib Sadman Badhon</t>
  </si>
  <si>
    <t>sakib.sadman.badhon@g.bracu.ac.bd</t>
  </si>
  <si>
    <t>Ayon Podder</t>
  </si>
  <si>
    <t>ayon.podder@g.bracu.ac.bd</t>
  </si>
  <si>
    <t>Wasib Ahmed Chayan</t>
  </si>
  <si>
    <t>wasib.ahmed.chayan@g.bracu.ac.bd</t>
  </si>
  <si>
    <t>Arpita Saha</t>
  </si>
  <si>
    <t>arpita.saha@g.bracu.ac.bd</t>
  </si>
  <si>
    <t>Samuzzal Swapno</t>
  </si>
  <si>
    <t>samuzzal.swapno@g.bracu.ac.bd</t>
  </si>
  <si>
    <t>Rehnuma Mahajabin</t>
  </si>
  <si>
    <t>rehnuma.mahajabin@g.bracu.ac.bd</t>
  </si>
  <si>
    <t>Fall 23</t>
  </si>
  <si>
    <t>nusrat.jahan.nishu@g.bracu.ac.bd</t>
  </si>
  <si>
    <t>Shruti Debnath</t>
  </si>
  <si>
    <t>shruti.debnath@g.bracu.ac.bd</t>
  </si>
  <si>
    <t>Fahad Bin Hussain</t>
  </si>
  <si>
    <t>fahad.bin.hussain@g.bracu.ac.bd</t>
  </si>
  <si>
    <t>Adrika Das</t>
  </si>
  <si>
    <t>adrika.das@g.bracu.ac.bd</t>
  </si>
  <si>
    <t>Samiha Fairooz Urbi</t>
  </si>
  <si>
    <t>samiha.fairooz.urbi@g.bracu.ac.bd</t>
  </si>
  <si>
    <t>Md. Ashfaqul Awal</t>
  </si>
  <si>
    <t>md.ashfaqul.awal@g.bracu.ac.bd</t>
  </si>
  <si>
    <t>Sikder Marbin Rime</t>
  </si>
  <si>
    <t>sikder.marbin.rime@g.bracu.ac.bd</t>
  </si>
  <si>
    <t>Raisa Tanmin</t>
  </si>
  <si>
    <t>raisa.tanmin@g.bracu.ac.bd</t>
  </si>
  <si>
    <t>Amrita Roy</t>
  </si>
  <si>
    <t>amrita.roy1@g.bracu.ac.bd</t>
  </si>
  <si>
    <t>Abir Hossain</t>
  </si>
  <si>
    <t>abir.hossain3@g.bracu.ac.bd</t>
  </si>
  <si>
    <t>ANAS BIN HABIB</t>
  </si>
  <si>
    <t>anas.bin.habib@g.bracu.ac.bd</t>
  </si>
  <si>
    <t>Sanzid Safin Rahman</t>
  </si>
  <si>
    <t>sanzid.safin.rahman@g.bracu.ac.bd</t>
  </si>
  <si>
    <t>Tasfia Mashiat</t>
  </si>
  <si>
    <t>tasfia.mashiat@g.bracu.ac.bd</t>
  </si>
  <si>
    <t>Losmi Rahman</t>
  </si>
  <si>
    <t>losmi.rahman@g.bracu.ac.bd</t>
  </si>
  <si>
    <t>Zafrin Zaman Mithila</t>
  </si>
  <si>
    <t>zafrin.zaman.mithila@g.bracu.ac.bd</t>
  </si>
  <si>
    <t>Ridita katha</t>
  </si>
  <si>
    <t>ridita.katha@g.bracu.ac.bd</t>
  </si>
  <si>
    <t>Nafis Fuad Wasee</t>
  </si>
  <si>
    <t>nafis.fuad.wasee@g.bracu.ac.bd</t>
  </si>
  <si>
    <t>Mondira Ghosh Golpo</t>
  </si>
  <si>
    <t>mondira.ghosh.golpo@g.bracu.ac.bd</t>
  </si>
  <si>
    <t>Tashfiqul Islam</t>
  </si>
  <si>
    <t>tashfiqul.islam@g.bracu.ac.bd</t>
  </si>
  <si>
    <t>Tethi Saha</t>
  </si>
  <si>
    <t>tethi.saha@g.bracu.ac.bd</t>
  </si>
  <si>
    <t>Arik Zuhayer Shams</t>
  </si>
  <si>
    <t>arik.zuhayer.shams@g.bracu.ac.bd</t>
  </si>
  <si>
    <t>Faizah Farbin Sharif</t>
  </si>
  <si>
    <t>faizah.farbin.sharif@g.bracu.ac.bd</t>
  </si>
  <si>
    <t>Jarin Tasnim Maisha</t>
  </si>
  <si>
    <t>jarin.tasnim.maisha@g.bracu.ac.bd</t>
  </si>
  <si>
    <t>Deepita Himadri</t>
  </si>
  <si>
    <t>deepita.himadri@g.bracu.ac.bd</t>
  </si>
  <si>
    <t>Rahil Ayman</t>
  </si>
  <si>
    <t>rahil.ayman@g.bracu.ac.bd</t>
  </si>
  <si>
    <t>Mufliha</t>
  </si>
  <si>
    <t>mufliha.mumtarin.nabila@g.bracu.ac.bd</t>
  </si>
  <si>
    <t>Mahjuba Maliha Rawda</t>
  </si>
  <si>
    <t>mahjuba.maliha.rawda@g.bracu.ac.bd</t>
  </si>
  <si>
    <t>Norika Nawar</t>
  </si>
  <si>
    <t>norika.nawar@g.bracu.ac.bd</t>
  </si>
  <si>
    <t>Arshad Momen Swapno</t>
  </si>
  <si>
    <t>arshad.momen.swapno@g.bracu.ac.bd</t>
  </si>
  <si>
    <t>Md. Shadman Seraj</t>
  </si>
  <si>
    <t>md.shadman.seraj@g.bracu.ac.bd</t>
  </si>
  <si>
    <t>Md. Riyad</t>
  </si>
  <si>
    <t>md.riyad@g.bracu.ac.bd</t>
  </si>
  <si>
    <t>MUNIRA FARUQUE</t>
  </si>
  <si>
    <t>munira.faruque@g.bracu.ac.bd</t>
  </si>
  <si>
    <t>Tasfia Tahsin</t>
  </si>
  <si>
    <t>tasfia.tahsin2@g.bracu.ac.bd</t>
  </si>
  <si>
    <t>Fahad Md. Al Shihab</t>
  </si>
  <si>
    <t>fahad.md.alshihab@g.bracu.ac.bd</t>
  </si>
  <si>
    <t>Taseenur Rahman</t>
  </si>
  <si>
    <t>taseenur.rahman@g.bracu.ac.bd</t>
  </si>
  <si>
    <t>Wasi Abdur Rafi</t>
  </si>
  <si>
    <t>wasi.abdur.rafi@g.bracu.ac.bd</t>
  </si>
  <si>
    <t>Ishmam Chowdhury</t>
  </si>
  <si>
    <t>ishmam.chowdhury@g.bracu.ac.bd</t>
  </si>
  <si>
    <t>Ishmam S. Rahman</t>
  </si>
  <si>
    <t>ishmam.said.rahman@g.bracu.ac.bd</t>
  </si>
  <si>
    <t>Akib Abrar</t>
  </si>
  <si>
    <t>akib.abrar@g.bracu.ac.bd</t>
  </si>
  <si>
    <t>Mugdha Arunim Ahmed</t>
  </si>
  <si>
    <t>mugdha.arunim.ahmed@g.bracu.ac.bd</t>
  </si>
  <si>
    <t>Shafwan Ibne Rahman</t>
  </si>
  <si>
    <t>shafwan.ibne.rahman@g.bracu.ac.bd</t>
  </si>
  <si>
    <t>Raisa Rafa</t>
  </si>
  <si>
    <t>raisa.rafa@g.bracu.ac.bd</t>
  </si>
  <si>
    <t>Tasnia Nawshin</t>
  </si>
  <si>
    <t>tasnia.nawshin@g.bracu.ac.bd</t>
  </si>
  <si>
    <t>SHAH MUSFIQUE RAIYAN ASHRAFI</t>
  </si>
  <si>
    <t>musfique.raiyan.ashrafi@g.bracu.ac.bd</t>
  </si>
  <si>
    <t>Taposhi Hossain</t>
  </si>
  <si>
    <t>taposhi.hossain@g.bracu.ac.bd</t>
  </si>
  <si>
    <t>MEHERUN NESA</t>
  </si>
  <si>
    <t>meherun.nesa1@g.bracu.ac.bd</t>
  </si>
  <si>
    <t>NAFIS SAMI</t>
  </si>
  <si>
    <t>nafis.sami@g.bracu.ac.bd</t>
  </si>
  <si>
    <t>Suchishmit Barua</t>
  </si>
  <si>
    <t>suchishmit.barua@g.bracu.ac.bd</t>
  </si>
  <si>
    <t>MIRZA MOSABBIR RASHED</t>
  </si>
  <si>
    <t>mirza.mosabbir.rashed@g.bracu.ac.bd</t>
  </si>
  <si>
    <t>Hasib Hossain Abir</t>
  </si>
  <si>
    <t>Research and Development</t>
  </si>
  <si>
    <t>01819525640</t>
  </si>
  <si>
    <t>hasib.hossain.abir@g.bracu.ac.bd</t>
  </si>
  <si>
    <t>Mukshitur Rahman Raphy</t>
  </si>
  <si>
    <t>01879369363</t>
  </si>
  <si>
    <t>mukshitur.rahman.raphy@g.bracu.ac.bd</t>
  </si>
  <si>
    <t>Ahmed Unais</t>
  </si>
  <si>
    <t>01994290643</t>
  </si>
  <si>
    <t>ahmed.unais@g.bracu.ac.bd</t>
  </si>
  <si>
    <t>Sadia Binte Kamal</t>
  </si>
  <si>
    <t>01309319125</t>
  </si>
  <si>
    <t>sadia.binte.kamal@g.bracu.ac.bd</t>
  </si>
  <si>
    <t>Nafiul Islam Nafis</t>
  </si>
  <si>
    <t>nafiul.islam.nafis@g.bracu.ac.bd</t>
  </si>
  <si>
    <t>Md. Monazir Doha</t>
  </si>
  <si>
    <t>md.monazir.doha@g.bracu.ac.bd</t>
  </si>
  <si>
    <t>Zawad Ishmam Hriddo</t>
  </si>
  <si>
    <t>01867017046</t>
  </si>
  <si>
    <t>zawad.ishmam.hriddo@g.bracu.ac.bd</t>
  </si>
  <si>
    <t>Ashraful Haque Shrabon</t>
  </si>
  <si>
    <t>ashraful.haque.shrabon@g.bracu.ac.bd</t>
  </si>
  <si>
    <t>Iftekhar Hasan Palash</t>
  </si>
  <si>
    <t>iftekhar.hasan.palash@g.bracu.ac.bd</t>
  </si>
  <si>
    <t>Abdullah Shamsul Arefin</t>
  </si>
  <si>
    <t>1710835690</t>
  </si>
  <si>
    <t>abdullah.shamsul.arefin@g.bracu.ac.bd</t>
  </si>
  <si>
    <t>Tashfeen Azmaine</t>
  </si>
  <si>
    <t>1913580545</t>
  </si>
  <si>
    <t>tashfeen.azmaine@g.bracu.ac.bd</t>
  </si>
  <si>
    <t>Lotifur Shabbir</t>
  </si>
  <si>
    <t>1316575426</t>
  </si>
  <si>
    <t>lotifur.shabbir@g.bracu.ac.bd</t>
  </si>
  <si>
    <t>Emtiaz Ahmed</t>
  </si>
  <si>
    <t>1704829369</t>
  </si>
  <si>
    <t>emtiaz.ahmed@g.bracu.ac.bd</t>
  </si>
  <si>
    <t>Anika Alamgir</t>
  </si>
  <si>
    <t>1819525640</t>
  </si>
  <si>
    <t>anika.alamgir@g.bracu.ac.bd</t>
  </si>
  <si>
    <t>Nusrat Jahan Madhurzo</t>
  </si>
  <si>
    <t>1775149757</t>
  </si>
  <si>
    <t>nusrat.jahan.madhurzo@g.bracu.ac.bd</t>
  </si>
  <si>
    <t>Siam Ferdous</t>
  </si>
  <si>
    <t>siam.ferdous@g.bracu.ac.bd</t>
  </si>
  <si>
    <t>Khandaker Ziaur Rahman</t>
  </si>
  <si>
    <t>khandaker.ziaur.rahman@g.bracu.ac.bd</t>
  </si>
  <si>
    <t>Mahir Dyan</t>
  </si>
  <si>
    <t>mahir.dyan@g.bracu.ac.bd</t>
  </si>
  <si>
    <t>MD. FAHIM HASSAN</t>
  </si>
  <si>
    <t>md.fahim.hassan@g.bracu.ac.bd</t>
  </si>
  <si>
    <t>jarin.tasnim18@g.bracu.ac.bd</t>
  </si>
  <si>
    <t>Alif Hossain Sajib</t>
  </si>
  <si>
    <t>alif.hossain.sajib@g.bracu.ac.bd</t>
  </si>
  <si>
    <t>Tanvir Ahmed</t>
  </si>
  <si>
    <t>tanvir.ahmed10@g.bracu.ac.bd</t>
  </si>
  <si>
    <t>F</t>
  </si>
  <si>
    <t>Ruhana Faijun Sajuti</t>
  </si>
  <si>
    <t>1755651095</t>
  </si>
  <si>
    <t>tasneem.bin.mahmood@g.bracu.ac.bd</t>
  </si>
  <si>
    <t>MD. Mostafijur Rahman</t>
  </si>
  <si>
    <t>1768147764</t>
  </si>
  <si>
    <t>md.mostafijur.rahman@g.bracu.ac.bd</t>
  </si>
  <si>
    <t>1622044060</t>
  </si>
  <si>
    <t>ruhana.faijun.sajuti@g.bracu.ac.bd</t>
  </si>
  <si>
    <t>Badruddoza Kaif</t>
  </si>
  <si>
    <t>badruddoza.kaif@g.bracu.ac.bd</t>
  </si>
  <si>
    <t>Abrar Shariar Kabir</t>
  </si>
  <si>
    <t>abrar.shariar.kabir@g.bracu.ac.bd</t>
  </si>
  <si>
    <t>Muztahid Rahman</t>
  </si>
  <si>
    <t>muztahid.rahman@g.bracu.ac.bd</t>
  </si>
  <si>
    <t>Shahriar Islam Tawsif</t>
  </si>
  <si>
    <t>shahriar.islam.tawsif@g.bracu.ac.bd</t>
  </si>
  <si>
    <t>Emtiaz Ahmed Siam</t>
  </si>
  <si>
    <t>emtiaz.ahmed.siam@g.bracu.ac.bd</t>
  </si>
  <si>
    <t>Sadia Arifen Synthia</t>
  </si>
  <si>
    <t>sadia.arifen.synthia@g.bracu.ac.bd</t>
  </si>
  <si>
    <t>MD. Araby Hassan</t>
  </si>
  <si>
    <t>md.araby.hassan@g.bracu.ac.bd</t>
  </si>
  <si>
    <t>Johra-E-Jannat Oishy</t>
  </si>
  <si>
    <t>johra.e.jannatoishy@g.bracu.ac.bd</t>
  </si>
  <si>
    <t>Tanvir Muhtady</t>
  </si>
  <si>
    <t>tanvir.muhtady@g.bracu.ac.bd</t>
  </si>
  <si>
    <t>Fardin Emran</t>
  </si>
  <si>
    <t>fardin.emran@g.bracu.ac.bd</t>
  </si>
  <si>
    <t>Kamruzzaman Chowdhury</t>
  </si>
  <si>
    <t>kamruzzaman.chowdhury@g.bracu.ac.bd</t>
  </si>
  <si>
    <t>KM Fahim Ashab</t>
  </si>
  <si>
    <t>khandker.md.fahim@g.bracu.ac.bd</t>
  </si>
  <si>
    <t>Mahdi Hasan Shadi</t>
  </si>
  <si>
    <t>mahdi.hasan.shadi@g.bracu.ac.bd</t>
  </si>
  <si>
    <t>Niloy Saha</t>
  </si>
  <si>
    <t>niloy.saha2@g.bracu.ac.bd</t>
  </si>
  <si>
    <t>Aditya Ghose</t>
  </si>
  <si>
    <t>aditya.ghose@g.bracu.ac.bd</t>
  </si>
  <si>
    <t>Samiha Nowrin Nikita</t>
  </si>
  <si>
    <t>samiha.nowrin.nikita@g.bracu.ac.bd</t>
  </si>
  <si>
    <t>Tasneem Bin Mahmood</t>
  </si>
  <si>
    <t>Tasneem Mahmood</t>
  </si>
  <si>
    <t>Md. Khalid Mahmud</t>
  </si>
  <si>
    <t>md.khalid.mahmud@g.bracu.ac.bd</t>
  </si>
  <si>
    <t>Khalid Bin Alam Pronoy</t>
  </si>
  <si>
    <t>khalid.bin.alampronoy@g.bracu.ac.bd</t>
  </si>
  <si>
    <t>Ahnaf Ashique Adi</t>
  </si>
  <si>
    <t>ahnaf.ashique.adi@g.bracu.ac.bd</t>
  </si>
  <si>
    <t>Tahsin Ashraf</t>
  </si>
  <si>
    <t>tahsin.ashraf@g.bracu.ac.bd</t>
  </si>
  <si>
    <t>Aditi Roy Adri</t>
  </si>
  <si>
    <t>aditi.roy.adri@g.bracu.ac.bd</t>
  </si>
  <si>
    <t>Jarin Sultana</t>
  </si>
  <si>
    <t>jarin.sultana@g.bracu.ac.bd</t>
  </si>
  <si>
    <t>MD. Mazidul Islam Kabbo</t>
  </si>
  <si>
    <t>mazidul.islam.kabbo@g.bracu.ac.bd</t>
  </si>
  <si>
    <t>Tahseen Zaman</t>
  </si>
  <si>
    <t>tahseen.zaman@g.bracu.ac.bd</t>
  </si>
  <si>
    <t>Rajesh Saha Roy</t>
  </si>
  <si>
    <t>rajesh.saha.roy@g.bracu.ac.bd</t>
  </si>
  <si>
    <t>S. M. Tahmidul Hoque</t>
  </si>
  <si>
    <t>sm.tahmidul.hoque@g.bracu.ac.bd</t>
  </si>
  <si>
    <t>Muhtasim Hossain Musanna</t>
  </si>
  <si>
    <t>muhtasim.hossain.musanna@g.bracu.ac.bd</t>
  </si>
  <si>
    <t>Shiva Prasad Sarkar</t>
  </si>
  <si>
    <t>shiva.prasad.sarkar@g.bracu.ac.bd</t>
  </si>
  <si>
    <t>MD.Alvi Chowdhury</t>
  </si>
  <si>
    <t>md.alvi.chowdhury@g.bracu.ac.bd</t>
  </si>
  <si>
    <t>Yeasar Arefin</t>
  </si>
  <si>
    <t>yeasar.arefin@g.bracu.ac.bd</t>
  </si>
  <si>
    <t>Md Sajid Khan</t>
  </si>
  <si>
    <t>md.sajid.khan@g.bracu.ac.bd</t>
  </si>
  <si>
    <t>Rafid Shahriar Auvro</t>
  </si>
  <si>
    <t>rafid.shahriar.auvro@g.bracu.ac.bd</t>
  </si>
  <si>
    <t>Srijon Kumar Mondal</t>
  </si>
  <si>
    <t>srijon.kumar.mondal@g.bracu.ac.bd</t>
  </si>
  <si>
    <t>Labib Wadi Sopan</t>
  </si>
  <si>
    <t>labib.wadi.sopan@g.bracu.ac.bd</t>
  </si>
  <si>
    <t>Abu Talha</t>
  </si>
  <si>
    <t>abu.talha2@g.bracu.ac.bd</t>
  </si>
  <si>
    <t>Sameer Roy</t>
  </si>
  <si>
    <t>sameer.roy@g.bracu.ac.bd</t>
  </si>
  <si>
    <t>Sania Rudra Mumu</t>
  </si>
  <si>
    <t>sania.rudra.mumu@g.bracu.ac.bd</t>
  </si>
  <si>
    <t>Jarin Tasnim Sinigdha</t>
  </si>
  <si>
    <t>jarin.tasnim.sinigdha@g.bracu.ac.bd</t>
  </si>
  <si>
    <t>Ritwik Bhowmik</t>
  </si>
  <si>
    <t>ritwik.bhowmik@g.bracu.ac.bd</t>
  </si>
  <si>
    <t>Partha Chakraborty</t>
  </si>
  <si>
    <t>partha.chakraborty@g.bracu.ac.bd</t>
  </si>
  <si>
    <t>MD. MAYNUDDEN</t>
  </si>
  <si>
    <t>md.maynudden@g.bracu.ac.bd</t>
  </si>
  <si>
    <t>Md Sakib Khandaker</t>
  </si>
  <si>
    <t>md.sakib.khandaker@g.bracu.ac.bd</t>
  </si>
  <si>
    <t>Syed Aousaf Tajwar</t>
  </si>
  <si>
    <t>syed.aousaf.tajwar@g.bracu.ac.bd</t>
  </si>
  <si>
    <t>Sanchary Roy</t>
  </si>
  <si>
    <t>sanchary.roy@g.bracu.ac.bd</t>
  </si>
  <si>
    <t>Tasnima Bintay Azad Antika</t>
  </si>
  <si>
    <t>tasnima.bintay.azadantika@g.bracu.ac.bd</t>
  </si>
  <si>
    <t>Ahsanur Rahman Niloy</t>
  </si>
  <si>
    <t>ahsanur.rahman.niloy@g.bracu.ac.bd</t>
  </si>
  <si>
    <t>Tisam Sajran</t>
  </si>
  <si>
    <t>tisam.sajran@g.bracu.ac.bd</t>
  </si>
  <si>
    <t>Rahib Kibria Choudhury</t>
  </si>
  <si>
    <t>rahib.kibria.choudhury@g.bracu.ac.bd</t>
  </si>
  <si>
    <t>Dhrubojyoti Saha</t>
  </si>
  <si>
    <t>dhrubojyoti.saha@g.bracu.ac.bd</t>
  </si>
  <si>
    <t>Prachya Biswas</t>
  </si>
  <si>
    <t>prachya.biswas@g.bracu.ac.bd</t>
  </si>
  <si>
    <t>Jayed Yeameen</t>
  </si>
  <si>
    <t>jayed.yeameen@g.bracu.ac.bd</t>
  </si>
  <si>
    <t>Samirul Karim</t>
  </si>
  <si>
    <t>Samirul.karim@g.bracu.ac.bd</t>
  </si>
  <si>
    <t>Fuad Hasan Khan</t>
  </si>
  <si>
    <t>fuad.hasan.khan@g.bracu.ac.bd</t>
  </si>
  <si>
    <t>Sabikun nahar monira</t>
  </si>
  <si>
    <t>sabikun.nahar.monira@g.bracu.ac.bd</t>
  </si>
  <si>
    <t>Md. Moshiur Rahman</t>
  </si>
  <si>
    <t>md.moshiur.rahman2@g.bracu.ac.bd</t>
  </si>
  <si>
    <t>Abdul Mumit BIn Jafor</t>
  </si>
  <si>
    <t>abdulmumit.bin.jafor@g.bracu.ac.bd</t>
  </si>
  <si>
    <t>MD.Fahim Habib</t>
  </si>
  <si>
    <t>md.fahim.habib@g.bracu.ac.bd</t>
  </si>
  <si>
    <t>Rasheed Kabir Darpan</t>
  </si>
  <si>
    <t>rasheed.kabir.darpan@g.bracu.ac.bd</t>
  </si>
  <si>
    <t>MD. TAHMID HASAN</t>
  </si>
  <si>
    <t>md.tahmid.hasan1@g.bracu.ac.bd</t>
  </si>
  <si>
    <t>Azmyeen Nahian</t>
  </si>
  <si>
    <t>azmyeen.nahian@g.bracu.ac.bd</t>
  </si>
  <si>
    <t>Fahim Mehtab</t>
  </si>
  <si>
    <t>fahim@g.bracu.ac.bd</t>
  </si>
  <si>
    <t>Arnob Roy</t>
  </si>
  <si>
    <t>arnob.roy@g.bracu.ac.bd</t>
  </si>
  <si>
    <t>SYED ARHAM FAIYAZ</t>
  </si>
  <si>
    <t>syed.arham.faiyaz@g.bracu.ac.bd</t>
  </si>
  <si>
    <t>Saadmaan Al Naser</t>
  </si>
  <si>
    <t>saadmaan.al.naser@g.bracu.ac.bd</t>
  </si>
  <si>
    <t>Shanid Sajjatuz islam</t>
  </si>
  <si>
    <t>Shanid.sajjatuz.islam@g.bracu.ac.bd</t>
  </si>
  <si>
    <t>Ishtiaq Shahriar Rayed</t>
  </si>
  <si>
    <t>ishtiaq.shahriar.rayed@g.bracu.ac.bd</t>
  </si>
  <si>
    <t>Talha Jubaer Khan</t>
  </si>
  <si>
    <t>talha.jubaer.khan@g.bracu.ac.bd</t>
  </si>
  <si>
    <t>Ahmed Ashfaq Mahi</t>
  </si>
  <si>
    <t>ahmed.ashfaq.mahi@g.bracu.ac.bd</t>
  </si>
  <si>
    <t>Md. Abu Naif Siam</t>
  </si>
  <si>
    <t>abu.naif.siam@g.bracu.ac.bd</t>
  </si>
  <si>
    <t>Jaeem Islam</t>
  </si>
  <si>
    <t>jaeem.islam@g.bracu.ac.bd</t>
  </si>
  <si>
    <t>Syed Farjad Arefeen</t>
  </si>
  <si>
    <t>syed.farjad.arefeen@g.bracu.ac.bd</t>
  </si>
  <si>
    <t>Rezuanul Hoque Siddike</t>
  </si>
  <si>
    <t>rezuanul.hoque.siddike@g.bracu.ac.bd</t>
  </si>
  <si>
    <t>Md. Tamzid Ahsan</t>
  </si>
  <si>
    <t>tamzid@g.bracu.ac.bd</t>
  </si>
  <si>
    <t>S M Sadat Anam Pahlowan</t>
  </si>
  <si>
    <t>sadat.anam.pahlowan@g.bracu.ac.bd</t>
  </si>
  <si>
    <t>zarin.tasnim42@g.bracu.ac.bd</t>
  </si>
  <si>
    <t>Anamika Khan Moshi</t>
  </si>
  <si>
    <t>anamika.khan.moshi@g.bracu.ac.bd</t>
  </si>
  <si>
    <t>Md. Washikur Rahman</t>
  </si>
  <si>
    <t>md.washikur.rahman@g.bracu.ac.bd</t>
  </si>
  <si>
    <t>Mumtahina Mahbub Chowdhury</t>
  </si>
  <si>
    <t>mumtahina.mahbub.chowdhury@g.bracu.ac.bd</t>
  </si>
  <si>
    <t>Tasnia Binte Mustafiz</t>
  </si>
  <si>
    <t>tasnia.binte.mustafiz@g.bracu.ac.bd</t>
  </si>
  <si>
    <t>Mohammad Rafiul Hasan</t>
  </si>
  <si>
    <t>mohammad.rafiul.hasan@g.bracu.ac.bd</t>
  </si>
  <si>
    <t>Shajed Mohiuddin</t>
  </si>
  <si>
    <t>shajed.mohiuddin@g.bracu.ac.bd</t>
  </si>
  <si>
    <t>Tafhim Mohammad Safwan</t>
  </si>
  <si>
    <t>tafhim.mohammad.safwan@g.bracu.ac.bd</t>
  </si>
  <si>
    <t>Md. Abu Rezoan Simanto</t>
  </si>
  <si>
    <t>abu.rezoan.simanto@g.bracu.ac.bd</t>
  </si>
  <si>
    <t>Aziz Abdullah</t>
  </si>
  <si>
    <t>aziz.abdullah@g.bracu.ac.bd</t>
  </si>
  <si>
    <t>Jareen Samiha Karim</t>
  </si>
  <si>
    <t>jareen.samiha.karim@g.bracu.ac.bd</t>
  </si>
  <si>
    <t>Ifraj Ahmed</t>
  </si>
  <si>
    <t>ifraj.ahmed@g.bracu.ac.bd</t>
  </si>
  <si>
    <t>Raiyan Ibne Mehraj</t>
  </si>
  <si>
    <t>raiyan.ibne.mehraj@g.bracu.ac.bd</t>
  </si>
  <si>
    <t>Abdullah Al Abir Shafin</t>
  </si>
  <si>
    <t>abdullah.al.abirshafin@g.bracu.ac.bd</t>
  </si>
  <si>
    <t>Maliha Ferdaws</t>
  </si>
  <si>
    <t>maliha.ferdaws@g.bracu.ac.bd</t>
  </si>
  <si>
    <t>Muhammad Ibrahim</t>
  </si>
  <si>
    <t>muhammad.ibrahim@g.bracu.ac.bd</t>
  </si>
  <si>
    <t>Shariar Mahmud Oni</t>
  </si>
  <si>
    <t>shariar.mahmud.oni@g.bracu.ac.bd</t>
  </si>
  <si>
    <t>Saleh Mahmud Shahriar</t>
  </si>
  <si>
    <t>saleh.mahmud.shahriar@g.bracu.ac.bd</t>
  </si>
  <si>
    <t>MOHAMMAD ISMAIL ARAFAT</t>
  </si>
  <si>
    <t>mohammad.ismail.arafat@g.bracu.ac.bd</t>
  </si>
  <si>
    <t>Anisur Rahman Ovi</t>
  </si>
  <si>
    <t>anisur.rahman.ovi@g.bracu.ac.bd</t>
  </si>
  <si>
    <t>Anjum Jahan</t>
  </si>
  <si>
    <t>anjum.jahan@g.bracu.ac.bd</t>
  </si>
  <si>
    <t>A.S.M. Raj Uddin</t>
  </si>
  <si>
    <t>asm.raj.uddin@g.bracu.ac.bd</t>
  </si>
  <si>
    <t>Md Nayan Parvej</t>
  </si>
  <si>
    <t>nayan.parvej@g.bracu.ac.bd</t>
  </si>
  <si>
    <t>Akkhor Dash Aditya</t>
  </si>
  <si>
    <t>akkhor.dash@g.bracu.ac.bd</t>
  </si>
  <si>
    <t>Noor Mohammed Taief</t>
  </si>
  <si>
    <t>noor.mohammed.taief@g.bracu.ac.bd</t>
  </si>
  <si>
    <t>Mohd. Tirtho Rahman</t>
  </si>
  <si>
    <t>mohd.tirtho.rahman@g.bracu.ac.bd</t>
  </si>
  <si>
    <t>Ahlam Binte Ahmed</t>
  </si>
  <si>
    <t>ahlam.binte.ahmed@g.bracu.ac.bd</t>
  </si>
  <si>
    <t>K.M Mahir Labib</t>
  </si>
  <si>
    <t>km.mahir.labib@g.bracu.ac.bd</t>
  </si>
  <si>
    <t>Nafi Zawoad</t>
  </si>
  <si>
    <t>sardar.md.nafizawoad@g.bracu.ac.bd</t>
  </si>
  <si>
    <t xml:space="preserve">Left </t>
  </si>
  <si>
    <t>Prithwi Raj Saha</t>
  </si>
  <si>
    <t>prithwi.raj.saha@g.bracu.ac.bd</t>
  </si>
  <si>
    <t>Abrar Jahin Zihan</t>
  </si>
  <si>
    <t>abrar.jahin.zihan@g.bracu.ac.bd</t>
  </si>
  <si>
    <t>Nafiz Ahmed Nafi</t>
  </si>
  <si>
    <t>nafiz.ahmed.nafi@g.bracu.ac.bd</t>
  </si>
  <si>
    <t>Chowdhury Zawad Al Munawar</t>
  </si>
  <si>
    <t>zawad.al.munawar@g.bracu.ac.bd</t>
  </si>
  <si>
    <t>Md. Atiq Mahbub</t>
  </si>
  <si>
    <t>atiq.mahbub@g.bracu.ac.bd</t>
  </si>
  <si>
    <t>Graduated</t>
  </si>
  <si>
    <t>\</t>
  </si>
  <si>
    <t>Student ID:</t>
  </si>
  <si>
    <t>Name:</t>
  </si>
  <si>
    <t>BUCC Department:</t>
  </si>
  <si>
    <t>BUCC Designation:</t>
  </si>
  <si>
    <t>G-Suite:</t>
  </si>
  <si>
    <t>Phone Number:</t>
  </si>
  <si>
    <t>01746179537</t>
  </si>
  <si>
    <t>01619615704</t>
  </si>
  <si>
    <t>01631511325</t>
  </si>
  <si>
    <t>01819083173</t>
  </si>
  <si>
    <t>01671079744</t>
  </si>
  <si>
    <t>01788754810</t>
  </si>
  <si>
    <t>01302410753</t>
  </si>
  <si>
    <t>01873967350</t>
  </si>
  <si>
    <t>01878653815</t>
  </si>
  <si>
    <t>Syed Adnan Rahman</t>
  </si>
  <si>
    <t>Press Release and Publications</t>
  </si>
  <si>
    <t>01751968326</t>
  </si>
  <si>
    <t>01711418961</t>
  </si>
  <si>
    <t>01768059361</t>
  </si>
  <si>
    <t>FF</t>
  </si>
  <si>
    <t>OYSHI SARKER NISHITA</t>
  </si>
  <si>
    <t>Md. Tanzimul Islam</t>
  </si>
  <si>
    <t>md.tanzimul.islam@g.bracu.ac.bd</t>
  </si>
  <si>
    <t>Zarrafuzzaman.choudhury@g.bracu.ac.bd</t>
  </si>
  <si>
    <t>Newaz.bin.jafor@g.bracu.ac.bd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</si>
</sst>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rgb="FF000000"/>
      <name val="Merriweather"/>
    </font>
    <font>
      <b/>
      <color rgb="FF0B5394"/>
      <name val="Arial"/>
      <scheme val="minor"/>
    </font>
    <font>
      <b/>
      <color rgb="FFFFFFFF"/>
      <name val="Arial"/>
      <scheme val="minor"/>
    </font>
    <font>
      <sz val="10.0"/>
      <color theme="1"/>
      <name val="Lexend"/>
    </font>
    <font>
      <color theme="1"/>
      <name val="Arial"/>
      <scheme val="minor"/>
    </font>
    <font>
      <color theme="1"/>
      <name val="Arial"/>
    </font>
    <font>
      <color theme="1"/>
      <name val="Lexend"/>
    </font>
    <font>
      <sz val="10.0"/>
      <color rgb="FF000000"/>
      <name val="Lexend"/>
    </font>
    <font>
      <b/>
      <color theme="1"/>
      <name val="Lexend"/>
    </font>
    <font>
      <sz val="10.0"/>
      <color rgb="FF434343"/>
      <name val="Lexend"/>
    </font>
    <font>
      <i/>
      <color theme="1"/>
      <name val="Arial"/>
      <scheme val="minor"/>
    </font>
    <font>
      <b/>
      <color rgb="FFFFFFFF"/>
      <name val="Arial"/>
    </font>
    <font>
      <sz val="12.0"/>
      <color rgb="FF434343"/>
      <name val="Lexend"/>
    </font>
    <font>
      <sz val="11.0"/>
      <color rgb="FF434343"/>
      <name val="Roboto"/>
    </font>
    <font>
      <sz val="11.0"/>
      <color rgb="FF434343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CCA677"/>
        <bgColor rgb="FFCCA677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  <fill>
      <patternFill patternType="solid">
        <fgColor rgb="FFD9EAD3"/>
        <bgColor rgb="FFD9EAD3"/>
      </patternFill>
    </fill>
    <fill>
      <patternFill patternType="solid">
        <fgColor rgb="FF351C75"/>
        <bgColor rgb="FF351C75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3" fontId="3" numFmtId="0" xfId="0" applyFont="1"/>
    <xf borderId="1" fillId="3" fontId="4" numFmtId="0" xfId="0" applyAlignment="1" applyBorder="1" applyFont="1">
      <alignment horizontal="center" readingOrder="0"/>
    </xf>
    <xf quotePrefix="1" borderId="1" fillId="3" fontId="4" numFmtId="49" xfId="0" applyAlignment="1" applyBorder="1" applyFont="1" applyNumberFormat="1">
      <alignment horizontal="center" readingOrder="0"/>
    </xf>
    <xf borderId="0" fillId="3" fontId="4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3" fontId="5" numFmtId="0" xfId="0" applyFont="1"/>
    <xf borderId="1" fillId="4" fontId="4" numFmtId="0" xfId="0" applyAlignment="1" applyBorder="1" applyFill="1" applyFont="1">
      <alignment horizontal="center" readingOrder="0"/>
    </xf>
    <xf quotePrefix="1" borderId="1" fillId="4" fontId="4" numFmtId="49" xfId="0" applyAlignment="1" applyBorder="1" applyFont="1" applyNumberFormat="1">
      <alignment horizontal="center" readingOrder="0"/>
    </xf>
    <xf borderId="0" fillId="4" fontId="4" numFmtId="0" xfId="0" applyAlignment="1" applyFont="1">
      <alignment horizontal="center" readingOrder="0" vertical="center"/>
    </xf>
    <xf borderId="1" fillId="4" fontId="4" numFmtId="49" xfId="0" applyAlignment="1" applyBorder="1" applyFont="1" applyNumberFormat="1">
      <alignment horizontal="center" readingOrder="0"/>
    </xf>
    <xf borderId="1" fillId="3" fontId="4" numFmtId="49" xfId="0" applyAlignment="1" applyBorder="1" applyFont="1" applyNumberFormat="1">
      <alignment horizontal="center" readingOrder="0"/>
    </xf>
    <xf borderId="0" fillId="3" fontId="5" numFmtId="0" xfId="0" applyAlignment="1" applyFont="1">
      <alignment horizontal="center" vertical="center"/>
    </xf>
    <xf borderId="0" fillId="4" fontId="6" numFmtId="0" xfId="0" applyAlignment="1" applyFont="1">
      <alignment vertical="bottom"/>
    </xf>
    <xf borderId="0" fillId="4" fontId="4" numFmtId="0" xfId="0" applyAlignment="1" applyFont="1">
      <alignment horizontal="center" readingOrder="0" vertical="center"/>
    </xf>
    <xf borderId="0" fillId="3" fontId="6" numFmtId="0" xfId="0" applyAlignment="1" applyFont="1">
      <alignment vertical="bottom"/>
    </xf>
    <xf borderId="0" fillId="4" fontId="6" numFmtId="0" xfId="0" applyAlignment="1" applyFont="1">
      <alignment horizontal="center" vertical="bottom"/>
    </xf>
    <xf borderId="0" fillId="3" fontId="6" numFmtId="0" xfId="0" applyAlignment="1" applyFont="1">
      <alignment horizontal="center" vertical="bottom"/>
    </xf>
    <xf borderId="0" fillId="4" fontId="6" numFmtId="0" xfId="0" applyAlignment="1" applyFont="1">
      <alignment horizontal="center" vertical="bottom"/>
    </xf>
    <xf borderId="0" fillId="3" fontId="6" numFmtId="0" xfId="0" applyAlignment="1" applyFont="1">
      <alignment horizontal="center" vertical="bottom"/>
    </xf>
    <xf borderId="0" fillId="4" fontId="6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3" fontId="4" numFmtId="0" xfId="0" applyAlignment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1" fillId="3" fontId="4" numFmtId="49" xfId="0" applyAlignment="1" applyBorder="1" applyFont="1" applyNumberFormat="1">
      <alignment horizontal="center" readingOrder="0" vertical="center"/>
    </xf>
    <xf borderId="2" fillId="4" fontId="4" numFmtId="0" xfId="0" applyAlignment="1" applyBorder="1" applyFont="1">
      <alignment horizontal="center" readingOrder="0"/>
    </xf>
    <xf borderId="2" fillId="4" fontId="4" numFmtId="49" xfId="0" applyAlignment="1" applyBorder="1" applyFont="1" applyNumberFormat="1">
      <alignment horizontal="center" readingOrder="0"/>
    </xf>
    <xf borderId="0" fillId="3" fontId="4" numFmtId="0" xfId="0" applyAlignment="1" applyFont="1">
      <alignment horizontal="center" readingOrder="0"/>
    </xf>
    <xf borderId="0" fillId="3" fontId="4" numFmtId="49" xfId="0" applyAlignment="1" applyFont="1" applyNumberFormat="1">
      <alignment horizontal="center" readingOrder="0"/>
    </xf>
    <xf borderId="3" fillId="4" fontId="4" numFmtId="0" xfId="0" applyAlignment="1" applyBorder="1" applyFont="1">
      <alignment horizontal="center" readingOrder="0"/>
    </xf>
    <xf borderId="3" fillId="4" fontId="7" numFmtId="0" xfId="0" applyAlignment="1" applyBorder="1" applyFont="1">
      <alignment horizontal="center" readingOrder="0"/>
    </xf>
    <xf borderId="3" fillId="4" fontId="4" numFmtId="49" xfId="0" applyAlignment="1" applyBorder="1" applyFont="1" applyNumberFormat="1">
      <alignment horizontal="center" readingOrder="0"/>
    </xf>
    <xf borderId="1" fillId="3" fontId="7" numFmtId="0" xfId="0" applyAlignment="1" applyBorder="1" applyFont="1">
      <alignment horizontal="center" readingOrder="0"/>
    </xf>
    <xf borderId="1" fillId="4" fontId="7" numFmtId="0" xfId="0" applyAlignment="1" applyBorder="1" applyFont="1">
      <alignment horizontal="center" readingOrder="0"/>
    </xf>
    <xf borderId="2" fillId="4" fontId="7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bottom"/>
    </xf>
    <xf borderId="1" fillId="3" fontId="7" numFmtId="49" xfId="0" applyAlignment="1" applyBorder="1" applyFont="1" applyNumberFormat="1">
      <alignment horizontal="center" readingOrder="0" vertical="bottom"/>
    </xf>
    <xf borderId="0" fillId="3" fontId="7" numFmtId="0" xfId="0" applyAlignment="1" applyFont="1">
      <alignment horizontal="center" vertical="bottom"/>
    </xf>
    <xf borderId="0" fillId="3" fontId="6" numFmtId="0" xfId="0" applyFont="1"/>
    <xf borderId="1" fillId="4" fontId="7" numFmtId="0" xfId="0" applyAlignment="1" applyBorder="1" applyFont="1">
      <alignment horizontal="center" readingOrder="0" vertical="bottom"/>
    </xf>
    <xf borderId="1" fillId="4" fontId="7" numFmtId="49" xfId="0" applyAlignment="1" applyBorder="1" applyFont="1" applyNumberFormat="1">
      <alignment horizontal="center" readingOrder="0" vertical="bottom"/>
    </xf>
    <xf borderId="0" fillId="4" fontId="7" numFmtId="0" xfId="0" applyAlignment="1" applyFont="1">
      <alignment horizontal="center" vertical="bottom"/>
    </xf>
    <xf borderId="1" fillId="4" fontId="4" numFmtId="49" xfId="0" applyAlignment="1" applyBorder="1" applyFont="1" applyNumberFormat="1">
      <alignment horizontal="center"/>
    </xf>
    <xf borderId="1" fillId="3" fontId="4" numFmtId="49" xfId="0" applyAlignment="1" applyBorder="1" applyFont="1" applyNumberFormat="1">
      <alignment horizontal="center"/>
    </xf>
    <xf borderId="1" fillId="4" fontId="7" numFmtId="0" xfId="0" applyBorder="1" applyFont="1"/>
    <xf borderId="1" fillId="3" fontId="7" numFmtId="0" xfId="0" applyBorder="1" applyFont="1"/>
    <xf borderId="2" fillId="4" fontId="7" numFmtId="0" xfId="0" applyBorder="1" applyFont="1"/>
    <xf borderId="0" fillId="3" fontId="7" numFmtId="0" xfId="0" applyAlignment="1" applyFont="1">
      <alignment horizontal="center" readingOrder="0"/>
    </xf>
    <xf borderId="0" fillId="3" fontId="7" numFmtId="0" xfId="0" applyFont="1"/>
    <xf borderId="3" fillId="4" fontId="7" numFmtId="0" xfId="0" applyBorder="1" applyFont="1"/>
    <xf borderId="2" fillId="3" fontId="4" numFmtId="0" xfId="0" applyAlignment="1" applyBorder="1" applyFont="1">
      <alignment horizontal="center" readingOrder="0"/>
    </xf>
    <xf borderId="2" fillId="3" fontId="7" numFmtId="0" xfId="0" applyAlignment="1" applyBorder="1" applyFont="1">
      <alignment horizontal="center" readingOrder="0"/>
    </xf>
    <xf borderId="2" fillId="3" fontId="4" numFmtId="49" xfId="0" applyAlignment="1" applyBorder="1" applyFont="1" applyNumberFormat="1">
      <alignment horizontal="center" readingOrder="0"/>
    </xf>
    <xf borderId="2" fillId="3" fontId="7" numFmtId="0" xfId="0" applyBorder="1" applyFont="1"/>
    <xf borderId="0" fillId="4" fontId="4" numFmtId="0" xfId="0" applyAlignment="1" applyFont="1">
      <alignment horizontal="center" readingOrder="0"/>
    </xf>
    <xf borderId="0" fillId="4" fontId="4" numFmtId="49" xfId="0" applyAlignment="1" applyFont="1" applyNumberFormat="1">
      <alignment horizontal="center"/>
    </xf>
    <xf borderId="3" fillId="3" fontId="4" numFmtId="0" xfId="0" applyAlignment="1" applyBorder="1" applyFont="1">
      <alignment horizontal="center" readingOrder="0"/>
    </xf>
    <xf borderId="3" fillId="3" fontId="4" numFmtId="49" xfId="0" applyAlignment="1" applyBorder="1" applyFont="1" applyNumberFormat="1">
      <alignment horizontal="center" readingOrder="0"/>
    </xf>
    <xf borderId="4" fillId="3" fontId="4" numFmtId="0" xfId="0" applyAlignment="1" applyBorder="1" applyFont="1">
      <alignment horizontal="center" readingOrder="0"/>
    </xf>
    <xf borderId="4" fillId="3" fontId="4" numFmtId="49" xfId="0" applyAlignment="1" applyBorder="1" applyFont="1" applyNumberFormat="1">
      <alignment horizontal="center" readingOrder="0"/>
    </xf>
    <xf borderId="5" fillId="4" fontId="4" numFmtId="0" xfId="0" applyAlignment="1" applyBorder="1" applyFont="1">
      <alignment horizontal="center" readingOrder="0"/>
    </xf>
    <xf borderId="5" fillId="4" fontId="4" numFmtId="49" xfId="0" applyAlignment="1" applyBorder="1" applyFont="1" applyNumberFormat="1">
      <alignment horizontal="center" readingOrder="0"/>
    </xf>
    <xf borderId="6" fillId="3" fontId="7" numFmtId="0" xfId="0" applyAlignment="1" applyBorder="1" applyFont="1">
      <alignment readingOrder="0"/>
    </xf>
    <xf borderId="6" fillId="3" fontId="7" numFmtId="0" xfId="0" applyAlignment="1" applyBorder="1" applyFont="1">
      <alignment horizontal="center" readingOrder="0"/>
    </xf>
    <xf borderId="1" fillId="4" fontId="7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0" fillId="4" fontId="8" numFmtId="0" xfId="0" applyAlignment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0" fillId="4" fontId="8" numFmtId="0" xfId="0" applyAlignment="1" applyFont="1">
      <alignment horizontal="center" readingOrder="0" shrinkToFit="0" vertical="bottom" wrapText="0"/>
    </xf>
    <xf borderId="0" fillId="4" fontId="9" numFmtId="0" xfId="0" applyAlignment="1" applyFont="1">
      <alignment horizontal="center" readingOrder="0" vertical="center"/>
    </xf>
    <xf borderId="0" fillId="3" fontId="7" numFmtId="0" xfId="0" applyAlignment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0" fillId="4" fontId="7" numFmtId="0" xfId="0" applyAlignment="1" applyFont="1">
      <alignment horizontal="center" vertical="center"/>
    </xf>
    <xf borderId="0" fillId="3" fontId="7" numFmtId="0" xfId="0" applyAlignment="1" applyFont="1">
      <alignment horizontal="center" vertical="center"/>
    </xf>
    <xf borderId="4" fillId="4" fontId="7" numFmtId="0" xfId="0" applyAlignment="1" applyBorder="1" applyFont="1">
      <alignment readingOrder="0"/>
    </xf>
    <xf borderId="4" fillId="4" fontId="7" numFmtId="0" xfId="0" applyAlignment="1" applyBorder="1" applyFont="1">
      <alignment horizontal="center" readingOrder="0"/>
    </xf>
    <xf borderId="4" fillId="4" fontId="7" numFmtId="0" xfId="0" applyBorder="1" applyFont="1"/>
    <xf borderId="5" fillId="3" fontId="7" numFmtId="0" xfId="0" applyBorder="1" applyFont="1"/>
    <xf borderId="5" fillId="3" fontId="7" numFmtId="0" xfId="0" applyAlignment="1" applyBorder="1" applyFont="1">
      <alignment horizontal="center"/>
    </xf>
    <xf borderId="6" fillId="4" fontId="4" numFmtId="0" xfId="0" applyAlignment="1" applyBorder="1" applyFont="1">
      <alignment horizontal="center" readingOrder="0"/>
    </xf>
    <xf borderId="6" fillId="4" fontId="4" numFmtId="49" xfId="0" applyAlignment="1" applyBorder="1" applyFont="1" applyNumberFormat="1">
      <alignment horizontal="center" readingOrder="0"/>
    </xf>
    <xf borderId="1" fillId="4" fontId="7" numFmtId="49" xfId="0" applyAlignment="1" applyBorder="1" applyFont="1" applyNumberFormat="1">
      <alignment horizontal="center" vertical="bottom"/>
    </xf>
    <xf borderId="1" fillId="3" fontId="7" numFmtId="0" xfId="0" applyAlignment="1" applyBorder="1" applyFont="1">
      <alignment horizontal="center" vertical="bottom"/>
    </xf>
    <xf borderId="1" fillId="3" fontId="6" numFmtId="49" xfId="0" applyAlignment="1" applyBorder="1" applyFont="1" applyNumberFormat="1">
      <alignment vertical="bottom"/>
    </xf>
    <xf borderId="1" fillId="3" fontId="7" numFmtId="49" xfId="0" applyAlignment="1" applyBorder="1" applyFont="1" applyNumberFormat="1">
      <alignment horizontal="center" vertical="bottom"/>
    </xf>
    <xf borderId="1" fillId="4" fontId="10" numFmtId="0" xfId="0" applyAlignment="1" applyBorder="1" applyFont="1">
      <alignment horizontal="center" readingOrder="0" shrinkToFit="0" vertical="bottom" wrapText="0"/>
    </xf>
    <xf borderId="1" fillId="4" fontId="8" numFmtId="0" xfId="0" applyAlignment="1" applyBorder="1" applyFont="1">
      <alignment horizontal="center" readingOrder="0" vertical="bottom"/>
    </xf>
    <xf borderId="1" fillId="4" fontId="8" numFmtId="0" xfId="0" applyAlignment="1" applyBorder="1" applyFont="1">
      <alignment horizontal="center" readingOrder="0" shrinkToFit="0" vertical="bottom" wrapText="0"/>
    </xf>
    <xf borderId="1" fillId="4" fontId="8" numFmtId="49" xfId="0" applyAlignment="1" applyBorder="1" applyFont="1" applyNumberFormat="1">
      <alignment horizontal="center" vertical="bottom"/>
    </xf>
    <xf borderId="1" fillId="3" fontId="10" numFmtId="0" xfId="0" applyAlignment="1" applyBorder="1" applyFont="1">
      <alignment horizontal="center" readingOrder="0" shrinkToFit="0" vertical="bottom" wrapText="0"/>
    </xf>
    <xf borderId="1" fillId="3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horizontal="center" readingOrder="0" shrinkToFit="0" vertical="bottom" wrapText="0"/>
    </xf>
    <xf borderId="1" fillId="3" fontId="8" numFmtId="49" xfId="0" applyAlignment="1" applyBorder="1" applyFont="1" applyNumberFormat="1">
      <alignment horizontal="center" vertical="bottom"/>
    </xf>
    <xf borderId="1" fillId="4" fontId="8" numFmtId="49" xfId="0" applyAlignment="1" applyBorder="1" applyFont="1" applyNumberFormat="1">
      <alignment horizontal="center" readingOrder="0" shrinkToFit="0" vertical="bottom" wrapText="0"/>
    </xf>
    <xf borderId="1" fillId="4" fontId="7" numFmtId="49" xfId="0" applyAlignment="1" applyBorder="1" applyFont="1" applyNumberFormat="1">
      <alignment horizontal="center"/>
    </xf>
    <xf borderId="1" fillId="3" fontId="7" numFmtId="49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readingOrder="0"/>
    </xf>
    <xf borderId="0" fillId="0" fontId="4" numFmtId="49" xfId="0" applyAlignment="1" applyFont="1" applyNumberFormat="1">
      <alignment horizontal="center" readingOrder="0"/>
    </xf>
    <xf borderId="0" fillId="0" fontId="7" numFmtId="0" xfId="0" applyFont="1"/>
    <xf borderId="1" fillId="0" fontId="4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4" numFmtId="49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1" fillId="0" fontId="7" numFmtId="0" xfId="0" applyBorder="1" applyFont="1"/>
    <xf borderId="1" fillId="0" fontId="4" numFmtId="0" xfId="0" applyAlignment="1" applyBorder="1" applyFont="1">
      <alignment horizontal="center" readingOrder="0"/>
    </xf>
    <xf borderId="1" fillId="0" fontId="4" numFmtId="49" xfId="0" applyAlignment="1" applyBorder="1" applyFont="1" applyNumberFormat="1">
      <alignment horizontal="center" readingOrder="0"/>
    </xf>
    <xf borderId="1" fillId="0" fontId="7" numFmtId="0" xfId="0" applyBorder="1" applyFont="1"/>
    <xf borderId="1" fillId="0" fontId="7" numFmtId="49" xfId="0" applyBorder="1" applyFont="1" applyNumberFormat="1"/>
    <xf borderId="0" fillId="5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7" numFmtId="0" xfId="0" applyFont="1"/>
    <xf borderId="0" fillId="0" fontId="5" numFmtId="0" xfId="0" applyAlignment="1" applyFont="1">
      <alignment readingOrder="0"/>
    </xf>
    <xf borderId="0" fillId="0" fontId="5" numFmtId="49" xfId="0" applyAlignment="1" applyFont="1" applyNumberFormat="1">
      <alignment readingOrder="0"/>
    </xf>
    <xf borderId="0" fillId="0" fontId="5" numFmtId="4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49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Font="1"/>
    <xf borderId="0" fillId="0" fontId="5" numFmtId="49" xfId="0" applyFont="1" applyNumberFormat="1"/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49" xfId="0" applyAlignment="1" applyFont="1" applyNumberFormat="1">
      <alignment horizontal="center" shrinkToFit="0" vertical="center" wrapText="0"/>
    </xf>
    <xf borderId="0" fillId="0" fontId="5" numFmtId="49" xfId="0" applyAlignment="1" applyFont="1" applyNumberFormat="1">
      <alignment horizontal="center" vertical="center"/>
    </xf>
    <xf borderId="0" fillId="0" fontId="11" numFmtId="0" xfId="0" applyAlignment="1" applyFont="1">
      <alignment horizontal="left" readingOrder="0" shrinkToFit="0" vertical="center" wrapText="0"/>
    </xf>
    <xf borderId="1" fillId="6" fontId="12" numFmtId="0" xfId="0" applyAlignment="1" applyBorder="1" applyFill="1" applyFont="1">
      <alignment horizontal="center" readingOrder="0"/>
    </xf>
    <xf borderId="1" fillId="3" fontId="13" numFmtId="0" xfId="0" applyAlignment="1" applyBorder="1" applyFont="1">
      <alignment horizontal="right" readingOrder="0" shrinkToFit="0" vertical="bottom" wrapText="0"/>
    </xf>
    <xf borderId="0" fillId="3" fontId="6" numFmtId="0" xfId="0" applyAlignment="1" applyFont="1">
      <alignment readingOrder="0" vertical="bottom"/>
    </xf>
    <xf borderId="1" fillId="3" fontId="13" numFmtId="0" xfId="0" applyAlignment="1" applyBorder="1" applyFont="1">
      <alignment horizontal="center" readingOrder="0" shrinkToFit="0" vertical="bottom" wrapText="0"/>
    </xf>
    <xf borderId="0" fillId="3" fontId="13" numFmtId="0" xfId="0" applyAlignment="1" applyFont="1">
      <alignment horizontal="center" readingOrder="0" shrinkToFit="0" vertical="bottom" wrapText="0"/>
    </xf>
    <xf borderId="1" fillId="7" fontId="13" numFmtId="0" xfId="0" applyAlignment="1" applyBorder="1" applyFill="1" applyFont="1">
      <alignment horizontal="right" readingOrder="0" shrinkToFit="0" vertical="bottom" wrapText="0"/>
    </xf>
    <xf borderId="0" fillId="7" fontId="6" numFmtId="0" xfId="0" applyAlignment="1" applyFont="1">
      <alignment readingOrder="0" vertical="bottom"/>
    </xf>
    <xf borderId="1" fillId="7" fontId="13" numFmtId="0" xfId="0" applyAlignment="1" applyBorder="1" applyFont="1">
      <alignment horizontal="center" readingOrder="0" shrinkToFit="0" vertical="bottom" wrapText="0"/>
    </xf>
    <xf borderId="0" fillId="7" fontId="13" numFmtId="0" xfId="0" applyAlignment="1" applyFont="1">
      <alignment horizontal="center" readingOrder="0" shrinkToFit="0" vertical="bottom" wrapText="0"/>
    </xf>
    <xf borderId="0" fillId="7" fontId="6" numFmtId="0" xfId="0" applyAlignment="1" applyFont="1">
      <alignment vertical="bottom"/>
    </xf>
    <xf borderId="1" fillId="3" fontId="14" numFmtId="0" xfId="0" applyAlignment="1" applyBorder="1" applyFont="1">
      <alignment horizontal="right" readingOrder="0" shrinkToFit="0" vertical="bottom" wrapText="0"/>
    </xf>
    <xf borderId="1" fillId="3" fontId="14" numFmtId="0" xfId="0" applyAlignment="1" applyBorder="1" applyFont="1">
      <alignment horizontal="center" readingOrder="0" shrinkToFit="0" vertical="bottom" wrapText="0"/>
    </xf>
    <xf borderId="1" fillId="7" fontId="14" numFmtId="0" xfId="0" applyAlignment="1" applyBorder="1" applyFont="1">
      <alignment horizontal="right" readingOrder="0" shrinkToFit="0" vertical="bottom" wrapText="0"/>
    </xf>
    <xf borderId="1" fillId="7" fontId="14" numFmtId="0" xfId="0" applyAlignment="1" applyBorder="1" applyFont="1">
      <alignment horizontal="center" readingOrder="0" shrinkToFit="0" vertical="bottom" wrapText="0"/>
    </xf>
    <xf borderId="1" fillId="3" fontId="15" numFmtId="0" xfId="0" applyAlignment="1" applyBorder="1" applyFont="1">
      <alignment horizontal="center" readingOrder="0" shrinkToFit="0" vertical="bottom" wrapText="0"/>
    </xf>
    <xf borderId="1" fillId="7" fontId="15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84BB15"/>
          <bgColor rgb="FF84BB15"/>
        </patternFill>
      </fill>
      <border/>
    </dxf>
    <dxf>
      <font/>
      <fill>
        <patternFill patternType="solid">
          <fgColor rgb="FF2D978C"/>
          <bgColor rgb="FF2D978C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</dxfs>
  <tableStyles count="9">
    <tableStyle count="2" pivot="0" name="UnListed-style">
      <tableStyleElement dxfId="3" type="firstRowStripe"/>
      <tableStyleElement dxfId="4" type="secondRowStripe"/>
    </tableStyle>
    <tableStyle count="2" pivot="0" name="UnListed-style 2">
      <tableStyleElement dxfId="3" type="firstRowStripe"/>
      <tableStyleElement dxfId="4" type="secondRowStripe"/>
    </tableStyle>
    <tableStyle count="4" pivot="0" name="C&amp;M-style">
      <tableStyleElement dxfId="5" type="headerRow"/>
      <tableStyleElement dxfId="3" type="firstRowStripe"/>
      <tableStyleElement dxfId="6" type="secondRowStripe"/>
      <tableStyleElement dxfId="7" size="0" type="wholeTable"/>
    </tableStyle>
    <tableStyle count="4" pivot="0" name="Creative-style">
      <tableStyleElement dxfId="8" type="headerRow"/>
      <tableStyleElement dxfId="3" type="firstRowStripe"/>
      <tableStyleElement dxfId="6" type="secondRowStripe"/>
      <tableStyleElement dxfId="7" size="0" type="wholeTable"/>
    </tableStyle>
    <tableStyle count="4" pivot="0" name="EM-style">
      <tableStyleElement dxfId="9" type="headerRow"/>
      <tableStyleElement dxfId="3" type="firstRowStripe"/>
      <tableStyleElement dxfId="6" type="secondRowStripe"/>
      <tableStyleElement dxfId="7" size="0" type="wholeTable"/>
    </tableStyle>
    <tableStyle count="4" pivot="0" name="Finance-style">
      <tableStyleElement dxfId="10" type="headerRow"/>
      <tableStyleElement dxfId="3" type="firstRowStripe"/>
      <tableStyleElement dxfId="6" type="secondRowStripe"/>
      <tableStyleElement dxfId="7" size="0" type="wholeTable"/>
    </tableStyle>
    <tableStyle count="4" pivot="0" name="HR-style">
      <tableStyleElement dxfId="11" type="headerRow"/>
      <tableStyleElement dxfId="3" type="firstRowStripe"/>
      <tableStyleElement dxfId="6" type="secondRowStripe"/>
      <tableStyleElement dxfId="7" size="0" type="wholeTable"/>
    </tableStyle>
    <tableStyle count="4" pivot="0" name="PR-style">
      <tableStyleElement dxfId="9" type="headerRow"/>
      <tableStyleElement dxfId="3" type="firstRowStripe"/>
      <tableStyleElement dxfId="6" type="secondRowStripe"/>
      <tableStyleElement dxfId="7" size="0" type="wholeTable"/>
    </tableStyle>
    <tableStyle count="4" pivot="0" name="R&amp;D-style">
      <tableStyleElement dxfId="12" type="headerRow"/>
      <tableStyleElement dxfId="3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G3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nListed-style" showColumnStripes="0" showFirstColumn="1" showLastColumn="1" showRowStripes="1"/>
</table>
</file>

<file path=xl/tables/table2.xml><?xml version="1.0" encoding="utf-8"?>
<table xmlns="http://schemas.openxmlformats.org/spreadsheetml/2006/main" headerRowCount="0" ref="A5:G10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nListed-style 2" showColumnStripes="0" showFirstColumn="1" showLastColumn="1" showRowStripes="1"/>
</table>
</file>

<file path=xl/tables/table3.xml><?xml version="1.0" encoding="utf-8"?>
<table xmlns="http://schemas.openxmlformats.org/spreadsheetml/2006/main" ref="A1:D157" displayName="Table1" name="Table1" id="3">
  <autoFilter ref="$A$1:$D$157"/>
  <tableColumns count="4">
    <tableColumn name="FF" id="1"/>
    <tableColumn name="Name" id="2"/>
    <tableColumn name="Designation" id="3"/>
    <tableColumn name="G-Suite" id="4"/>
  </tableColumns>
  <tableStyleInfo name="C&amp;M-style" showColumnStripes="0" showFirstColumn="1" showLastColumn="1" showRowStripes="1"/>
</table>
</file>

<file path=xl/tables/table4.xml><?xml version="1.0" encoding="utf-8"?>
<table xmlns="http://schemas.openxmlformats.org/spreadsheetml/2006/main" ref="A1:D238" displayName="Table3" name="Table3" id="4">
  <tableColumns count="4">
    <tableColumn name="FF" id="1"/>
    <tableColumn name="Name" id="2"/>
    <tableColumn name="Designation" id="3"/>
    <tableColumn name="G-Suite" id="4"/>
  </tableColumns>
  <tableStyleInfo name="Creative-style" showColumnStripes="0" showFirstColumn="1" showLastColumn="1" showRowStripes="1"/>
</table>
</file>

<file path=xl/tables/table5.xml><?xml version="1.0" encoding="utf-8"?>
<table xmlns="http://schemas.openxmlformats.org/spreadsheetml/2006/main" ref="A1:D522" displayName="Table4" name="Table4" id="5">
  <tableColumns count="4">
    <tableColumn name="FF" id="1"/>
    <tableColumn name="Name" id="2"/>
    <tableColumn name="Designation" id="3"/>
    <tableColumn name="G-Suite" id="4"/>
  </tableColumns>
  <tableStyleInfo name="EM-style" showColumnStripes="0" showFirstColumn="1" showLastColumn="1" showRowStripes="1"/>
</table>
</file>

<file path=xl/tables/table6.xml><?xml version="1.0" encoding="utf-8"?>
<table xmlns="http://schemas.openxmlformats.org/spreadsheetml/2006/main" ref="A1:D123" displayName="Table5" name="Table5" id="6">
  <tableColumns count="4">
    <tableColumn name="FF" id="1"/>
    <tableColumn name="Name" id="2"/>
    <tableColumn name="Designation" id="3"/>
    <tableColumn name="G-Suite" id="4"/>
  </tableColumns>
  <tableStyleInfo name="Finance-style" showColumnStripes="0" showFirstColumn="1" showLastColumn="1" showRowStripes="1"/>
</table>
</file>

<file path=xl/tables/table7.xml><?xml version="1.0" encoding="utf-8"?>
<table xmlns="http://schemas.openxmlformats.org/spreadsheetml/2006/main" ref="A1:D101" displayName="Table6" name="Table6" id="7">
  <autoFilter ref="$A$1:$D$101">
    <filterColumn colId="2">
      <filters>
        <filter val="Senior Executive"/>
      </filters>
    </filterColumn>
  </autoFilter>
  <tableColumns count="4">
    <tableColumn name="FF" id="1"/>
    <tableColumn name="Name" id="2"/>
    <tableColumn name="Designation" id="3"/>
    <tableColumn name="G-Suite" id="4"/>
  </tableColumns>
  <tableStyleInfo name="HR-style" showColumnStripes="0" showFirstColumn="1" showLastColumn="1" showRowStripes="1"/>
</table>
</file>

<file path=xl/tables/table8.xml><?xml version="1.0" encoding="utf-8"?>
<table xmlns="http://schemas.openxmlformats.org/spreadsheetml/2006/main" ref="A1:D93" displayName="Table7" name="Table7" id="8">
  <tableColumns count="4">
    <tableColumn name="FF" id="1"/>
    <tableColumn name="Name" id="2"/>
    <tableColumn name="Designation" id="3"/>
    <tableColumn name="G-Suite" id="4"/>
  </tableColumns>
  <tableStyleInfo name="PR-style" showColumnStripes="0" showFirstColumn="1" showLastColumn="1" showRowStripes="1"/>
</table>
</file>

<file path=xl/tables/table9.xml><?xml version="1.0" encoding="utf-8"?>
<table xmlns="http://schemas.openxmlformats.org/spreadsheetml/2006/main" ref="A1:D1000" displayName="Table2" name="Table2" id="9">
  <tableColumns count="4">
    <tableColumn name="FF" id="1"/>
    <tableColumn name="Name" id="2"/>
    <tableColumn name="Designation" id="3"/>
    <tableColumn name="G-Suite" id="4"/>
  </tableColumns>
  <tableStyleInfo name="R&amp;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33.13"/>
    <col customWidth="1" min="3" max="3" width="30.25"/>
    <col customWidth="1" min="4" max="5" width="18.38"/>
    <col customWidth="1" min="6" max="6" width="4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>
      <c r="A2" s="5">
        <v>2.2301342E7</v>
      </c>
      <c r="B2" s="5" t="s">
        <v>6</v>
      </c>
      <c r="C2" s="5" t="s">
        <v>7</v>
      </c>
      <c r="D2" s="5" t="s">
        <v>8</v>
      </c>
      <c r="E2" s="6" t="s">
        <v>9</v>
      </c>
      <c r="F2" s="5" t="s">
        <v>10</v>
      </c>
      <c r="G2" s="7"/>
      <c r="H2" s="7"/>
      <c r="I2" s="7"/>
      <c r="J2" s="7"/>
      <c r="K2" s="7"/>
      <c r="L2" s="7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>
      <c r="A3" s="10">
        <v>2.3201293E7</v>
      </c>
      <c r="B3" s="10" t="s">
        <v>11</v>
      </c>
      <c r="C3" s="10" t="s">
        <v>7</v>
      </c>
      <c r="D3" s="10" t="s">
        <v>12</v>
      </c>
      <c r="E3" s="11" t="s">
        <v>13</v>
      </c>
      <c r="F3" s="10" t="s">
        <v>14</v>
      </c>
      <c r="G3" s="12"/>
      <c r="H3" s="12"/>
      <c r="I3" s="12"/>
      <c r="J3" s="12"/>
      <c r="K3" s="12"/>
      <c r="L3" s="12"/>
      <c r="M3" s="12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>
      <c r="A4" s="5">
        <v>2.2299279E7</v>
      </c>
      <c r="B4" s="5" t="s">
        <v>15</v>
      </c>
      <c r="C4" s="5" t="s">
        <v>7</v>
      </c>
      <c r="D4" s="5" t="s">
        <v>16</v>
      </c>
      <c r="E4" s="6" t="s">
        <v>17</v>
      </c>
      <c r="F4" s="5" t="s">
        <v>18</v>
      </c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</row>
    <row r="5">
      <c r="A5" s="10">
        <v>2.3301051E7</v>
      </c>
      <c r="B5" s="10" t="s">
        <v>19</v>
      </c>
      <c r="C5" s="10" t="s">
        <v>7</v>
      </c>
      <c r="D5" s="10" t="s">
        <v>20</v>
      </c>
      <c r="E5" s="13" t="s">
        <v>21</v>
      </c>
      <c r="F5" s="10" t="s">
        <v>22</v>
      </c>
      <c r="G5" s="12"/>
      <c r="H5" s="12"/>
      <c r="I5" s="12"/>
      <c r="J5" s="12"/>
      <c r="K5" s="12"/>
      <c r="L5" s="12"/>
      <c r="M5" s="12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</row>
    <row r="6">
      <c r="A6" s="5"/>
      <c r="B6" s="5"/>
      <c r="C6" s="14"/>
      <c r="D6" s="5"/>
      <c r="E6" s="14"/>
      <c r="F6" s="5"/>
      <c r="G6" s="7"/>
      <c r="H6" s="7"/>
      <c r="I6" s="7"/>
      <c r="J6" s="7"/>
      <c r="K6" s="7"/>
      <c r="L6" s="7"/>
      <c r="M6" s="7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9"/>
    </row>
    <row r="7">
      <c r="A7" s="10">
        <v>2.3201136E7</v>
      </c>
      <c r="B7" s="10" t="s">
        <v>23</v>
      </c>
      <c r="C7" s="13" t="s">
        <v>24</v>
      </c>
      <c r="D7" s="10" t="s">
        <v>25</v>
      </c>
      <c r="E7" s="13" t="s">
        <v>26</v>
      </c>
      <c r="F7" s="10" t="s">
        <v>27</v>
      </c>
      <c r="G7" s="12"/>
      <c r="H7" s="16"/>
      <c r="I7" s="17"/>
      <c r="J7" s="12"/>
      <c r="K7" s="12"/>
      <c r="L7" s="12"/>
      <c r="M7" s="12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9"/>
    </row>
    <row r="8">
      <c r="A8" s="5">
        <v>2.3201116E7</v>
      </c>
      <c r="B8" s="5" t="s">
        <v>28</v>
      </c>
      <c r="C8" s="14" t="s">
        <v>24</v>
      </c>
      <c r="D8" s="5" t="s">
        <v>25</v>
      </c>
      <c r="E8" s="14" t="s">
        <v>29</v>
      </c>
      <c r="F8" s="5" t="s">
        <v>30</v>
      </c>
      <c r="G8" s="7"/>
      <c r="H8" s="18"/>
      <c r="I8" s="7"/>
      <c r="J8" s="7"/>
      <c r="K8" s="7"/>
      <c r="L8" s="7"/>
      <c r="M8" s="7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9"/>
    </row>
    <row r="9">
      <c r="A9" s="10">
        <v>2.3301427E7</v>
      </c>
      <c r="B9" s="10" t="s">
        <v>31</v>
      </c>
      <c r="C9" s="13" t="s">
        <v>24</v>
      </c>
      <c r="D9" s="10" t="s">
        <v>32</v>
      </c>
      <c r="E9" s="13" t="s">
        <v>33</v>
      </c>
      <c r="F9" s="10" t="s">
        <v>34</v>
      </c>
      <c r="G9" s="12"/>
      <c r="H9" s="16"/>
      <c r="I9" s="12"/>
      <c r="J9" s="12"/>
      <c r="K9" s="12"/>
      <c r="L9" s="12"/>
      <c r="M9" s="12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9"/>
    </row>
    <row r="10">
      <c r="A10" s="5">
        <v>2.4301219E7</v>
      </c>
      <c r="B10" s="5" t="s">
        <v>35</v>
      </c>
      <c r="C10" s="14" t="s">
        <v>24</v>
      </c>
      <c r="D10" s="5" t="s">
        <v>36</v>
      </c>
      <c r="E10" s="14"/>
      <c r="F10" s="5" t="s">
        <v>37</v>
      </c>
      <c r="G10" s="7"/>
      <c r="H10" s="18"/>
      <c r="I10" s="7"/>
      <c r="J10" s="7"/>
      <c r="K10" s="7"/>
      <c r="L10" s="7"/>
      <c r="M10" s="7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9"/>
    </row>
    <row r="11">
      <c r="A11" s="10">
        <v>2.3201623E7</v>
      </c>
      <c r="B11" s="10" t="s">
        <v>38</v>
      </c>
      <c r="C11" s="13" t="s">
        <v>24</v>
      </c>
      <c r="D11" s="10" t="s">
        <v>36</v>
      </c>
      <c r="E11" s="13"/>
      <c r="F11" s="10" t="s">
        <v>39</v>
      </c>
      <c r="G11" s="12"/>
      <c r="H11" s="16"/>
      <c r="I11" s="12"/>
      <c r="J11" s="12"/>
      <c r="K11" s="12"/>
      <c r="L11" s="12"/>
      <c r="M11" s="12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9"/>
    </row>
    <row r="12">
      <c r="A12" s="5">
        <v>2.4101583E7</v>
      </c>
      <c r="B12" s="5" t="s">
        <v>40</v>
      </c>
      <c r="C12" s="14" t="s">
        <v>24</v>
      </c>
      <c r="D12" s="5" t="s">
        <v>36</v>
      </c>
      <c r="E12" s="14"/>
      <c r="F12" s="5" t="s">
        <v>41</v>
      </c>
      <c r="G12" s="7"/>
      <c r="H12" s="18"/>
      <c r="I12" s="7"/>
      <c r="J12" s="7"/>
      <c r="K12" s="7"/>
      <c r="L12" s="7"/>
      <c r="M12" s="7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9"/>
    </row>
    <row r="13">
      <c r="A13" s="10">
        <v>2.4201101E7</v>
      </c>
      <c r="B13" s="10" t="s">
        <v>42</v>
      </c>
      <c r="C13" s="13" t="s">
        <v>24</v>
      </c>
      <c r="D13" s="10" t="s">
        <v>36</v>
      </c>
      <c r="E13" s="13"/>
      <c r="F13" s="10" t="s">
        <v>43</v>
      </c>
      <c r="G13" s="12"/>
      <c r="H13" s="16"/>
      <c r="I13" s="12"/>
      <c r="J13" s="12"/>
      <c r="K13" s="12"/>
      <c r="L13" s="12"/>
      <c r="M13" s="12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9"/>
    </row>
    <row r="14">
      <c r="A14" s="5">
        <v>1.000054682E9</v>
      </c>
      <c r="B14" s="5" t="s">
        <v>44</v>
      </c>
      <c r="C14" s="14" t="s">
        <v>24</v>
      </c>
      <c r="D14" s="5" t="s">
        <v>45</v>
      </c>
      <c r="E14" s="14"/>
      <c r="F14" s="5" t="s">
        <v>46</v>
      </c>
      <c r="G14" s="7"/>
      <c r="H14" s="18"/>
      <c r="I14" s="7"/>
      <c r="J14" s="7"/>
      <c r="K14" s="7"/>
      <c r="L14" s="7"/>
      <c r="M14" s="7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9"/>
    </row>
    <row r="15">
      <c r="A15" s="10">
        <v>1.000057079E9</v>
      </c>
      <c r="B15" s="10" t="s">
        <v>47</v>
      </c>
      <c r="C15" s="13" t="s">
        <v>24</v>
      </c>
      <c r="D15" s="10" t="s">
        <v>45</v>
      </c>
      <c r="E15" s="13"/>
      <c r="F15" s="10" t="s">
        <v>48</v>
      </c>
      <c r="G15" s="12"/>
      <c r="H15" s="16"/>
      <c r="I15" s="12"/>
      <c r="J15" s="12"/>
      <c r="K15" s="12"/>
      <c r="L15" s="12"/>
      <c r="M15" s="12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9"/>
    </row>
    <row r="16">
      <c r="A16" s="5">
        <v>2.4101235E7</v>
      </c>
      <c r="B16" s="5" t="s">
        <v>49</v>
      </c>
      <c r="C16" s="14" t="s">
        <v>24</v>
      </c>
      <c r="D16" s="5" t="s">
        <v>36</v>
      </c>
      <c r="E16" s="14"/>
      <c r="F16" s="5" t="s">
        <v>50</v>
      </c>
      <c r="G16" s="7"/>
      <c r="H16" s="18"/>
      <c r="I16" s="7"/>
      <c r="J16" s="7"/>
      <c r="K16" s="7"/>
      <c r="L16" s="7"/>
      <c r="M16" s="7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9"/>
    </row>
    <row r="17">
      <c r="A17" s="10">
        <v>1.000054931E9</v>
      </c>
      <c r="B17" s="10" t="s">
        <v>51</v>
      </c>
      <c r="C17" s="13" t="s">
        <v>24</v>
      </c>
      <c r="D17" s="10" t="s">
        <v>36</v>
      </c>
      <c r="E17" s="13"/>
      <c r="F17" s="10" t="s">
        <v>52</v>
      </c>
      <c r="G17" s="12"/>
      <c r="H17" s="19"/>
      <c r="I17" s="12"/>
      <c r="J17" s="12"/>
      <c r="K17" s="12"/>
      <c r="L17" s="12"/>
      <c r="M17" s="12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9"/>
    </row>
    <row r="18">
      <c r="A18" s="5">
        <v>2.4301268E7</v>
      </c>
      <c r="B18" s="5" t="s">
        <v>53</v>
      </c>
      <c r="C18" s="14" t="s">
        <v>24</v>
      </c>
      <c r="D18" s="5" t="s">
        <v>36</v>
      </c>
      <c r="E18" s="14"/>
      <c r="F18" s="5" t="s">
        <v>54</v>
      </c>
      <c r="G18" s="7"/>
      <c r="H18" s="20"/>
      <c r="I18" s="7"/>
      <c r="J18" s="7"/>
      <c r="K18" s="7"/>
      <c r="L18" s="7"/>
      <c r="M18" s="7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9"/>
    </row>
    <row r="19">
      <c r="A19" s="10">
        <v>2.4301388E7</v>
      </c>
      <c r="B19" s="10" t="s">
        <v>55</v>
      </c>
      <c r="C19" s="13" t="s">
        <v>24</v>
      </c>
      <c r="D19" s="10" t="s">
        <v>45</v>
      </c>
      <c r="E19" s="13"/>
      <c r="F19" s="10" t="s">
        <v>56</v>
      </c>
      <c r="G19" s="12"/>
      <c r="H19" s="19"/>
      <c r="I19" s="12"/>
      <c r="J19" s="12"/>
      <c r="K19" s="12"/>
      <c r="L19" s="12"/>
      <c r="M19" s="12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9"/>
    </row>
    <row r="20">
      <c r="A20" s="5">
        <v>2.2101673E7</v>
      </c>
      <c r="B20" s="5" t="s">
        <v>57</v>
      </c>
      <c r="C20" s="14" t="s">
        <v>24</v>
      </c>
      <c r="D20" s="5" t="s">
        <v>45</v>
      </c>
      <c r="E20" s="14"/>
      <c r="F20" s="5" t="s">
        <v>58</v>
      </c>
      <c r="G20" s="7"/>
      <c r="H20" s="20"/>
      <c r="I20" s="7"/>
      <c r="J20" s="7"/>
      <c r="K20" s="7"/>
      <c r="L20" s="7"/>
      <c r="M20" s="7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9"/>
    </row>
    <row r="21">
      <c r="A21" s="10">
        <v>2.2301379E7</v>
      </c>
      <c r="B21" s="10" t="s">
        <v>59</v>
      </c>
      <c r="C21" s="13" t="s">
        <v>24</v>
      </c>
      <c r="D21" s="10" t="s">
        <v>45</v>
      </c>
      <c r="E21" s="13"/>
      <c r="F21" s="10" t="s">
        <v>60</v>
      </c>
      <c r="G21" s="12"/>
      <c r="H21" s="21"/>
      <c r="I21" s="12"/>
      <c r="J21" s="12"/>
      <c r="K21" s="12"/>
      <c r="L21" s="12"/>
      <c r="M21" s="12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9"/>
    </row>
    <row r="22">
      <c r="A22" s="5">
        <v>2.3221134E7</v>
      </c>
      <c r="B22" s="5" t="s">
        <v>61</v>
      </c>
      <c r="C22" s="14" t="s">
        <v>24</v>
      </c>
      <c r="D22" s="5" t="s">
        <v>45</v>
      </c>
      <c r="E22" s="14"/>
      <c r="F22" s="5" t="s">
        <v>62</v>
      </c>
      <c r="G22" s="7"/>
      <c r="H22" s="22"/>
      <c r="I22" s="7"/>
      <c r="J22" s="7"/>
      <c r="K22" s="7"/>
      <c r="L22" s="7"/>
      <c r="M22" s="7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9"/>
    </row>
    <row r="23">
      <c r="A23" s="10">
        <v>2.2241042E7</v>
      </c>
      <c r="B23" s="10" t="s">
        <v>63</v>
      </c>
      <c r="C23" s="13" t="s">
        <v>24</v>
      </c>
      <c r="D23" s="10" t="s">
        <v>45</v>
      </c>
      <c r="E23" s="13"/>
      <c r="F23" s="10" t="s">
        <v>64</v>
      </c>
      <c r="G23" s="12"/>
      <c r="H23" s="23"/>
      <c r="I23" s="12"/>
      <c r="J23" s="12"/>
      <c r="K23" s="12"/>
      <c r="L23" s="12"/>
      <c r="M23" s="12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9"/>
    </row>
    <row r="24">
      <c r="A24" s="5">
        <v>2.4121298E7</v>
      </c>
      <c r="B24" s="5" t="s">
        <v>65</v>
      </c>
      <c r="C24" s="14" t="s">
        <v>24</v>
      </c>
      <c r="D24" s="5" t="s">
        <v>45</v>
      </c>
      <c r="E24" s="14"/>
      <c r="F24" s="5" t="s">
        <v>66</v>
      </c>
      <c r="G24" s="7"/>
      <c r="H24" s="24"/>
      <c r="I24" s="7"/>
      <c r="J24" s="7"/>
      <c r="K24" s="7"/>
      <c r="L24" s="7"/>
      <c r="M24" s="7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9"/>
    </row>
    <row r="25">
      <c r="A25" s="10">
        <v>2.4201116E7</v>
      </c>
      <c r="B25" s="10" t="s">
        <v>67</v>
      </c>
      <c r="C25" s="13" t="s">
        <v>24</v>
      </c>
      <c r="D25" s="10" t="s">
        <v>45</v>
      </c>
      <c r="E25" s="13"/>
      <c r="F25" s="10" t="s">
        <v>68</v>
      </c>
      <c r="G25" s="12"/>
      <c r="H25" s="23"/>
      <c r="I25" s="12"/>
      <c r="J25" s="12"/>
      <c r="K25" s="12"/>
      <c r="L25" s="12"/>
      <c r="M25" s="12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9"/>
    </row>
    <row r="26">
      <c r="A26" s="5">
        <v>2.4201234E7</v>
      </c>
      <c r="B26" s="5" t="s">
        <v>69</v>
      </c>
      <c r="C26" s="14" t="s">
        <v>24</v>
      </c>
      <c r="D26" s="5" t="s">
        <v>45</v>
      </c>
      <c r="E26" s="14"/>
      <c r="F26" s="5" t="s">
        <v>70</v>
      </c>
      <c r="G26" s="7"/>
      <c r="H26" s="25"/>
      <c r="I26" s="7"/>
      <c r="J26" s="7"/>
      <c r="K26" s="7"/>
      <c r="L26" s="7"/>
      <c r="M26" s="7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9"/>
    </row>
    <row r="27">
      <c r="A27" s="10">
        <v>2.4201032E7</v>
      </c>
      <c r="B27" s="10" t="s">
        <v>71</v>
      </c>
      <c r="C27" s="13" t="s">
        <v>24</v>
      </c>
      <c r="D27" s="10" t="s">
        <v>45</v>
      </c>
      <c r="E27" s="13"/>
      <c r="F27" s="10" t="s">
        <v>72</v>
      </c>
      <c r="G27" s="12"/>
      <c r="H27" s="17"/>
      <c r="I27" s="12"/>
      <c r="J27" s="12"/>
      <c r="K27" s="12"/>
      <c r="L27" s="12"/>
      <c r="M27" s="12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9"/>
    </row>
    <row r="28">
      <c r="A28" s="5">
        <v>2.4301361E7</v>
      </c>
      <c r="B28" s="5" t="s">
        <v>73</v>
      </c>
      <c r="C28" s="14" t="s">
        <v>24</v>
      </c>
      <c r="D28" s="5" t="s">
        <v>45</v>
      </c>
      <c r="E28" s="14"/>
      <c r="F28" s="5" t="s">
        <v>74</v>
      </c>
      <c r="G28" s="7"/>
      <c r="H28" s="25"/>
      <c r="I28" s="7"/>
      <c r="J28" s="7"/>
      <c r="K28" s="7"/>
      <c r="L28" s="7"/>
      <c r="M28" s="7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9"/>
    </row>
    <row r="29">
      <c r="A29" s="10">
        <v>2.3201453E7</v>
      </c>
      <c r="B29" s="10" t="s">
        <v>75</v>
      </c>
      <c r="C29" s="13" t="s">
        <v>24</v>
      </c>
      <c r="D29" s="10" t="s">
        <v>45</v>
      </c>
      <c r="E29" s="13"/>
      <c r="F29" s="10" t="s">
        <v>76</v>
      </c>
      <c r="G29" s="12"/>
      <c r="H29" s="12"/>
      <c r="I29" s="12"/>
      <c r="J29" s="12"/>
      <c r="K29" s="12"/>
      <c r="L29" s="12"/>
      <c r="M29" s="12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9"/>
    </row>
    <row r="30">
      <c r="A30" s="5">
        <v>2.4304082E7</v>
      </c>
      <c r="B30" s="5" t="s">
        <v>77</v>
      </c>
      <c r="C30" s="14" t="s">
        <v>24</v>
      </c>
      <c r="D30" s="5" t="s">
        <v>45</v>
      </c>
      <c r="E30" s="14"/>
      <c r="F30" s="5" t="s">
        <v>78</v>
      </c>
      <c r="G30" s="7"/>
      <c r="H30" s="7"/>
      <c r="I30" s="7"/>
      <c r="J30" s="7"/>
      <c r="K30" s="7"/>
      <c r="L30" s="7"/>
      <c r="M30" s="7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9"/>
    </row>
    <row r="31">
      <c r="A31" s="10">
        <v>2.4215018E7</v>
      </c>
      <c r="B31" s="10" t="s">
        <v>79</v>
      </c>
      <c r="C31" s="13" t="s">
        <v>24</v>
      </c>
      <c r="D31" s="10" t="s">
        <v>45</v>
      </c>
      <c r="E31" s="13"/>
      <c r="F31" s="10" t="s">
        <v>80</v>
      </c>
      <c r="G31" s="12"/>
      <c r="H31" s="12"/>
      <c r="I31" s="12"/>
      <c r="J31" s="12"/>
      <c r="K31" s="12"/>
      <c r="L31" s="12"/>
      <c r="M31" s="12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9"/>
    </row>
    <row r="32">
      <c r="A32" s="5">
        <v>2.4201045E7</v>
      </c>
      <c r="B32" s="5" t="s">
        <v>81</v>
      </c>
      <c r="C32" s="14" t="s">
        <v>24</v>
      </c>
      <c r="D32" s="5" t="s">
        <v>45</v>
      </c>
      <c r="E32" s="14"/>
      <c r="F32" s="5" t="s">
        <v>82</v>
      </c>
      <c r="G32" s="7"/>
      <c r="H32" s="7"/>
      <c r="I32" s="7"/>
      <c r="J32" s="7"/>
      <c r="K32" s="7"/>
      <c r="L32" s="7"/>
      <c r="M32" s="7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9"/>
    </row>
    <row r="33">
      <c r="A33" s="10">
        <v>2.4201412E7</v>
      </c>
      <c r="B33" s="10" t="s">
        <v>83</v>
      </c>
      <c r="C33" s="13" t="s">
        <v>24</v>
      </c>
      <c r="D33" s="10" t="s">
        <v>45</v>
      </c>
      <c r="E33" s="13"/>
      <c r="F33" s="10" t="s">
        <v>84</v>
      </c>
      <c r="G33" s="12"/>
      <c r="H33" s="12"/>
      <c r="I33" s="12"/>
      <c r="J33" s="12"/>
      <c r="K33" s="12"/>
      <c r="L33" s="12"/>
      <c r="M33" s="12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9"/>
    </row>
    <row r="34">
      <c r="A34" s="5">
        <v>2.4201428E7</v>
      </c>
      <c r="B34" s="5" t="s">
        <v>85</v>
      </c>
      <c r="C34" s="14" t="s">
        <v>86</v>
      </c>
      <c r="D34" s="5" t="s">
        <v>45</v>
      </c>
      <c r="E34" s="14"/>
      <c r="F34" s="5" t="s">
        <v>87</v>
      </c>
      <c r="G34" s="7"/>
      <c r="H34" s="7"/>
      <c r="I34" s="7"/>
      <c r="J34" s="7"/>
      <c r="K34" s="7"/>
      <c r="L34" s="7"/>
      <c r="M34" s="7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9"/>
    </row>
    <row r="35">
      <c r="A35" s="10">
        <v>1.000055205E9</v>
      </c>
      <c r="B35" s="10" t="s">
        <v>88</v>
      </c>
      <c r="C35" s="13" t="s">
        <v>24</v>
      </c>
      <c r="D35" s="10" t="s">
        <v>45</v>
      </c>
      <c r="E35" s="13"/>
      <c r="F35" s="10" t="s">
        <v>89</v>
      </c>
      <c r="G35" s="12"/>
      <c r="H35" s="12"/>
      <c r="I35" s="12"/>
      <c r="J35" s="12"/>
      <c r="K35" s="12"/>
      <c r="L35" s="12"/>
      <c r="M35" s="12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9"/>
    </row>
    <row r="36">
      <c r="A36" s="5">
        <v>1.000056892E9</v>
      </c>
      <c r="B36" s="5" t="s">
        <v>90</v>
      </c>
      <c r="C36" s="14" t="s">
        <v>24</v>
      </c>
      <c r="D36" s="5" t="s">
        <v>45</v>
      </c>
      <c r="E36" s="14"/>
      <c r="F36" s="5" t="s">
        <v>91</v>
      </c>
      <c r="G36" s="7"/>
      <c r="H36" s="7"/>
      <c r="I36" s="7"/>
      <c r="J36" s="7"/>
      <c r="K36" s="7"/>
      <c r="L36" s="7"/>
      <c r="M36" s="7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9"/>
    </row>
    <row r="37">
      <c r="A37" s="10">
        <v>1.000055037E9</v>
      </c>
      <c r="B37" s="10" t="s">
        <v>92</v>
      </c>
      <c r="C37" s="13" t="s">
        <v>24</v>
      </c>
      <c r="D37" s="10" t="s">
        <v>45</v>
      </c>
      <c r="E37" s="13"/>
      <c r="F37" s="10" t="s">
        <v>93</v>
      </c>
      <c r="G37" s="12"/>
      <c r="H37" s="12"/>
      <c r="I37" s="12"/>
      <c r="J37" s="12"/>
      <c r="K37" s="12"/>
      <c r="L37" s="12"/>
      <c r="M37" s="12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9"/>
    </row>
    <row r="38">
      <c r="A38" s="5">
        <v>2.3301619E7</v>
      </c>
      <c r="B38" s="5" t="s">
        <v>94</v>
      </c>
      <c r="C38" s="14" t="s">
        <v>24</v>
      </c>
      <c r="D38" s="5" t="s">
        <v>95</v>
      </c>
      <c r="E38" s="14" t="s">
        <v>96</v>
      </c>
      <c r="F38" s="5" t="s">
        <v>97</v>
      </c>
      <c r="G38" s="7"/>
      <c r="H38" s="7"/>
      <c r="I38" s="7"/>
      <c r="J38" s="7"/>
      <c r="K38" s="7"/>
      <c r="L38" s="7"/>
      <c r="M38" s="7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9"/>
    </row>
    <row r="39">
      <c r="A39" s="10">
        <v>2.3301559E7</v>
      </c>
      <c r="B39" s="10" t="s">
        <v>98</v>
      </c>
      <c r="C39" s="13" t="s">
        <v>24</v>
      </c>
      <c r="D39" s="10" t="s">
        <v>95</v>
      </c>
      <c r="E39" s="13" t="s">
        <v>99</v>
      </c>
      <c r="F39" s="10" t="s">
        <v>100</v>
      </c>
      <c r="G39" s="12"/>
      <c r="H39" s="12"/>
      <c r="I39" s="12"/>
      <c r="J39" s="12"/>
      <c r="K39" s="12"/>
      <c r="L39" s="12"/>
      <c r="M39" s="12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9"/>
    </row>
    <row r="40">
      <c r="A40" s="5">
        <v>2.330147E7</v>
      </c>
      <c r="B40" s="5" t="s">
        <v>101</v>
      </c>
      <c r="C40" s="14" t="s">
        <v>24</v>
      </c>
      <c r="D40" s="5" t="s">
        <v>95</v>
      </c>
      <c r="E40" s="14" t="s">
        <v>102</v>
      </c>
      <c r="F40" s="5" t="s">
        <v>103</v>
      </c>
      <c r="G40" s="7"/>
      <c r="H40" s="7"/>
      <c r="I40" s="7"/>
      <c r="J40" s="7"/>
      <c r="K40" s="7"/>
      <c r="L40" s="7"/>
      <c r="M40" s="7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9"/>
    </row>
    <row r="41">
      <c r="A41" s="10">
        <v>2.3201612E7</v>
      </c>
      <c r="B41" s="10" t="s">
        <v>104</v>
      </c>
      <c r="C41" s="13" t="s">
        <v>24</v>
      </c>
      <c r="D41" s="10" t="s">
        <v>95</v>
      </c>
      <c r="E41" s="13" t="s">
        <v>105</v>
      </c>
      <c r="F41" s="10" t="s">
        <v>106</v>
      </c>
      <c r="G41" s="12"/>
      <c r="H41" s="12"/>
      <c r="I41" s="12"/>
      <c r="J41" s="12"/>
      <c r="K41" s="12"/>
      <c r="L41" s="12"/>
      <c r="M41" s="12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9"/>
    </row>
    <row r="42">
      <c r="A42" s="5">
        <v>2.3201589E7</v>
      </c>
      <c r="B42" s="5" t="s">
        <v>107</v>
      </c>
      <c r="C42" s="14" t="s">
        <v>24</v>
      </c>
      <c r="D42" s="5" t="s">
        <v>95</v>
      </c>
      <c r="E42" s="14" t="s">
        <v>108</v>
      </c>
      <c r="F42" s="5" t="s">
        <v>109</v>
      </c>
      <c r="G42" s="7"/>
      <c r="H42" s="7"/>
      <c r="I42" s="7"/>
      <c r="J42" s="7"/>
      <c r="K42" s="7"/>
      <c r="L42" s="7"/>
      <c r="M42" s="7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9"/>
    </row>
    <row r="43">
      <c r="A43" s="10">
        <v>2.3201566E7</v>
      </c>
      <c r="B43" s="10" t="s">
        <v>110</v>
      </c>
      <c r="C43" s="13" t="s">
        <v>24</v>
      </c>
      <c r="D43" s="10" t="s">
        <v>95</v>
      </c>
      <c r="E43" s="13" t="s">
        <v>111</v>
      </c>
      <c r="F43" s="10" t="s">
        <v>112</v>
      </c>
      <c r="G43" s="12"/>
      <c r="H43" s="12"/>
      <c r="I43" s="12"/>
      <c r="J43" s="12"/>
      <c r="K43" s="12"/>
      <c r="L43" s="12"/>
      <c r="M43" s="12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9"/>
    </row>
    <row r="44">
      <c r="A44" s="5">
        <v>2.3201562E7</v>
      </c>
      <c r="B44" s="5" t="s">
        <v>113</v>
      </c>
      <c r="C44" s="14" t="s">
        <v>24</v>
      </c>
      <c r="D44" s="5" t="s">
        <v>95</v>
      </c>
      <c r="E44" s="14"/>
      <c r="F44" s="5" t="s">
        <v>114</v>
      </c>
      <c r="G44" s="7"/>
      <c r="H44" s="7"/>
      <c r="I44" s="7"/>
      <c r="J44" s="7"/>
      <c r="K44" s="7"/>
      <c r="L44" s="7"/>
      <c r="M44" s="7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9"/>
    </row>
    <row r="45">
      <c r="A45" s="10">
        <v>2.3201414E7</v>
      </c>
      <c r="B45" s="10" t="s">
        <v>115</v>
      </c>
      <c r="C45" s="13" t="s">
        <v>24</v>
      </c>
      <c r="D45" s="10" t="s">
        <v>95</v>
      </c>
      <c r="E45" s="13"/>
      <c r="F45" s="10" t="s">
        <v>116</v>
      </c>
      <c r="G45" s="12"/>
      <c r="H45" s="12"/>
      <c r="I45" s="12"/>
      <c r="J45" s="12"/>
      <c r="K45" s="12"/>
      <c r="L45" s="12"/>
      <c r="M45" s="12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9"/>
    </row>
    <row r="46">
      <c r="A46" s="5">
        <v>2.3201387E7</v>
      </c>
      <c r="B46" s="5" t="s">
        <v>117</v>
      </c>
      <c r="C46" s="14" t="s">
        <v>24</v>
      </c>
      <c r="D46" s="5" t="s">
        <v>95</v>
      </c>
      <c r="E46" s="14"/>
      <c r="F46" s="5" t="s">
        <v>118</v>
      </c>
      <c r="G46" s="7"/>
      <c r="H46" s="7"/>
      <c r="I46" s="7"/>
      <c r="J46" s="7"/>
      <c r="K46" s="7"/>
      <c r="L46" s="7"/>
      <c r="M46" s="7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9"/>
    </row>
    <row r="47">
      <c r="A47" s="10">
        <v>2.3201373E7</v>
      </c>
      <c r="B47" s="10" t="s">
        <v>119</v>
      </c>
      <c r="C47" s="13" t="s">
        <v>24</v>
      </c>
      <c r="D47" s="10" t="s">
        <v>95</v>
      </c>
      <c r="E47" s="13"/>
      <c r="F47" s="10" t="s">
        <v>120</v>
      </c>
      <c r="G47" s="12"/>
      <c r="H47" s="12"/>
      <c r="I47" s="12"/>
      <c r="J47" s="12"/>
      <c r="K47" s="12"/>
      <c r="L47" s="12"/>
      <c r="M47" s="12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9"/>
    </row>
    <row r="48">
      <c r="A48" s="5">
        <v>2.3201354E7</v>
      </c>
      <c r="B48" s="5" t="s">
        <v>121</v>
      </c>
      <c r="C48" s="14" t="s">
        <v>24</v>
      </c>
      <c r="D48" s="5" t="s">
        <v>95</v>
      </c>
      <c r="E48" s="14"/>
      <c r="F48" s="5" t="s">
        <v>122</v>
      </c>
      <c r="G48" s="7"/>
      <c r="H48" s="7"/>
      <c r="I48" s="7"/>
      <c r="J48" s="7"/>
      <c r="K48" s="7"/>
      <c r="L48" s="7"/>
      <c r="M48" s="7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9"/>
    </row>
    <row r="49">
      <c r="A49" s="10">
        <v>2.3201252E7</v>
      </c>
      <c r="B49" s="10" t="s">
        <v>123</v>
      </c>
      <c r="C49" s="13" t="s">
        <v>24</v>
      </c>
      <c r="D49" s="10" t="s">
        <v>95</v>
      </c>
      <c r="E49" s="13"/>
      <c r="F49" s="10" t="s">
        <v>124</v>
      </c>
      <c r="G49" s="12"/>
      <c r="H49" s="12"/>
      <c r="I49" s="12"/>
      <c r="J49" s="12"/>
      <c r="K49" s="12"/>
      <c r="L49" s="12"/>
      <c r="M49" s="12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9"/>
    </row>
    <row r="50">
      <c r="A50" s="5">
        <v>2.3201093E7</v>
      </c>
      <c r="B50" s="5" t="s">
        <v>125</v>
      </c>
      <c r="C50" s="14" t="s">
        <v>24</v>
      </c>
      <c r="D50" s="5" t="s">
        <v>95</v>
      </c>
      <c r="E50" s="14"/>
      <c r="F50" s="5" t="s">
        <v>126</v>
      </c>
      <c r="G50" s="7"/>
      <c r="H50" s="7"/>
      <c r="I50" s="7"/>
      <c r="J50" s="7"/>
      <c r="K50" s="7"/>
      <c r="L50" s="7"/>
      <c r="M50" s="7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9"/>
    </row>
    <row r="51">
      <c r="A51" s="10">
        <v>2.3201007E7</v>
      </c>
      <c r="B51" s="10" t="s">
        <v>127</v>
      </c>
      <c r="C51" s="13" t="s">
        <v>24</v>
      </c>
      <c r="D51" s="10" t="s">
        <v>95</v>
      </c>
      <c r="E51" s="13"/>
      <c r="F51" s="10" t="s">
        <v>128</v>
      </c>
      <c r="G51" s="12"/>
      <c r="H51" s="12"/>
      <c r="I51" s="12"/>
      <c r="J51" s="12"/>
      <c r="K51" s="12"/>
      <c r="L51" s="12"/>
      <c r="M51" s="12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9"/>
    </row>
    <row r="52">
      <c r="A52" s="5">
        <v>2.3141004E7</v>
      </c>
      <c r="B52" s="5" t="s">
        <v>129</v>
      </c>
      <c r="C52" s="14" t="s">
        <v>24</v>
      </c>
      <c r="D52" s="5" t="s">
        <v>95</v>
      </c>
      <c r="E52" s="14"/>
      <c r="F52" s="5" t="s">
        <v>130</v>
      </c>
      <c r="G52" s="7"/>
      <c r="H52" s="7"/>
      <c r="I52" s="7"/>
      <c r="J52" s="7"/>
      <c r="K52" s="7"/>
      <c r="L52" s="7"/>
      <c r="M52" s="7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9"/>
    </row>
    <row r="53">
      <c r="A53" s="10">
        <v>2.3110001E7</v>
      </c>
      <c r="B53" s="10" t="s">
        <v>131</v>
      </c>
      <c r="C53" s="13" t="s">
        <v>24</v>
      </c>
      <c r="D53" s="10" t="s">
        <v>95</v>
      </c>
      <c r="E53" s="13"/>
      <c r="F53" s="10" t="s">
        <v>132</v>
      </c>
      <c r="G53" s="12"/>
      <c r="H53" s="12"/>
      <c r="I53" s="12"/>
      <c r="J53" s="12"/>
      <c r="K53" s="12"/>
      <c r="L53" s="12"/>
      <c r="M53" s="12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9"/>
    </row>
    <row r="54">
      <c r="A54" s="5">
        <v>2.3101501E7</v>
      </c>
      <c r="B54" s="5" t="s">
        <v>133</v>
      </c>
      <c r="C54" s="14" t="s">
        <v>24</v>
      </c>
      <c r="D54" s="5" t="s">
        <v>95</v>
      </c>
      <c r="E54" s="14"/>
      <c r="F54" s="5" t="s">
        <v>134</v>
      </c>
      <c r="G54" s="7"/>
      <c r="H54" s="7"/>
      <c r="I54" s="7"/>
      <c r="J54" s="7"/>
      <c r="K54" s="7"/>
      <c r="L54" s="7"/>
      <c r="M54" s="7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9"/>
    </row>
    <row r="55">
      <c r="A55" s="10">
        <v>2.310149E7</v>
      </c>
      <c r="B55" s="10" t="s">
        <v>135</v>
      </c>
      <c r="C55" s="13" t="s">
        <v>24</v>
      </c>
      <c r="D55" s="10" t="s">
        <v>95</v>
      </c>
      <c r="E55" s="13"/>
      <c r="F55" s="10" t="s">
        <v>136</v>
      </c>
      <c r="G55" s="12"/>
      <c r="H55" s="12"/>
      <c r="I55" s="12"/>
      <c r="J55" s="12"/>
      <c r="K55" s="12"/>
      <c r="L55" s="12"/>
      <c r="M55" s="12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9"/>
    </row>
    <row r="56">
      <c r="A56" s="5">
        <v>2.3101455E7</v>
      </c>
      <c r="B56" s="5" t="s">
        <v>137</v>
      </c>
      <c r="C56" s="14" t="s">
        <v>24</v>
      </c>
      <c r="D56" s="5" t="s">
        <v>95</v>
      </c>
      <c r="E56" s="14"/>
      <c r="F56" s="5" t="s">
        <v>138</v>
      </c>
      <c r="G56" s="7"/>
      <c r="H56" s="7"/>
      <c r="I56" s="7"/>
      <c r="J56" s="7"/>
      <c r="K56" s="7"/>
      <c r="L56" s="7"/>
      <c r="M56" s="7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9"/>
    </row>
    <row r="57">
      <c r="A57" s="10">
        <v>2.3101335E7</v>
      </c>
      <c r="B57" s="10" t="s">
        <v>139</v>
      </c>
      <c r="C57" s="13" t="s">
        <v>24</v>
      </c>
      <c r="D57" s="10" t="s">
        <v>95</v>
      </c>
      <c r="E57" s="13"/>
      <c r="F57" s="10" t="s">
        <v>140</v>
      </c>
      <c r="G57" s="12"/>
      <c r="H57" s="12"/>
      <c r="I57" s="12"/>
      <c r="J57" s="12"/>
      <c r="K57" s="12"/>
      <c r="L57" s="12"/>
      <c r="M57" s="12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9"/>
    </row>
    <row r="58">
      <c r="A58" s="5">
        <v>2.3101318E7</v>
      </c>
      <c r="B58" s="5" t="s">
        <v>141</v>
      </c>
      <c r="C58" s="14" t="s">
        <v>24</v>
      </c>
      <c r="D58" s="5" t="s">
        <v>95</v>
      </c>
      <c r="E58" s="14"/>
      <c r="F58" s="5" t="s">
        <v>142</v>
      </c>
      <c r="G58" s="7"/>
      <c r="H58" s="7"/>
      <c r="I58" s="7"/>
      <c r="J58" s="7"/>
      <c r="K58" s="7"/>
      <c r="L58" s="7"/>
      <c r="M58" s="7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9"/>
    </row>
    <row r="59">
      <c r="A59" s="10">
        <v>2.3101184E7</v>
      </c>
      <c r="B59" s="10" t="s">
        <v>143</v>
      </c>
      <c r="C59" s="13" t="s">
        <v>24</v>
      </c>
      <c r="D59" s="10" t="s">
        <v>95</v>
      </c>
      <c r="E59" s="13"/>
      <c r="F59" s="10" t="s">
        <v>144</v>
      </c>
      <c r="G59" s="12"/>
      <c r="H59" s="12"/>
      <c r="I59" s="12"/>
      <c r="J59" s="12"/>
      <c r="K59" s="12"/>
      <c r="L59" s="12"/>
      <c r="M59" s="12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9"/>
    </row>
    <row r="60">
      <c r="A60" s="5">
        <v>2.3101052E7</v>
      </c>
      <c r="B60" s="5" t="s">
        <v>145</v>
      </c>
      <c r="C60" s="14" t="s">
        <v>24</v>
      </c>
      <c r="D60" s="5" t="s">
        <v>95</v>
      </c>
      <c r="E60" s="14"/>
      <c r="F60" s="5" t="s">
        <v>146</v>
      </c>
      <c r="G60" s="7"/>
      <c r="H60" s="7"/>
      <c r="I60" s="7"/>
      <c r="J60" s="7"/>
      <c r="K60" s="7"/>
      <c r="L60" s="7"/>
      <c r="M60" s="7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9"/>
    </row>
    <row r="61">
      <c r="A61" s="10">
        <v>2.2341021E7</v>
      </c>
      <c r="B61" s="10" t="s">
        <v>147</v>
      </c>
      <c r="C61" s="13" t="s">
        <v>24</v>
      </c>
      <c r="D61" s="10" t="s">
        <v>95</v>
      </c>
      <c r="E61" s="13"/>
      <c r="F61" s="10" t="s">
        <v>148</v>
      </c>
      <c r="G61" s="12"/>
      <c r="H61" s="12"/>
      <c r="I61" s="12"/>
      <c r="J61" s="12"/>
      <c r="K61" s="12"/>
      <c r="L61" s="12"/>
      <c r="M61" s="12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9"/>
    </row>
    <row r="62" ht="15.75" customHeight="1">
      <c r="A62" s="26">
        <v>2.2301783E7</v>
      </c>
      <c r="B62" s="26" t="s">
        <v>149</v>
      </c>
      <c r="C62" s="27" t="s">
        <v>150</v>
      </c>
      <c r="D62" s="26" t="s">
        <v>95</v>
      </c>
      <c r="E62" s="27"/>
      <c r="F62" s="26" t="s">
        <v>151</v>
      </c>
      <c r="G62" s="7"/>
      <c r="H62" s="7"/>
      <c r="I62" s="7"/>
      <c r="J62" s="7"/>
      <c r="K62" s="7"/>
      <c r="L62" s="7"/>
      <c r="M62" s="7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9"/>
    </row>
    <row r="63">
      <c r="A63" s="10">
        <v>2.2301691E7</v>
      </c>
      <c r="B63" s="10" t="s">
        <v>152</v>
      </c>
      <c r="C63" s="13" t="s">
        <v>24</v>
      </c>
      <c r="D63" s="10" t="s">
        <v>95</v>
      </c>
      <c r="E63" s="13"/>
      <c r="F63" s="10" t="s">
        <v>153</v>
      </c>
      <c r="G63" s="12"/>
      <c r="H63" s="12"/>
      <c r="I63" s="12"/>
      <c r="J63" s="12"/>
      <c r="K63" s="12"/>
      <c r="L63" s="12"/>
      <c r="M63" s="12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9"/>
    </row>
    <row r="64">
      <c r="A64" s="5">
        <v>2.2301664E7</v>
      </c>
      <c r="B64" s="5" t="s">
        <v>154</v>
      </c>
      <c r="C64" s="14" t="s">
        <v>24</v>
      </c>
      <c r="D64" s="5" t="s">
        <v>95</v>
      </c>
      <c r="E64" s="14"/>
      <c r="F64" s="5" t="s">
        <v>155</v>
      </c>
      <c r="G64" s="7"/>
      <c r="H64" s="7"/>
      <c r="I64" s="7"/>
      <c r="J64" s="7"/>
      <c r="K64" s="7"/>
      <c r="L64" s="7"/>
      <c r="M64" s="7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9"/>
    </row>
    <row r="65">
      <c r="A65" s="10">
        <v>2.2301643E7</v>
      </c>
      <c r="B65" s="10" t="s">
        <v>156</v>
      </c>
      <c r="C65" s="13" t="s">
        <v>24</v>
      </c>
      <c r="D65" s="10" t="s">
        <v>95</v>
      </c>
      <c r="E65" s="13"/>
      <c r="F65" s="10" t="s">
        <v>157</v>
      </c>
      <c r="G65" s="12"/>
      <c r="H65" s="12"/>
      <c r="I65" s="12"/>
      <c r="J65" s="12"/>
      <c r="K65" s="12"/>
      <c r="L65" s="12"/>
      <c r="M65" s="12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9"/>
    </row>
    <row r="66">
      <c r="A66" s="5">
        <v>2.230155E7</v>
      </c>
      <c r="B66" s="5" t="s">
        <v>158</v>
      </c>
      <c r="C66" s="14" t="s">
        <v>24</v>
      </c>
      <c r="D66" s="5" t="s">
        <v>95</v>
      </c>
      <c r="E66" s="14"/>
      <c r="F66" s="5" t="s">
        <v>159</v>
      </c>
      <c r="G66" s="7"/>
      <c r="H66" s="7"/>
      <c r="I66" s="7"/>
      <c r="J66" s="7"/>
      <c r="K66" s="7"/>
      <c r="L66" s="7"/>
      <c r="M66" s="7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9"/>
    </row>
    <row r="67">
      <c r="A67" s="10">
        <v>2.2301517E7</v>
      </c>
      <c r="B67" s="10" t="s">
        <v>160</v>
      </c>
      <c r="C67" s="13" t="s">
        <v>24</v>
      </c>
      <c r="D67" s="10" t="s">
        <v>95</v>
      </c>
      <c r="E67" s="13"/>
      <c r="F67" s="10" t="s">
        <v>161</v>
      </c>
      <c r="G67" s="12"/>
      <c r="H67" s="12"/>
      <c r="I67" s="12"/>
      <c r="J67" s="12"/>
      <c r="K67" s="12"/>
      <c r="L67" s="12"/>
      <c r="M67" s="12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9"/>
    </row>
    <row r="68">
      <c r="A68" s="5">
        <v>2.2301515E7</v>
      </c>
      <c r="B68" s="5" t="s">
        <v>162</v>
      </c>
      <c r="C68" s="14" t="s">
        <v>24</v>
      </c>
      <c r="D68" s="5" t="s">
        <v>95</v>
      </c>
      <c r="E68" s="14"/>
      <c r="F68" s="5" t="s">
        <v>163</v>
      </c>
      <c r="G68" s="7"/>
      <c r="H68" s="7"/>
      <c r="I68" s="7"/>
      <c r="J68" s="7"/>
      <c r="K68" s="7"/>
      <c r="L68" s="7"/>
      <c r="M68" s="7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9"/>
    </row>
    <row r="69">
      <c r="A69" s="10">
        <v>2.2301273E7</v>
      </c>
      <c r="B69" s="10" t="s">
        <v>164</v>
      </c>
      <c r="C69" s="13" t="s">
        <v>24</v>
      </c>
      <c r="D69" s="10" t="s">
        <v>95</v>
      </c>
      <c r="E69" s="13"/>
      <c r="F69" s="10" t="s">
        <v>165</v>
      </c>
      <c r="G69" s="12"/>
      <c r="H69" s="12"/>
      <c r="I69" s="12"/>
      <c r="J69" s="12"/>
      <c r="K69" s="12"/>
      <c r="L69" s="12"/>
      <c r="M69" s="12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9"/>
    </row>
    <row r="70">
      <c r="A70" s="5">
        <v>2.2301091E7</v>
      </c>
      <c r="B70" s="5" t="s">
        <v>166</v>
      </c>
      <c r="C70" s="14" t="s">
        <v>24</v>
      </c>
      <c r="D70" s="5" t="s">
        <v>95</v>
      </c>
      <c r="E70" s="14"/>
      <c r="F70" s="5" t="s">
        <v>167</v>
      </c>
      <c r="G70" s="7"/>
      <c r="H70" s="7"/>
      <c r="I70" s="7"/>
      <c r="J70" s="7"/>
      <c r="K70" s="7"/>
      <c r="L70" s="7"/>
      <c r="M70" s="7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9"/>
    </row>
    <row r="71">
      <c r="A71" s="10">
        <v>2.230106E7</v>
      </c>
      <c r="B71" s="10" t="s">
        <v>168</v>
      </c>
      <c r="C71" s="13" t="s">
        <v>24</v>
      </c>
      <c r="D71" s="10" t="s">
        <v>95</v>
      </c>
      <c r="E71" s="13"/>
      <c r="F71" s="10" t="s">
        <v>169</v>
      </c>
      <c r="G71" s="12"/>
      <c r="H71" s="12"/>
      <c r="I71" s="12"/>
      <c r="J71" s="12"/>
      <c r="K71" s="12"/>
      <c r="L71" s="12"/>
      <c r="M71" s="12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9"/>
    </row>
    <row r="72">
      <c r="A72" s="5">
        <v>2.2301044E7</v>
      </c>
      <c r="B72" s="5" t="s">
        <v>170</v>
      </c>
      <c r="C72" s="14" t="s">
        <v>24</v>
      </c>
      <c r="D72" s="5" t="s">
        <v>95</v>
      </c>
      <c r="E72" s="14"/>
      <c r="F72" s="5" t="s">
        <v>171</v>
      </c>
      <c r="G72" s="7"/>
      <c r="H72" s="7"/>
      <c r="I72" s="7"/>
      <c r="J72" s="7"/>
      <c r="K72" s="7"/>
      <c r="L72" s="7"/>
      <c r="M72" s="7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9"/>
    </row>
    <row r="73">
      <c r="A73" s="10">
        <v>2.229924E7</v>
      </c>
      <c r="B73" s="10" t="s">
        <v>172</v>
      </c>
      <c r="C73" s="13" t="s">
        <v>24</v>
      </c>
      <c r="D73" s="10" t="s">
        <v>95</v>
      </c>
      <c r="E73" s="13"/>
      <c r="F73" s="10" t="s">
        <v>173</v>
      </c>
      <c r="G73" s="12"/>
      <c r="H73" s="12"/>
      <c r="I73" s="12"/>
      <c r="J73" s="12"/>
      <c r="K73" s="12"/>
      <c r="L73" s="12"/>
      <c r="M73" s="12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9"/>
    </row>
    <row r="74">
      <c r="A74" s="5">
        <v>2.2299235E7</v>
      </c>
      <c r="B74" s="5" t="s">
        <v>174</v>
      </c>
      <c r="C74" s="14" t="s">
        <v>24</v>
      </c>
      <c r="D74" s="5" t="s">
        <v>95</v>
      </c>
      <c r="E74" s="14"/>
      <c r="F74" s="5" t="s">
        <v>175</v>
      </c>
      <c r="G74" s="7"/>
      <c r="H74" s="7"/>
      <c r="I74" s="7"/>
      <c r="J74" s="7"/>
      <c r="K74" s="7"/>
      <c r="L74" s="7"/>
      <c r="M74" s="7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9"/>
    </row>
    <row r="75">
      <c r="A75" s="10">
        <v>2.229921E7</v>
      </c>
      <c r="B75" s="10" t="s">
        <v>176</v>
      </c>
      <c r="C75" s="13" t="s">
        <v>24</v>
      </c>
      <c r="D75" s="10" t="s">
        <v>95</v>
      </c>
      <c r="E75" s="13"/>
      <c r="F75" s="10" t="s">
        <v>177</v>
      </c>
      <c r="G75" s="12"/>
      <c r="H75" s="12"/>
      <c r="I75" s="12"/>
      <c r="J75" s="12"/>
      <c r="K75" s="12"/>
      <c r="L75" s="12"/>
      <c r="M75" s="12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9"/>
    </row>
    <row r="76">
      <c r="A76" s="5">
        <v>2.2299119E7</v>
      </c>
      <c r="B76" s="5" t="s">
        <v>178</v>
      </c>
      <c r="C76" s="14" t="s">
        <v>24</v>
      </c>
      <c r="D76" s="5" t="s">
        <v>95</v>
      </c>
      <c r="E76" s="14"/>
      <c r="F76" s="5" t="s">
        <v>179</v>
      </c>
      <c r="G76" s="7"/>
      <c r="H76" s="7"/>
      <c r="I76" s="7"/>
      <c r="J76" s="7"/>
      <c r="K76" s="7"/>
      <c r="L76" s="7"/>
      <c r="M76" s="7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9"/>
    </row>
    <row r="77">
      <c r="A77" s="10">
        <v>2.224106E7</v>
      </c>
      <c r="B77" s="10" t="s">
        <v>180</v>
      </c>
      <c r="C77" s="13" t="s">
        <v>24</v>
      </c>
      <c r="D77" s="10" t="s">
        <v>95</v>
      </c>
      <c r="E77" s="13"/>
      <c r="F77" s="10" t="s">
        <v>181</v>
      </c>
      <c r="G77" s="12"/>
      <c r="H77" s="12"/>
      <c r="I77" s="12"/>
      <c r="J77" s="12"/>
      <c r="K77" s="12"/>
      <c r="L77" s="12"/>
      <c r="M77" s="12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9"/>
    </row>
    <row r="78">
      <c r="A78" s="5">
        <v>2.2241021E7</v>
      </c>
      <c r="B78" s="5" t="s">
        <v>182</v>
      </c>
      <c r="C78" s="14" t="s">
        <v>24</v>
      </c>
      <c r="D78" s="5" t="s">
        <v>95</v>
      </c>
      <c r="E78" s="14"/>
      <c r="F78" s="5" t="s">
        <v>183</v>
      </c>
      <c r="G78" s="7"/>
      <c r="H78" s="7"/>
      <c r="I78" s="7"/>
      <c r="J78" s="7"/>
      <c r="K78" s="7"/>
      <c r="L78" s="7"/>
      <c r="M78" s="7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9"/>
    </row>
    <row r="79">
      <c r="A79" s="10">
        <v>2.2226144E7</v>
      </c>
      <c r="B79" s="10" t="s">
        <v>184</v>
      </c>
      <c r="C79" s="13" t="s">
        <v>24</v>
      </c>
      <c r="D79" s="10" t="s">
        <v>95</v>
      </c>
      <c r="E79" s="13"/>
      <c r="F79" s="10" t="s">
        <v>185</v>
      </c>
      <c r="G79" s="12"/>
      <c r="H79" s="12"/>
      <c r="I79" s="12"/>
      <c r="J79" s="12"/>
      <c r="K79" s="12"/>
      <c r="L79" s="12"/>
      <c r="M79" s="12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9"/>
    </row>
    <row r="80">
      <c r="A80" s="5">
        <v>2.2201983E7</v>
      </c>
      <c r="B80" s="5" t="s">
        <v>186</v>
      </c>
      <c r="C80" s="14" t="s">
        <v>24</v>
      </c>
      <c r="D80" s="5" t="s">
        <v>95</v>
      </c>
      <c r="E80" s="14"/>
      <c r="F80" s="5" t="s">
        <v>187</v>
      </c>
      <c r="G80" s="7"/>
      <c r="H80" s="7"/>
      <c r="I80" s="7"/>
      <c r="J80" s="7"/>
      <c r="K80" s="7"/>
      <c r="L80" s="7"/>
      <c r="M80" s="7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9"/>
    </row>
    <row r="81">
      <c r="A81" s="10">
        <v>2.2201948E7</v>
      </c>
      <c r="B81" s="10" t="s">
        <v>188</v>
      </c>
      <c r="C81" s="13" t="s">
        <v>24</v>
      </c>
      <c r="D81" s="10" t="s">
        <v>95</v>
      </c>
      <c r="E81" s="13"/>
      <c r="F81" s="10" t="s">
        <v>189</v>
      </c>
      <c r="G81" s="12"/>
      <c r="H81" s="12"/>
      <c r="I81" s="12"/>
      <c r="J81" s="12"/>
      <c r="K81" s="12"/>
      <c r="L81" s="12"/>
      <c r="M81" s="12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9"/>
    </row>
    <row r="82">
      <c r="A82" s="5">
        <v>2.2201912E7</v>
      </c>
      <c r="B82" s="5" t="s">
        <v>190</v>
      </c>
      <c r="C82" s="14" t="s">
        <v>24</v>
      </c>
      <c r="D82" s="5" t="s">
        <v>95</v>
      </c>
      <c r="E82" s="14"/>
      <c r="F82" s="5" t="s">
        <v>191</v>
      </c>
      <c r="G82" s="7"/>
      <c r="H82" s="7"/>
      <c r="I82" s="7"/>
      <c r="J82" s="7"/>
      <c r="K82" s="7"/>
      <c r="L82" s="7"/>
      <c r="M82" s="7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9"/>
    </row>
    <row r="83">
      <c r="A83" s="10">
        <v>2.2201854E7</v>
      </c>
      <c r="B83" s="10" t="s">
        <v>192</v>
      </c>
      <c r="C83" s="13" t="s">
        <v>24</v>
      </c>
      <c r="D83" s="10" t="s">
        <v>95</v>
      </c>
      <c r="E83" s="13"/>
      <c r="F83" s="10" t="s">
        <v>193</v>
      </c>
      <c r="G83" s="12"/>
      <c r="H83" s="12"/>
      <c r="I83" s="12"/>
      <c r="J83" s="12"/>
      <c r="K83" s="12"/>
      <c r="L83" s="12"/>
      <c r="M83" s="12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9"/>
    </row>
    <row r="84">
      <c r="A84" s="5">
        <v>2.2201704E7</v>
      </c>
      <c r="B84" s="5" t="s">
        <v>194</v>
      </c>
      <c r="C84" s="14" t="s">
        <v>24</v>
      </c>
      <c r="D84" s="5" t="s">
        <v>95</v>
      </c>
      <c r="E84" s="14"/>
      <c r="F84" s="5" t="s">
        <v>195</v>
      </c>
      <c r="G84" s="7"/>
      <c r="H84" s="7"/>
      <c r="I84" s="7"/>
      <c r="J84" s="7"/>
      <c r="K84" s="7"/>
      <c r="L84" s="7"/>
      <c r="M84" s="7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9"/>
    </row>
    <row r="85">
      <c r="A85" s="10">
        <v>2.2201694E7</v>
      </c>
      <c r="B85" s="10" t="s">
        <v>196</v>
      </c>
      <c r="C85" s="13" t="s">
        <v>24</v>
      </c>
      <c r="D85" s="10" t="s">
        <v>95</v>
      </c>
      <c r="E85" s="13"/>
      <c r="F85" s="10" t="s">
        <v>197</v>
      </c>
      <c r="G85" s="12"/>
      <c r="H85" s="12"/>
      <c r="I85" s="12"/>
      <c r="J85" s="12"/>
      <c r="K85" s="12"/>
      <c r="L85" s="12"/>
      <c r="M85" s="12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9"/>
    </row>
    <row r="86">
      <c r="A86" s="5">
        <v>2.2201629E7</v>
      </c>
      <c r="B86" s="5" t="s">
        <v>198</v>
      </c>
      <c r="C86" s="14" t="s">
        <v>24</v>
      </c>
      <c r="D86" s="5" t="s">
        <v>95</v>
      </c>
      <c r="E86" s="14"/>
      <c r="F86" s="5" t="s">
        <v>199</v>
      </c>
      <c r="G86" s="7"/>
      <c r="H86" s="7"/>
      <c r="I86" s="7"/>
      <c r="J86" s="7"/>
      <c r="K86" s="7"/>
      <c r="L86" s="7"/>
      <c r="M86" s="7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9"/>
    </row>
    <row r="87">
      <c r="A87" s="10">
        <v>2.2201595E7</v>
      </c>
      <c r="B87" s="10" t="s">
        <v>200</v>
      </c>
      <c r="C87" s="13" t="s">
        <v>24</v>
      </c>
      <c r="D87" s="10" t="s">
        <v>95</v>
      </c>
      <c r="E87" s="13"/>
      <c r="F87" s="10" t="s">
        <v>201</v>
      </c>
      <c r="G87" s="12"/>
      <c r="H87" s="12"/>
      <c r="I87" s="12"/>
      <c r="J87" s="12"/>
      <c r="K87" s="12"/>
      <c r="L87" s="12"/>
      <c r="M87" s="12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9"/>
    </row>
    <row r="88">
      <c r="A88" s="5">
        <v>2.2201062E7</v>
      </c>
      <c r="B88" s="5" t="s">
        <v>202</v>
      </c>
      <c r="C88" s="14" t="s">
        <v>24</v>
      </c>
      <c r="D88" s="5" t="s">
        <v>95</v>
      </c>
      <c r="E88" s="14"/>
      <c r="F88" s="5" t="s">
        <v>203</v>
      </c>
      <c r="G88" s="7"/>
      <c r="H88" s="7"/>
      <c r="I88" s="7"/>
      <c r="J88" s="7"/>
      <c r="K88" s="7"/>
      <c r="L88" s="7"/>
      <c r="M88" s="7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9"/>
    </row>
    <row r="89">
      <c r="A89" s="10">
        <v>2.2101846E7</v>
      </c>
      <c r="B89" s="10" t="s">
        <v>204</v>
      </c>
      <c r="C89" s="13" t="s">
        <v>24</v>
      </c>
      <c r="D89" s="10" t="s">
        <v>95</v>
      </c>
      <c r="E89" s="13"/>
      <c r="F89" s="10" t="s">
        <v>205</v>
      </c>
      <c r="G89" s="12"/>
      <c r="H89" s="12"/>
      <c r="I89" s="12"/>
      <c r="J89" s="12"/>
      <c r="K89" s="12"/>
      <c r="L89" s="12"/>
      <c r="M89" s="12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9"/>
    </row>
    <row r="90">
      <c r="A90" s="5">
        <v>2.2101788E7</v>
      </c>
      <c r="B90" s="5" t="s">
        <v>206</v>
      </c>
      <c r="C90" s="14" t="s">
        <v>24</v>
      </c>
      <c r="D90" s="5" t="s">
        <v>95</v>
      </c>
      <c r="E90" s="14"/>
      <c r="F90" s="5" t="s">
        <v>207</v>
      </c>
      <c r="G90" s="7"/>
      <c r="H90" s="7"/>
      <c r="I90" s="7"/>
      <c r="J90" s="7"/>
      <c r="K90" s="7"/>
      <c r="L90" s="7"/>
      <c r="M90" s="7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9"/>
    </row>
    <row r="91">
      <c r="A91" s="10">
        <v>2.2101739E7</v>
      </c>
      <c r="B91" s="10" t="s">
        <v>208</v>
      </c>
      <c r="C91" s="13" t="s">
        <v>24</v>
      </c>
      <c r="D91" s="10" t="s">
        <v>95</v>
      </c>
      <c r="E91" s="13"/>
      <c r="F91" s="10" t="s">
        <v>209</v>
      </c>
      <c r="G91" s="12"/>
      <c r="H91" s="12"/>
      <c r="I91" s="12"/>
      <c r="J91" s="12"/>
      <c r="K91" s="12"/>
      <c r="L91" s="12"/>
      <c r="M91" s="12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9"/>
    </row>
    <row r="92">
      <c r="A92" s="5">
        <v>2.2101644E7</v>
      </c>
      <c r="B92" s="5" t="s">
        <v>210</v>
      </c>
      <c r="C92" s="14" t="s">
        <v>24</v>
      </c>
      <c r="D92" s="5" t="s">
        <v>95</v>
      </c>
      <c r="E92" s="14"/>
      <c r="F92" s="5" t="s">
        <v>211</v>
      </c>
      <c r="G92" s="7"/>
      <c r="H92" s="7"/>
      <c r="I92" s="7"/>
      <c r="J92" s="7"/>
      <c r="K92" s="7"/>
      <c r="L92" s="7"/>
      <c r="M92" s="7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9"/>
    </row>
    <row r="93">
      <c r="A93" s="10">
        <v>2.210149E7</v>
      </c>
      <c r="B93" s="10" t="s">
        <v>212</v>
      </c>
      <c r="C93" s="13" t="s">
        <v>24</v>
      </c>
      <c r="D93" s="10" t="s">
        <v>95</v>
      </c>
      <c r="E93" s="13"/>
      <c r="F93" s="10" t="s">
        <v>213</v>
      </c>
      <c r="G93" s="12"/>
      <c r="H93" s="12"/>
      <c r="I93" s="12"/>
      <c r="J93" s="12"/>
      <c r="K93" s="12"/>
      <c r="L93" s="12"/>
      <c r="M93" s="12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9"/>
    </row>
    <row r="94">
      <c r="A94" s="5">
        <v>2.2101397E7</v>
      </c>
      <c r="B94" s="5" t="s">
        <v>214</v>
      </c>
      <c r="C94" s="14" t="s">
        <v>24</v>
      </c>
      <c r="D94" s="5" t="s">
        <v>95</v>
      </c>
      <c r="E94" s="14"/>
      <c r="F94" s="5" t="s">
        <v>215</v>
      </c>
      <c r="G94" s="7"/>
      <c r="H94" s="7"/>
      <c r="I94" s="7"/>
      <c r="J94" s="7"/>
      <c r="K94" s="7"/>
      <c r="L94" s="7"/>
      <c r="M94" s="7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9"/>
    </row>
    <row r="95">
      <c r="A95" s="10">
        <v>2.2101351E7</v>
      </c>
      <c r="B95" s="10" t="s">
        <v>216</v>
      </c>
      <c r="C95" s="13" t="s">
        <v>24</v>
      </c>
      <c r="D95" s="10" t="s">
        <v>95</v>
      </c>
      <c r="E95" s="13"/>
      <c r="F95" s="10" t="s">
        <v>217</v>
      </c>
      <c r="G95" s="12"/>
      <c r="H95" s="12"/>
      <c r="I95" s="12"/>
      <c r="J95" s="12"/>
      <c r="K95" s="12"/>
      <c r="L95" s="12"/>
      <c r="M95" s="12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9"/>
    </row>
    <row r="96">
      <c r="A96" s="5">
        <v>2.2101305E7</v>
      </c>
      <c r="B96" s="5" t="s">
        <v>218</v>
      </c>
      <c r="C96" s="14" t="s">
        <v>24</v>
      </c>
      <c r="D96" s="5" t="s">
        <v>95</v>
      </c>
      <c r="E96" s="14"/>
      <c r="F96" s="5" t="s">
        <v>219</v>
      </c>
      <c r="G96" s="7"/>
      <c r="H96" s="7"/>
      <c r="I96" s="7"/>
      <c r="J96" s="7"/>
      <c r="K96" s="7"/>
      <c r="L96" s="7"/>
      <c r="M96" s="7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9"/>
    </row>
    <row r="97">
      <c r="A97" s="10">
        <v>2.2101264E7</v>
      </c>
      <c r="B97" s="10" t="s">
        <v>220</v>
      </c>
      <c r="C97" s="13" t="s">
        <v>24</v>
      </c>
      <c r="D97" s="10" t="s">
        <v>95</v>
      </c>
      <c r="E97" s="13"/>
      <c r="F97" s="10" t="s">
        <v>221</v>
      </c>
      <c r="G97" s="12"/>
      <c r="H97" s="12"/>
      <c r="I97" s="12"/>
      <c r="J97" s="12"/>
      <c r="K97" s="12"/>
      <c r="L97" s="12"/>
      <c r="M97" s="12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9"/>
    </row>
    <row r="98">
      <c r="A98" s="5">
        <v>2.2101177E7</v>
      </c>
      <c r="B98" s="5" t="s">
        <v>222</v>
      </c>
      <c r="C98" s="14" t="s">
        <v>24</v>
      </c>
      <c r="D98" s="5" t="s">
        <v>95</v>
      </c>
      <c r="E98" s="14"/>
      <c r="F98" s="5" t="s">
        <v>223</v>
      </c>
      <c r="G98" s="7"/>
      <c r="H98" s="7"/>
      <c r="I98" s="7"/>
      <c r="J98" s="7"/>
      <c r="K98" s="7"/>
      <c r="L98" s="7"/>
      <c r="M98" s="7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9"/>
    </row>
    <row r="99">
      <c r="A99" s="10">
        <v>2.2101094E7</v>
      </c>
      <c r="B99" s="10" t="s">
        <v>224</v>
      </c>
      <c r="C99" s="13" t="s">
        <v>24</v>
      </c>
      <c r="D99" s="10" t="s">
        <v>95</v>
      </c>
      <c r="E99" s="13"/>
      <c r="F99" s="10" t="s">
        <v>225</v>
      </c>
      <c r="G99" s="12"/>
      <c r="H99" s="12"/>
      <c r="I99" s="12"/>
      <c r="J99" s="12"/>
      <c r="K99" s="12"/>
      <c r="L99" s="12"/>
      <c r="M99" s="12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9"/>
    </row>
    <row r="100">
      <c r="A100" s="5">
        <v>2.2101091E7</v>
      </c>
      <c r="B100" s="5" t="s">
        <v>226</v>
      </c>
      <c r="C100" s="14" t="s">
        <v>24</v>
      </c>
      <c r="D100" s="5" t="s">
        <v>95</v>
      </c>
      <c r="E100" s="14"/>
      <c r="F100" s="5" t="s">
        <v>227</v>
      </c>
      <c r="G100" s="7"/>
      <c r="H100" s="7"/>
      <c r="I100" s="7"/>
      <c r="J100" s="7"/>
      <c r="K100" s="7"/>
      <c r="L100" s="7"/>
      <c r="M100" s="7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9"/>
    </row>
    <row r="101">
      <c r="A101" s="10">
        <v>2.2101056E7</v>
      </c>
      <c r="B101" s="10" t="s">
        <v>228</v>
      </c>
      <c r="C101" s="13" t="s">
        <v>24</v>
      </c>
      <c r="D101" s="10" t="s">
        <v>95</v>
      </c>
      <c r="E101" s="13"/>
      <c r="F101" s="10" t="s">
        <v>229</v>
      </c>
      <c r="G101" s="12"/>
      <c r="H101" s="12"/>
      <c r="I101" s="12"/>
      <c r="J101" s="12"/>
      <c r="K101" s="12"/>
      <c r="L101" s="12"/>
      <c r="M101" s="12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9"/>
    </row>
    <row r="102">
      <c r="A102" s="5">
        <v>2.4101084E7</v>
      </c>
      <c r="B102" s="5" t="s">
        <v>230</v>
      </c>
      <c r="C102" s="14" t="s">
        <v>24</v>
      </c>
      <c r="D102" s="5" t="s">
        <v>95</v>
      </c>
      <c r="E102" s="14"/>
      <c r="F102" s="5" t="s">
        <v>231</v>
      </c>
      <c r="G102" s="7"/>
      <c r="H102" s="7"/>
      <c r="I102" s="7"/>
      <c r="J102" s="7"/>
      <c r="K102" s="7"/>
      <c r="L102" s="7"/>
      <c r="M102" s="7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9"/>
    </row>
    <row r="103">
      <c r="A103" s="10">
        <v>2.4101196E7</v>
      </c>
      <c r="B103" s="10" t="s">
        <v>232</v>
      </c>
      <c r="C103" s="13" t="s">
        <v>24</v>
      </c>
      <c r="D103" s="10" t="s">
        <v>95</v>
      </c>
      <c r="E103" s="13"/>
      <c r="F103" s="10" t="s">
        <v>233</v>
      </c>
      <c r="G103" s="12"/>
      <c r="H103" s="12"/>
      <c r="I103" s="12"/>
      <c r="J103" s="12"/>
      <c r="K103" s="12"/>
      <c r="L103" s="12"/>
      <c r="M103" s="12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9"/>
    </row>
    <row r="104">
      <c r="A104" s="5">
        <v>2.3201531E7</v>
      </c>
      <c r="B104" s="5" t="s">
        <v>234</v>
      </c>
      <c r="C104" s="14" t="s">
        <v>24</v>
      </c>
      <c r="D104" s="5" t="s">
        <v>95</v>
      </c>
      <c r="E104" s="14"/>
      <c r="F104" s="5" t="s">
        <v>235</v>
      </c>
      <c r="G104" s="7"/>
      <c r="H104" s="7"/>
      <c r="I104" s="7"/>
      <c r="J104" s="7"/>
      <c r="K104" s="7"/>
      <c r="L104" s="7"/>
      <c r="M104" s="7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9"/>
    </row>
    <row r="105">
      <c r="A105" s="10">
        <v>2.3301418E7</v>
      </c>
      <c r="B105" s="10" t="s">
        <v>236</v>
      </c>
      <c r="C105" s="13" t="s">
        <v>24</v>
      </c>
      <c r="D105" s="10" t="s">
        <v>95</v>
      </c>
      <c r="E105" s="13"/>
      <c r="F105" s="10" t="s">
        <v>237</v>
      </c>
      <c r="G105" s="12"/>
      <c r="H105" s="12"/>
      <c r="I105" s="12"/>
      <c r="J105" s="12"/>
      <c r="K105" s="12"/>
      <c r="L105" s="12"/>
      <c r="M105" s="12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9"/>
    </row>
    <row r="106">
      <c r="A106" s="5">
        <v>2.2201613E7</v>
      </c>
      <c r="B106" s="5" t="s">
        <v>238</v>
      </c>
      <c r="C106" s="14" t="s">
        <v>24</v>
      </c>
      <c r="D106" s="5" t="s">
        <v>95</v>
      </c>
      <c r="E106" s="14"/>
      <c r="F106" s="5" t="s">
        <v>239</v>
      </c>
      <c r="G106" s="7"/>
      <c r="H106" s="7"/>
      <c r="I106" s="7"/>
      <c r="J106" s="7"/>
      <c r="K106" s="7"/>
      <c r="L106" s="7"/>
      <c r="M106" s="7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9"/>
    </row>
    <row r="107">
      <c r="A107" s="10">
        <v>2.2201213E7</v>
      </c>
      <c r="B107" s="10" t="s">
        <v>240</v>
      </c>
      <c r="C107" s="13" t="s">
        <v>24</v>
      </c>
      <c r="D107" s="10" t="s">
        <v>95</v>
      </c>
      <c r="E107" s="13"/>
      <c r="F107" s="10" t="s">
        <v>241</v>
      </c>
      <c r="G107" s="12"/>
      <c r="H107" s="12"/>
      <c r="I107" s="12"/>
      <c r="J107" s="12"/>
      <c r="K107" s="12"/>
      <c r="L107" s="12"/>
      <c r="M107" s="12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9"/>
    </row>
    <row r="108">
      <c r="A108" s="5">
        <v>2.2341032E7</v>
      </c>
      <c r="B108" s="5" t="s">
        <v>242</v>
      </c>
      <c r="C108" s="14" t="s">
        <v>24</v>
      </c>
      <c r="D108" s="5" t="s">
        <v>95</v>
      </c>
      <c r="E108" s="14"/>
      <c r="F108" s="5" t="s">
        <v>243</v>
      </c>
      <c r="G108" s="7"/>
      <c r="H108" s="7"/>
      <c r="I108" s="7"/>
      <c r="J108" s="7"/>
      <c r="K108" s="7"/>
      <c r="L108" s="7"/>
      <c r="M108" s="7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9"/>
    </row>
    <row r="109">
      <c r="A109" s="10">
        <v>2.4101364E7</v>
      </c>
      <c r="B109" s="10" t="s">
        <v>244</v>
      </c>
      <c r="C109" s="13" t="s">
        <v>24</v>
      </c>
      <c r="D109" s="10" t="s">
        <v>95</v>
      </c>
      <c r="E109" s="13"/>
      <c r="F109" s="10" t="s">
        <v>245</v>
      </c>
      <c r="G109" s="12"/>
      <c r="H109" s="12"/>
      <c r="I109" s="12"/>
      <c r="J109" s="12"/>
      <c r="K109" s="12"/>
      <c r="L109" s="12"/>
      <c r="M109" s="12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9"/>
    </row>
    <row r="110">
      <c r="A110" s="5">
        <v>2.4141008E7</v>
      </c>
      <c r="B110" s="5" t="s">
        <v>246</v>
      </c>
      <c r="C110" s="14" t="s">
        <v>24</v>
      </c>
      <c r="D110" s="5" t="s">
        <v>95</v>
      </c>
      <c r="E110" s="14"/>
      <c r="F110" s="5" t="s">
        <v>247</v>
      </c>
      <c r="G110" s="7"/>
      <c r="H110" s="7"/>
      <c r="I110" s="7"/>
      <c r="J110" s="7"/>
      <c r="K110" s="7"/>
      <c r="L110" s="7"/>
      <c r="M110" s="7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9"/>
    </row>
    <row r="111">
      <c r="A111" s="10">
        <v>2.4101644E7</v>
      </c>
      <c r="B111" s="10" t="s">
        <v>248</v>
      </c>
      <c r="C111" s="13" t="s">
        <v>24</v>
      </c>
      <c r="D111" s="10" t="s">
        <v>95</v>
      </c>
      <c r="E111" s="13"/>
      <c r="F111" s="10" t="s">
        <v>249</v>
      </c>
      <c r="G111" s="12"/>
      <c r="H111" s="12"/>
      <c r="I111" s="12"/>
      <c r="J111" s="12"/>
      <c r="K111" s="12"/>
      <c r="L111" s="12"/>
      <c r="M111" s="12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9"/>
    </row>
    <row r="112">
      <c r="A112" s="5">
        <v>2.2301484E7</v>
      </c>
      <c r="B112" s="5" t="s">
        <v>250</v>
      </c>
      <c r="C112" s="14" t="s">
        <v>24</v>
      </c>
      <c r="D112" s="5" t="s">
        <v>95</v>
      </c>
      <c r="E112" s="14"/>
      <c r="F112" s="5" t="s">
        <v>251</v>
      </c>
      <c r="G112" s="7"/>
      <c r="H112" s="7"/>
      <c r="I112" s="7"/>
      <c r="J112" s="7"/>
      <c r="K112" s="7"/>
      <c r="L112" s="7"/>
      <c r="M112" s="7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9"/>
    </row>
    <row r="113">
      <c r="A113" s="10">
        <v>2.4101323E7</v>
      </c>
      <c r="B113" s="10" t="s">
        <v>252</v>
      </c>
      <c r="C113" s="13" t="s">
        <v>24</v>
      </c>
      <c r="D113" s="10" t="s">
        <v>95</v>
      </c>
      <c r="E113" s="13"/>
      <c r="F113" s="10" t="s">
        <v>253</v>
      </c>
      <c r="G113" s="12"/>
      <c r="H113" s="12"/>
      <c r="I113" s="12"/>
      <c r="J113" s="12"/>
      <c r="K113" s="12"/>
      <c r="L113" s="12"/>
      <c r="M113" s="12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9"/>
    </row>
    <row r="114">
      <c r="A114" s="5">
        <v>2.2301361E7</v>
      </c>
      <c r="B114" s="5" t="s">
        <v>254</v>
      </c>
      <c r="C114" s="14" t="s">
        <v>24</v>
      </c>
      <c r="D114" s="5" t="s">
        <v>95</v>
      </c>
      <c r="E114" s="14"/>
      <c r="F114" s="5" t="s">
        <v>255</v>
      </c>
      <c r="G114" s="7"/>
      <c r="H114" s="7"/>
      <c r="I114" s="7"/>
      <c r="J114" s="7"/>
      <c r="K114" s="7"/>
      <c r="L114" s="7"/>
      <c r="M114" s="7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9"/>
    </row>
    <row r="115">
      <c r="A115" s="10">
        <v>2.2201537E7</v>
      </c>
      <c r="B115" s="10" t="s">
        <v>256</v>
      </c>
      <c r="C115" s="13" t="s">
        <v>24</v>
      </c>
      <c r="D115" s="10" t="s">
        <v>95</v>
      </c>
      <c r="E115" s="13"/>
      <c r="F115" s="10" t="s">
        <v>257</v>
      </c>
      <c r="G115" s="12"/>
      <c r="H115" s="12"/>
      <c r="I115" s="12"/>
      <c r="J115" s="12"/>
      <c r="K115" s="12"/>
      <c r="L115" s="12"/>
      <c r="M115" s="12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9"/>
    </row>
    <row r="116">
      <c r="A116" s="5">
        <v>2.4141002E7</v>
      </c>
      <c r="B116" s="5" t="s">
        <v>258</v>
      </c>
      <c r="C116" s="14" t="s">
        <v>24</v>
      </c>
      <c r="D116" s="5" t="s">
        <v>95</v>
      </c>
      <c r="E116" s="14"/>
      <c r="F116" s="5" t="s">
        <v>259</v>
      </c>
      <c r="G116" s="7"/>
      <c r="H116" s="7"/>
      <c r="I116" s="7"/>
      <c r="J116" s="7"/>
      <c r="K116" s="7"/>
      <c r="L116" s="7"/>
      <c r="M116" s="7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9"/>
    </row>
    <row r="117">
      <c r="A117" s="10">
        <v>2.4301576E7</v>
      </c>
      <c r="B117" s="10" t="s">
        <v>260</v>
      </c>
      <c r="C117" s="13" t="s">
        <v>24</v>
      </c>
      <c r="D117" s="10" t="s">
        <v>95</v>
      </c>
      <c r="E117" s="13"/>
      <c r="F117" s="10" t="s">
        <v>261</v>
      </c>
      <c r="G117" s="12"/>
      <c r="H117" s="12"/>
      <c r="I117" s="12"/>
      <c r="J117" s="12"/>
      <c r="K117" s="12"/>
      <c r="L117" s="12"/>
      <c r="M117" s="12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9"/>
    </row>
    <row r="118">
      <c r="A118" s="5">
        <v>2.3301347E7</v>
      </c>
      <c r="B118" s="5" t="s">
        <v>262</v>
      </c>
      <c r="C118" s="14" t="s">
        <v>24</v>
      </c>
      <c r="D118" s="5" t="s">
        <v>95</v>
      </c>
      <c r="E118" s="14"/>
      <c r="F118" s="5" t="s">
        <v>263</v>
      </c>
      <c r="G118" s="7"/>
      <c r="H118" s="7"/>
      <c r="I118" s="7"/>
      <c r="J118" s="7"/>
      <c r="K118" s="7"/>
      <c r="L118" s="7"/>
      <c r="M118" s="7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9"/>
    </row>
    <row r="119">
      <c r="A119" s="10">
        <v>2.4301233E7</v>
      </c>
      <c r="B119" s="10" t="s">
        <v>264</v>
      </c>
      <c r="C119" s="13" t="s">
        <v>24</v>
      </c>
      <c r="D119" s="10" t="s">
        <v>95</v>
      </c>
      <c r="E119" s="13"/>
      <c r="F119" s="10" t="s">
        <v>265</v>
      </c>
      <c r="G119" s="12"/>
      <c r="H119" s="12"/>
      <c r="I119" s="12"/>
      <c r="J119" s="12"/>
      <c r="K119" s="12"/>
      <c r="L119" s="12"/>
      <c r="M119" s="12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9"/>
    </row>
    <row r="120">
      <c r="A120" s="5">
        <v>2.4321331E7</v>
      </c>
      <c r="B120" s="5" t="s">
        <v>266</v>
      </c>
      <c r="C120" s="14" t="s">
        <v>24</v>
      </c>
      <c r="D120" s="5" t="s">
        <v>95</v>
      </c>
      <c r="E120" s="14"/>
      <c r="F120" s="5" t="s">
        <v>267</v>
      </c>
      <c r="G120" s="7"/>
      <c r="H120" s="7"/>
      <c r="I120" s="7"/>
      <c r="J120" s="7"/>
      <c r="K120" s="7"/>
      <c r="L120" s="7"/>
      <c r="M120" s="7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9"/>
    </row>
    <row r="121">
      <c r="A121" s="10">
        <v>2.4301236E7</v>
      </c>
      <c r="B121" s="10" t="s">
        <v>268</v>
      </c>
      <c r="C121" s="13" t="s">
        <v>24</v>
      </c>
      <c r="D121" s="10" t="s">
        <v>95</v>
      </c>
      <c r="E121" s="13"/>
      <c r="F121" s="10" t="s">
        <v>269</v>
      </c>
      <c r="G121" s="12"/>
      <c r="H121" s="12"/>
      <c r="I121" s="12"/>
      <c r="J121" s="12"/>
      <c r="K121" s="12"/>
      <c r="L121" s="12"/>
      <c r="M121" s="12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9"/>
    </row>
    <row r="122">
      <c r="A122" s="5">
        <v>2.4301497E7</v>
      </c>
      <c r="B122" s="5" t="s">
        <v>270</v>
      </c>
      <c r="C122" s="14" t="s">
        <v>24</v>
      </c>
      <c r="D122" s="5" t="s">
        <v>95</v>
      </c>
      <c r="E122" s="14"/>
      <c r="F122" s="5" t="s">
        <v>271</v>
      </c>
      <c r="G122" s="7"/>
      <c r="H122" s="7"/>
      <c r="I122" s="7"/>
      <c r="J122" s="7"/>
      <c r="K122" s="7"/>
      <c r="L122" s="7"/>
      <c r="M122" s="7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9"/>
    </row>
    <row r="123">
      <c r="A123" s="10">
        <v>2.3301574E7</v>
      </c>
      <c r="B123" s="10" t="s">
        <v>272</v>
      </c>
      <c r="C123" s="13" t="s">
        <v>24</v>
      </c>
      <c r="D123" s="10" t="s">
        <v>95</v>
      </c>
      <c r="E123" s="13"/>
      <c r="F123" s="10" t="s">
        <v>273</v>
      </c>
      <c r="G123" s="12"/>
      <c r="H123" s="12"/>
      <c r="I123" s="12"/>
      <c r="J123" s="12"/>
      <c r="K123" s="12"/>
      <c r="L123" s="12"/>
      <c r="M123" s="12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9"/>
    </row>
    <row r="124">
      <c r="A124" s="5">
        <v>2.4301302E7</v>
      </c>
      <c r="B124" s="5" t="s">
        <v>274</v>
      </c>
      <c r="C124" s="14" t="s">
        <v>24</v>
      </c>
      <c r="D124" s="5" t="s">
        <v>95</v>
      </c>
      <c r="E124" s="14"/>
      <c r="F124" s="5" t="s">
        <v>275</v>
      </c>
      <c r="G124" s="7"/>
      <c r="H124" s="7"/>
      <c r="I124" s="7"/>
      <c r="J124" s="7"/>
      <c r="K124" s="7"/>
      <c r="L124" s="7"/>
      <c r="M124" s="7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9"/>
    </row>
    <row r="125">
      <c r="A125" s="10">
        <v>2.4101447E7</v>
      </c>
      <c r="B125" s="10" t="s">
        <v>276</v>
      </c>
      <c r="C125" s="13" t="s">
        <v>24</v>
      </c>
      <c r="D125" s="10" t="s">
        <v>95</v>
      </c>
      <c r="E125" s="13"/>
      <c r="F125" s="10" t="s">
        <v>277</v>
      </c>
      <c r="G125" s="12"/>
      <c r="H125" s="12"/>
      <c r="I125" s="12"/>
      <c r="J125" s="12"/>
      <c r="K125" s="12"/>
      <c r="L125" s="12"/>
      <c r="M125" s="12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9"/>
    </row>
    <row r="126">
      <c r="A126" s="5">
        <v>2.3301069E7</v>
      </c>
      <c r="B126" s="5" t="s">
        <v>278</v>
      </c>
      <c r="C126" s="14" t="s">
        <v>24</v>
      </c>
      <c r="D126" s="5" t="s">
        <v>95</v>
      </c>
      <c r="E126" s="14"/>
      <c r="F126" s="5" t="s">
        <v>279</v>
      </c>
      <c r="G126" s="7"/>
      <c r="H126" s="7"/>
      <c r="I126" s="7"/>
      <c r="J126" s="7"/>
      <c r="K126" s="7"/>
      <c r="L126" s="7"/>
      <c r="M126" s="7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9"/>
    </row>
    <row r="127">
      <c r="A127" s="10">
        <v>2.3304142E7</v>
      </c>
      <c r="B127" s="10" t="s">
        <v>280</v>
      </c>
      <c r="C127" s="13" t="s">
        <v>24</v>
      </c>
      <c r="D127" s="10" t="s">
        <v>95</v>
      </c>
      <c r="E127" s="13"/>
      <c r="F127" s="10" t="s">
        <v>281</v>
      </c>
      <c r="G127" s="12"/>
      <c r="H127" s="12"/>
      <c r="I127" s="12"/>
      <c r="J127" s="12"/>
      <c r="K127" s="12"/>
      <c r="L127" s="12"/>
      <c r="M127" s="12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9"/>
    </row>
    <row r="128">
      <c r="A128" s="5">
        <v>2.4301199E7</v>
      </c>
      <c r="B128" s="5" t="s">
        <v>282</v>
      </c>
      <c r="C128" s="14" t="s">
        <v>24</v>
      </c>
      <c r="D128" s="5" t="s">
        <v>95</v>
      </c>
      <c r="E128" s="14"/>
      <c r="F128" s="5" t="s">
        <v>283</v>
      </c>
      <c r="G128" s="7"/>
      <c r="H128" s="7"/>
      <c r="I128" s="7"/>
      <c r="J128" s="7"/>
      <c r="K128" s="7"/>
      <c r="L128" s="7"/>
      <c r="M128" s="7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9"/>
    </row>
    <row r="129">
      <c r="A129" s="10">
        <v>2.4301218E7</v>
      </c>
      <c r="B129" s="10" t="s">
        <v>284</v>
      </c>
      <c r="C129" s="13" t="s">
        <v>24</v>
      </c>
      <c r="D129" s="10" t="s">
        <v>95</v>
      </c>
      <c r="E129" s="13"/>
      <c r="F129" s="10" t="s">
        <v>285</v>
      </c>
      <c r="G129" s="12"/>
      <c r="H129" s="12"/>
      <c r="I129" s="12"/>
      <c r="J129" s="12"/>
      <c r="K129" s="12"/>
      <c r="L129" s="12"/>
      <c r="M129" s="12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9"/>
    </row>
    <row r="130">
      <c r="A130" s="5">
        <v>2.3221037E7</v>
      </c>
      <c r="B130" s="5" t="s">
        <v>286</v>
      </c>
      <c r="C130" s="14" t="s">
        <v>24</v>
      </c>
      <c r="D130" s="5" t="s">
        <v>95</v>
      </c>
      <c r="E130" s="14"/>
      <c r="F130" s="5" t="s">
        <v>287</v>
      </c>
      <c r="G130" s="7"/>
      <c r="H130" s="7"/>
      <c r="I130" s="7"/>
      <c r="J130" s="7"/>
      <c r="K130" s="7"/>
      <c r="L130" s="7"/>
      <c r="M130" s="7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9"/>
    </row>
    <row r="131">
      <c r="A131" s="10">
        <v>2.4301073E7</v>
      </c>
      <c r="B131" s="10" t="s">
        <v>288</v>
      </c>
      <c r="C131" s="13" t="s">
        <v>24</v>
      </c>
      <c r="D131" s="10" t="s">
        <v>95</v>
      </c>
      <c r="E131" s="13"/>
      <c r="F131" s="10" t="s">
        <v>289</v>
      </c>
      <c r="G131" s="12"/>
      <c r="H131" s="12"/>
      <c r="I131" s="12"/>
      <c r="J131" s="12"/>
      <c r="K131" s="12"/>
      <c r="L131" s="12"/>
      <c r="M131" s="12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9"/>
    </row>
    <row r="132">
      <c r="A132" s="5">
        <v>2.4301138E7</v>
      </c>
      <c r="B132" s="5" t="s">
        <v>290</v>
      </c>
      <c r="C132" s="14" t="s">
        <v>24</v>
      </c>
      <c r="D132" s="5" t="s">
        <v>95</v>
      </c>
      <c r="E132" s="14"/>
      <c r="F132" s="5" t="s">
        <v>291</v>
      </c>
      <c r="G132" s="7"/>
      <c r="H132" s="7"/>
      <c r="I132" s="7"/>
      <c r="J132" s="7"/>
      <c r="K132" s="7"/>
      <c r="L132" s="7"/>
      <c r="M132" s="7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9"/>
    </row>
    <row r="133">
      <c r="A133" s="10">
        <v>2.4321085E7</v>
      </c>
      <c r="B133" s="10" t="s">
        <v>292</v>
      </c>
      <c r="C133" s="13" t="s">
        <v>24</v>
      </c>
      <c r="D133" s="10" t="s">
        <v>95</v>
      </c>
      <c r="E133" s="13"/>
      <c r="F133" s="10" t="s">
        <v>293</v>
      </c>
      <c r="G133" s="12"/>
      <c r="H133" s="12"/>
      <c r="I133" s="12"/>
      <c r="J133" s="12"/>
      <c r="K133" s="12"/>
      <c r="L133" s="12"/>
      <c r="M133" s="12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9"/>
    </row>
    <row r="134">
      <c r="A134" s="5">
        <v>2.4201212E7</v>
      </c>
      <c r="B134" s="5" t="s">
        <v>294</v>
      </c>
      <c r="C134" s="14" t="s">
        <v>24</v>
      </c>
      <c r="D134" s="5" t="s">
        <v>95</v>
      </c>
      <c r="E134" s="14"/>
      <c r="F134" s="5" t="s">
        <v>295</v>
      </c>
      <c r="G134" s="7"/>
      <c r="H134" s="7"/>
      <c r="I134" s="7"/>
      <c r="J134" s="7"/>
      <c r="K134" s="7"/>
      <c r="L134" s="7"/>
      <c r="M134" s="7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9"/>
    </row>
    <row r="135">
      <c r="A135" s="10">
        <v>2.4301286E7</v>
      </c>
      <c r="B135" s="10" t="s">
        <v>296</v>
      </c>
      <c r="C135" s="13" t="s">
        <v>24</v>
      </c>
      <c r="D135" s="10" t="s">
        <v>95</v>
      </c>
      <c r="E135" s="13"/>
      <c r="F135" s="10" t="s">
        <v>297</v>
      </c>
      <c r="G135" s="12"/>
      <c r="H135" s="12"/>
      <c r="I135" s="12"/>
      <c r="J135" s="12"/>
      <c r="K135" s="12"/>
      <c r="L135" s="12"/>
      <c r="M135" s="12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9"/>
    </row>
    <row r="136">
      <c r="A136" s="5">
        <v>2.3101263E7</v>
      </c>
      <c r="B136" s="5" t="s">
        <v>298</v>
      </c>
      <c r="C136" s="14" t="s">
        <v>24</v>
      </c>
      <c r="D136" s="5" t="s">
        <v>95</v>
      </c>
      <c r="E136" s="14"/>
      <c r="F136" s="5" t="s">
        <v>299</v>
      </c>
      <c r="G136" s="7"/>
      <c r="H136" s="7"/>
      <c r="I136" s="7"/>
      <c r="J136" s="7"/>
      <c r="K136" s="7"/>
      <c r="L136" s="7"/>
      <c r="M136" s="7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9"/>
    </row>
    <row r="137">
      <c r="A137" s="10">
        <v>2.3201184E7</v>
      </c>
      <c r="B137" s="10" t="s">
        <v>300</v>
      </c>
      <c r="C137" s="13" t="s">
        <v>24</v>
      </c>
      <c r="D137" s="10" t="s">
        <v>95</v>
      </c>
      <c r="E137" s="13"/>
      <c r="F137" s="10" t="s">
        <v>301</v>
      </c>
      <c r="G137" s="12"/>
      <c r="H137" s="12"/>
      <c r="I137" s="12"/>
      <c r="J137" s="12"/>
      <c r="K137" s="12"/>
      <c r="L137" s="12"/>
      <c r="M137" s="12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9"/>
    </row>
    <row r="138">
      <c r="A138" s="5">
        <v>2.3201322E7</v>
      </c>
      <c r="B138" s="5" t="s">
        <v>302</v>
      </c>
      <c r="C138" s="14" t="s">
        <v>24</v>
      </c>
      <c r="D138" s="5" t="s">
        <v>95</v>
      </c>
      <c r="E138" s="14"/>
      <c r="F138" s="5" t="s">
        <v>303</v>
      </c>
      <c r="G138" s="7"/>
      <c r="H138" s="7"/>
      <c r="I138" s="7"/>
      <c r="J138" s="7"/>
      <c r="K138" s="7"/>
      <c r="L138" s="7"/>
      <c r="M138" s="7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9"/>
    </row>
    <row r="139">
      <c r="A139" s="10">
        <v>2.4101475E7</v>
      </c>
      <c r="B139" s="10" t="s">
        <v>304</v>
      </c>
      <c r="C139" s="13" t="s">
        <v>24</v>
      </c>
      <c r="D139" s="10" t="s">
        <v>95</v>
      </c>
      <c r="E139" s="13"/>
      <c r="F139" s="10" t="s">
        <v>305</v>
      </c>
      <c r="G139" s="12"/>
      <c r="H139" s="12"/>
      <c r="I139" s="12"/>
      <c r="J139" s="12"/>
      <c r="K139" s="12"/>
      <c r="L139" s="12"/>
      <c r="M139" s="12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9"/>
    </row>
    <row r="140">
      <c r="A140" s="5">
        <v>2.4101495E7</v>
      </c>
      <c r="B140" s="5" t="s">
        <v>306</v>
      </c>
      <c r="C140" s="14" t="s">
        <v>24</v>
      </c>
      <c r="D140" s="5" t="s">
        <v>95</v>
      </c>
      <c r="E140" s="14"/>
      <c r="F140" s="5" t="s">
        <v>307</v>
      </c>
      <c r="G140" s="7"/>
      <c r="H140" s="7"/>
      <c r="I140" s="7"/>
      <c r="J140" s="7"/>
      <c r="K140" s="7"/>
      <c r="L140" s="7"/>
      <c r="M140" s="7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9"/>
    </row>
    <row r="141">
      <c r="A141" s="10">
        <v>2.4101652E7</v>
      </c>
      <c r="B141" s="10" t="s">
        <v>308</v>
      </c>
      <c r="C141" s="13" t="s">
        <v>24</v>
      </c>
      <c r="D141" s="10" t="s">
        <v>95</v>
      </c>
      <c r="E141" s="13"/>
      <c r="F141" s="10" t="s">
        <v>309</v>
      </c>
      <c r="G141" s="12"/>
      <c r="H141" s="12"/>
      <c r="I141" s="12"/>
      <c r="J141" s="12"/>
      <c r="K141" s="12"/>
      <c r="L141" s="12"/>
      <c r="M141" s="12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9"/>
    </row>
    <row r="142">
      <c r="A142" s="5">
        <v>2.4201021E7</v>
      </c>
      <c r="B142" s="5" t="s">
        <v>310</v>
      </c>
      <c r="C142" s="14" t="s">
        <v>24</v>
      </c>
      <c r="D142" s="5" t="s">
        <v>95</v>
      </c>
      <c r="E142" s="14"/>
      <c r="F142" s="5" t="s">
        <v>311</v>
      </c>
      <c r="G142" s="7"/>
      <c r="H142" s="7"/>
      <c r="I142" s="7"/>
      <c r="J142" s="7"/>
      <c r="K142" s="7"/>
      <c r="L142" s="7"/>
      <c r="M142" s="7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9"/>
    </row>
    <row r="143">
      <c r="A143" s="10">
        <v>1.000054038E9</v>
      </c>
      <c r="B143" s="10" t="s">
        <v>312</v>
      </c>
      <c r="C143" s="13" t="s">
        <v>24</v>
      </c>
      <c r="D143" s="10" t="s">
        <v>95</v>
      </c>
      <c r="E143" s="13"/>
      <c r="F143" s="10" t="s">
        <v>313</v>
      </c>
      <c r="G143" s="12"/>
      <c r="H143" s="12"/>
      <c r="I143" s="12"/>
      <c r="J143" s="12"/>
      <c r="K143" s="12"/>
      <c r="L143" s="12"/>
      <c r="M143" s="12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9"/>
    </row>
    <row r="144">
      <c r="A144" s="5">
        <v>1.000055248E9</v>
      </c>
      <c r="B144" s="5" t="s">
        <v>314</v>
      </c>
      <c r="C144" s="14" t="s">
        <v>24</v>
      </c>
      <c r="D144" s="5" t="s">
        <v>95</v>
      </c>
      <c r="E144" s="14"/>
      <c r="F144" s="5" t="s">
        <v>315</v>
      </c>
      <c r="G144" s="7"/>
      <c r="H144" s="7"/>
      <c r="I144" s="7"/>
      <c r="J144" s="7"/>
      <c r="K144" s="7"/>
      <c r="L144" s="7"/>
      <c r="M144" s="7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9"/>
    </row>
    <row r="145">
      <c r="A145" s="10">
        <v>1.000055322E9</v>
      </c>
      <c r="B145" s="10" t="s">
        <v>316</v>
      </c>
      <c r="C145" s="13" t="s">
        <v>24</v>
      </c>
      <c r="D145" s="10" t="s">
        <v>95</v>
      </c>
      <c r="E145" s="13"/>
      <c r="F145" s="10" t="s">
        <v>317</v>
      </c>
      <c r="G145" s="12"/>
      <c r="H145" s="12"/>
      <c r="I145" s="12"/>
      <c r="J145" s="12"/>
      <c r="K145" s="12"/>
      <c r="L145" s="12"/>
      <c r="M145" s="12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9"/>
    </row>
    <row r="146">
      <c r="A146" s="5">
        <v>2.4101321E7</v>
      </c>
      <c r="B146" s="5" t="s">
        <v>318</v>
      </c>
      <c r="C146" s="14" t="s">
        <v>24</v>
      </c>
      <c r="D146" s="5" t="s">
        <v>95</v>
      </c>
      <c r="E146" s="14"/>
      <c r="F146" s="5" t="s">
        <v>319</v>
      </c>
      <c r="G146" s="7"/>
      <c r="H146" s="7"/>
      <c r="I146" s="7"/>
      <c r="J146" s="7"/>
      <c r="K146" s="7"/>
      <c r="L146" s="7"/>
      <c r="M146" s="7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9"/>
    </row>
    <row r="147">
      <c r="A147" s="10">
        <v>1.000056212E9</v>
      </c>
      <c r="B147" s="10" t="s">
        <v>320</v>
      </c>
      <c r="C147" s="13" t="s">
        <v>24</v>
      </c>
      <c r="D147" s="10" t="s">
        <v>95</v>
      </c>
      <c r="E147" s="13"/>
      <c r="F147" s="10" t="s">
        <v>321</v>
      </c>
      <c r="G147" s="12"/>
      <c r="H147" s="12"/>
      <c r="I147" s="12"/>
      <c r="J147" s="12"/>
      <c r="K147" s="12"/>
      <c r="L147" s="12"/>
      <c r="M147" s="12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9"/>
    </row>
    <row r="148">
      <c r="A148" s="5">
        <v>1.000057586E9</v>
      </c>
      <c r="B148" s="5" t="s">
        <v>322</v>
      </c>
      <c r="C148" s="14" t="s">
        <v>24</v>
      </c>
      <c r="D148" s="5" t="s">
        <v>95</v>
      </c>
      <c r="E148" s="14"/>
      <c r="F148" s="5" t="s">
        <v>323</v>
      </c>
      <c r="G148" s="7"/>
      <c r="H148" s="7"/>
      <c r="I148" s="7"/>
      <c r="J148" s="7"/>
      <c r="K148" s="7"/>
      <c r="L148" s="7"/>
      <c r="M148" s="7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9"/>
    </row>
    <row r="149">
      <c r="A149" s="10">
        <v>1.000057587E9</v>
      </c>
      <c r="B149" s="10" t="s">
        <v>324</v>
      </c>
      <c r="C149" s="13" t="s">
        <v>24</v>
      </c>
      <c r="D149" s="10" t="s">
        <v>95</v>
      </c>
      <c r="E149" s="13"/>
      <c r="F149" s="10" t="s">
        <v>325</v>
      </c>
      <c r="G149" s="12"/>
      <c r="H149" s="12"/>
      <c r="I149" s="12"/>
      <c r="J149" s="12"/>
      <c r="K149" s="12"/>
      <c r="L149" s="12"/>
      <c r="M149" s="12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9"/>
    </row>
    <row r="150">
      <c r="A150" s="5">
        <v>2.3201159E7</v>
      </c>
      <c r="B150" s="5" t="s">
        <v>326</v>
      </c>
      <c r="C150" s="14" t="s">
        <v>24</v>
      </c>
      <c r="D150" s="5" t="s">
        <v>95</v>
      </c>
      <c r="E150" s="14"/>
      <c r="F150" s="5" t="s">
        <v>327</v>
      </c>
      <c r="G150" s="7"/>
      <c r="H150" s="7"/>
      <c r="I150" s="7"/>
      <c r="J150" s="7"/>
      <c r="K150" s="7"/>
      <c r="L150" s="7"/>
      <c r="M150" s="7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9"/>
    </row>
    <row r="151">
      <c r="A151" s="10">
        <v>2.4301052E7</v>
      </c>
      <c r="B151" s="10" t="s">
        <v>328</v>
      </c>
      <c r="C151" s="13" t="s">
        <v>24</v>
      </c>
      <c r="D151" s="10" t="s">
        <v>95</v>
      </c>
      <c r="E151" s="13"/>
      <c r="F151" s="10" t="s">
        <v>329</v>
      </c>
      <c r="G151" s="12"/>
      <c r="H151" s="12"/>
      <c r="I151" s="12"/>
      <c r="J151" s="12"/>
      <c r="K151" s="12"/>
      <c r="L151" s="12"/>
      <c r="M151" s="12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9"/>
    </row>
    <row r="152">
      <c r="A152" s="5">
        <v>1.000055183E9</v>
      </c>
      <c r="B152" s="5" t="s">
        <v>330</v>
      </c>
      <c r="C152" s="14" t="s">
        <v>24</v>
      </c>
      <c r="D152" s="5" t="s">
        <v>95</v>
      </c>
      <c r="E152" s="14"/>
      <c r="F152" s="5" t="s">
        <v>331</v>
      </c>
      <c r="G152" s="7"/>
      <c r="H152" s="7"/>
      <c r="I152" s="7"/>
      <c r="J152" s="7"/>
      <c r="K152" s="7"/>
      <c r="L152" s="7"/>
      <c r="M152" s="7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9"/>
    </row>
    <row r="153">
      <c r="A153" s="10">
        <v>1.000057565E9</v>
      </c>
      <c r="B153" s="10" t="s">
        <v>332</v>
      </c>
      <c r="C153" s="13" t="s">
        <v>24</v>
      </c>
      <c r="D153" s="10" t="s">
        <v>95</v>
      </c>
      <c r="E153" s="13"/>
      <c r="F153" s="10" t="s">
        <v>333</v>
      </c>
      <c r="G153" s="12"/>
      <c r="H153" s="12"/>
      <c r="I153" s="12"/>
      <c r="J153" s="12"/>
      <c r="K153" s="12"/>
      <c r="L153" s="12"/>
      <c r="M153" s="12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9"/>
    </row>
    <row r="154">
      <c r="A154" s="5">
        <v>1.000055015E9</v>
      </c>
      <c r="B154" s="5" t="s">
        <v>334</v>
      </c>
      <c r="C154" s="14" t="s">
        <v>24</v>
      </c>
      <c r="D154" s="5" t="s">
        <v>95</v>
      </c>
      <c r="E154" s="14"/>
      <c r="F154" s="5" t="s">
        <v>335</v>
      </c>
      <c r="G154" s="7"/>
      <c r="H154" s="7"/>
      <c r="I154" s="7"/>
      <c r="J154" s="7"/>
      <c r="K154" s="7"/>
      <c r="L154" s="7"/>
      <c r="M154" s="7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9"/>
    </row>
    <row r="155">
      <c r="A155" s="10">
        <v>1.000056951E9</v>
      </c>
      <c r="B155" s="10" t="s">
        <v>336</v>
      </c>
      <c r="C155" s="13" t="s">
        <v>24</v>
      </c>
      <c r="D155" s="10" t="s">
        <v>95</v>
      </c>
      <c r="E155" s="13"/>
      <c r="F155" s="10" t="s">
        <v>337</v>
      </c>
      <c r="G155" s="12"/>
      <c r="H155" s="12"/>
      <c r="I155" s="12"/>
      <c r="J155" s="12"/>
      <c r="K155" s="12"/>
      <c r="L155" s="12"/>
      <c r="M155" s="12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9"/>
    </row>
    <row r="156">
      <c r="A156" s="5">
        <v>2.4101095E7</v>
      </c>
      <c r="B156" s="5" t="s">
        <v>338</v>
      </c>
      <c r="C156" s="14" t="s">
        <v>24</v>
      </c>
      <c r="D156" s="5" t="s">
        <v>95</v>
      </c>
      <c r="E156" s="14"/>
      <c r="F156" s="5" t="s">
        <v>339</v>
      </c>
      <c r="G156" s="7"/>
      <c r="H156" s="7"/>
      <c r="I156" s="7"/>
      <c r="J156" s="7"/>
      <c r="K156" s="7"/>
      <c r="L156" s="7"/>
      <c r="M156" s="7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9"/>
    </row>
    <row r="157">
      <c r="A157" s="10">
        <v>1.000057763E9</v>
      </c>
      <c r="B157" s="10" t="s">
        <v>340</v>
      </c>
      <c r="C157" s="13" t="s">
        <v>24</v>
      </c>
      <c r="D157" s="10" t="s">
        <v>95</v>
      </c>
      <c r="E157" s="13"/>
      <c r="F157" s="10" t="s">
        <v>341</v>
      </c>
      <c r="G157" s="12"/>
      <c r="H157" s="12"/>
      <c r="I157" s="12"/>
      <c r="J157" s="12"/>
      <c r="K157" s="12"/>
      <c r="L157" s="12"/>
      <c r="M157" s="12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9"/>
    </row>
    <row r="158">
      <c r="A158" s="5">
        <v>1.000058804E9</v>
      </c>
      <c r="B158" s="5" t="s">
        <v>342</v>
      </c>
      <c r="C158" s="14" t="s">
        <v>24</v>
      </c>
      <c r="D158" s="5" t="s">
        <v>95</v>
      </c>
      <c r="E158" s="14"/>
      <c r="F158" s="5" t="s">
        <v>343</v>
      </c>
      <c r="G158" s="7"/>
      <c r="H158" s="7"/>
      <c r="I158" s="7"/>
      <c r="J158" s="7"/>
      <c r="K158" s="7"/>
      <c r="L158" s="7"/>
      <c r="M158" s="7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9"/>
    </row>
    <row r="159">
      <c r="A159" s="28">
        <v>1.000056934E9</v>
      </c>
      <c r="B159" s="28" t="s">
        <v>344</v>
      </c>
      <c r="C159" s="29" t="s">
        <v>24</v>
      </c>
      <c r="D159" s="28" t="s">
        <v>95</v>
      </c>
      <c r="E159" s="29"/>
      <c r="F159" s="28" t="s">
        <v>345</v>
      </c>
      <c r="G159" s="12"/>
      <c r="H159" s="12"/>
      <c r="I159" s="12"/>
      <c r="J159" s="12"/>
      <c r="K159" s="12"/>
      <c r="L159" s="12"/>
      <c r="M159" s="12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9"/>
    </row>
    <row r="160">
      <c r="A160" s="30"/>
      <c r="B160" s="30"/>
      <c r="C160" s="31"/>
      <c r="D160" s="30"/>
      <c r="E160" s="31"/>
      <c r="F160" s="30"/>
      <c r="G160" s="7"/>
      <c r="H160" s="7"/>
      <c r="I160" s="7"/>
      <c r="J160" s="7"/>
      <c r="K160" s="7"/>
      <c r="L160" s="7"/>
      <c r="M160" s="7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9"/>
    </row>
    <row r="161">
      <c r="A161" s="32">
        <v>2.3201482E7</v>
      </c>
      <c r="B161" s="32" t="s">
        <v>346</v>
      </c>
      <c r="C161" s="33" t="s">
        <v>347</v>
      </c>
      <c r="D161" s="34" t="s">
        <v>25</v>
      </c>
      <c r="E161" s="32">
        <v>1.746179537E9</v>
      </c>
      <c r="F161" s="32" t="s">
        <v>348</v>
      </c>
      <c r="G161" s="12"/>
      <c r="H161" s="12"/>
      <c r="I161" s="12"/>
      <c r="J161" s="12"/>
      <c r="K161" s="12"/>
      <c r="L161" s="12"/>
      <c r="M161" s="12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9"/>
    </row>
    <row r="162">
      <c r="A162" s="5">
        <v>2.4101298E7</v>
      </c>
      <c r="B162" s="5" t="s">
        <v>349</v>
      </c>
      <c r="C162" s="35" t="s">
        <v>347</v>
      </c>
      <c r="D162" s="14" t="s">
        <v>25</v>
      </c>
      <c r="E162" s="5">
        <v>1.619615704E9</v>
      </c>
      <c r="F162" s="5" t="s">
        <v>350</v>
      </c>
      <c r="G162" s="7"/>
      <c r="H162" s="7"/>
      <c r="I162" s="7"/>
      <c r="J162" s="7"/>
      <c r="K162" s="7"/>
      <c r="L162" s="7"/>
      <c r="M162" s="7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9"/>
    </row>
    <row r="163">
      <c r="A163" s="10">
        <v>2.4341145E7</v>
      </c>
      <c r="B163" s="10" t="s">
        <v>351</v>
      </c>
      <c r="C163" s="36" t="s">
        <v>347</v>
      </c>
      <c r="D163" s="13" t="s">
        <v>32</v>
      </c>
      <c r="E163" s="10">
        <v>1.631511325E9</v>
      </c>
      <c r="F163" s="10" t="s">
        <v>352</v>
      </c>
      <c r="G163" s="12"/>
      <c r="H163" s="12"/>
      <c r="I163" s="12"/>
      <c r="J163" s="12"/>
      <c r="K163" s="12"/>
      <c r="L163" s="12"/>
      <c r="M163" s="12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9"/>
    </row>
    <row r="164">
      <c r="A164" s="5">
        <v>2.3301038E7</v>
      </c>
      <c r="B164" s="5" t="s">
        <v>353</v>
      </c>
      <c r="C164" s="35" t="s">
        <v>347</v>
      </c>
      <c r="D164" s="14" t="s">
        <v>32</v>
      </c>
      <c r="E164" s="5">
        <v>1.819083173E9</v>
      </c>
      <c r="F164" s="5" t="s">
        <v>354</v>
      </c>
      <c r="G164" s="7"/>
      <c r="H164" s="7"/>
      <c r="I164" s="7"/>
      <c r="J164" s="7"/>
      <c r="K164" s="7"/>
      <c r="L164" s="7"/>
      <c r="M164" s="7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9"/>
    </row>
    <row r="165">
      <c r="A165" s="10">
        <v>2.3301191E7</v>
      </c>
      <c r="B165" s="10" t="s">
        <v>355</v>
      </c>
      <c r="C165" s="36" t="s">
        <v>347</v>
      </c>
      <c r="D165" s="13" t="s">
        <v>32</v>
      </c>
      <c r="E165" s="10">
        <v>1.671079744E9</v>
      </c>
      <c r="F165" s="10" t="s">
        <v>356</v>
      </c>
      <c r="G165" s="12"/>
      <c r="H165" s="12"/>
      <c r="I165" s="12"/>
      <c r="J165" s="12"/>
      <c r="K165" s="12"/>
      <c r="L165" s="12"/>
      <c r="M165" s="12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9"/>
    </row>
    <row r="166">
      <c r="A166" s="5">
        <v>2.2101767E7</v>
      </c>
      <c r="B166" s="5" t="s">
        <v>357</v>
      </c>
      <c r="C166" s="35" t="s">
        <v>347</v>
      </c>
      <c r="D166" s="14" t="s">
        <v>36</v>
      </c>
      <c r="E166" s="5"/>
      <c r="F166" s="5" t="s">
        <v>358</v>
      </c>
      <c r="G166" s="7"/>
      <c r="H166" s="7"/>
      <c r="I166" s="7"/>
      <c r="J166" s="7"/>
      <c r="K166" s="7"/>
      <c r="L166" s="7"/>
      <c r="M166" s="7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9"/>
    </row>
    <row r="167">
      <c r="A167" s="10">
        <v>2.2301532E7</v>
      </c>
      <c r="B167" s="10" t="s">
        <v>359</v>
      </c>
      <c r="C167" s="36" t="s">
        <v>347</v>
      </c>
      <c r="D167" s="13" t="s">
        <v>36</v>
      </c>
      <c r="E167" s="10"/>
      <c r="F167" s="10" t="s">
        <v>360</v>
      </c>
      <c r="G167" s="12"/>
      <c r="H167" s="12"/>
      <c r="I167" s="12"/>
      <c r="J167" s="12"/>
      <c r="K167" s="12"/>
      <c r="L167" s="12"/>
      <c r="M167" s="12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9"/>
    </row>
    <row r="168">
      <c r="A168" s="5">
        <v>2.220149E7</v>
      </c>
      <c r="B168" s="5" t="s">
        <v>361</v>
      </c>
      <c r="C168" s="35" t="s">
        <v>347</v>
      </c>
      <c r="D168" s="14" t="s">
        <v>36</v>
      </c>
      <c r="E168" s="5"/>
      <c r="F168" s="5" t="s">
        <v>362</v>
      </c>
      <c r="G168" s="7"/>
      <c r="H168" s="7"/>
      <c r="I168" s="7"/>
      <c r="J168" s="7"/>
      <c r="K168" s="7"/>
      <c r="L168" s="7"/>
      <c r="M168" s="7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9"/>
    </row>
    <row r="169">
      <c r="A169" s="10">
        <v>2.4101168E7</v>
      </c>
      <c r="B169" s="10" t="s">
        <v>363</v>
      </c>
      <c r="C169" s="36" t="s">
        <v>347</v>
      </c>
      <c r="D169" s="13" t="s">
        <v>36</v>
      </c>
      <c r="E169" s="10">
        <v>1.925414124E9</v>
      </c>
      <c r="F169" s="10" t="s">
        <v>364</v>
      </c>
      <c r="G169" s="12"/>
      <c r="H169" s="12"/>
      <c r="I169" s="12"/>
      <c r="J169" s="12"/>
      <c r="K169" s="12"/>
      <c r="L169" s="12"/>
      <c r="M169" s="12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9"/>
    </row>
    <row r="170">
      <c r="A170" s="5">
        <v>2.4101349E7</v>
      </c>
      <c r="B170" s="5" t="s">
        <v>365</v>
      </c>
      <c r="C170" s="35" t="s">
        <v>347</v>
      </c>
      <c r="D170" s="14" t="s">
        <v>36</v>
      </c>
      <c r="E170" s="5">
        <v>1.959990141E9</v>
      </c>
      <c r="F170" s="5" t="s">
        <v>366</v>
      </c>
      <c r="G170" s="7"/>
      <c r="H170" s="7"/>
      <c r="I170" s="7"/>
      <c r="J170" s="7"/>
      <c r="K170" s="7"/>
      <c r="L170" s="7"/>
      <c r="M170" s="7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9"/>
    </row>
    <row r="171">
      <c r="A171" s="10">
        <v>2.4321015E7</v>
      </c>
      <c r="B171" s="10" t="s">
        <v>367</v>
      </c>
      <c r="C171" s="36" t="s">
        <v>347</v>
      </c>
      <c r="D171" s="13" t="s">
        <v>36</v>
      </c>
      <c r="E171" s="10"/>
      <c r="F171" s="10" t="s">
        <v>368</v>
      </c>
      <c r="G171" s="12"/>
      <c r="H171" s="12"/>
      <c r="I171" s="12"/>
      <c r="J171" s="12"/>
      <c r="K171" s="12"/>
      <c r="L171" s="12"/>
      <c r="M171" s="12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9"/>
    </row>
    <row r="172">
      <c r="A172" s="5">
        <v>2.3201552E7</v>
      </c>
      <c r="B172" s="5" t="s">
        <v>369</v>
      </c>
      <c r="C172" s="35" t="s">
        <v>347</v>
      </c>
      <c r="D172" s="14" t="s">
        <v>36</v>
      </c>
      <c r="E172" s="5"/>
      <c r="F172" s="5" t="s">
        <v>370</v>
      </c>
      <c r="G172" s="7"/>
      <c r="H172" s="7"/>
      <c r="I172" s="7"/>
      <c r="J172" s="7"/>
      <c r="K172" s="7"/>
      <c r="L172" s="7"/>
      <c r="M172" s="7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9"/>
    </row>
    <row r="173">
      <c r="A173" s="10">
        <v>2.3201397E7</v>
      </c>
      <c r="B173" s="10" t="s">
        <v>371</v>
      </c>
      <c r="C173" s="36" t="s">
        <v>347</v>
      </c>
      <c r="D173" s="13" t="s">
        <v>36</v>
      </c>
      <c r="E173" s="10">
        <v>1.773054717E9</v>
      </c>
      <c r="F173" s="10" t="s">
        <v>372</v>
      </c>
      <c r="G173" s="12"/>
      <c r="H173" s="12"/>
      <c r="I173" s="12"/>
      <c r="J173" s="12"/>
      <c r="K173" s="12"/>
      <c r="L173" s="12"/>
      <c r="M173" s="12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9"/>
    </row>
    <row r="174">
      <c r="A174" s="5">
        <v>2.4101328E7</v>
      </c>
      <c r="B174" s="5" t="s">
        <v>373</v>
      </c>
      <c r="C174" s="35" t="s">
        <v>347</v>
      </c>
      <c r="D174" s="14" t="s">
        <v>36</v>
      </c>
      <c r="E174" s="5">
        <v>1.319800733E9</v>
      </c>
      <c r="F174" s="5" t="s">
        <v>374</v>
      </c>
      <c r="G174" s="7"/>
      <c r="H174" s="7"/>
      <c r="I174" s="7"/>
      <c r="J174" s="7"/>
      <c r="K174" s="7"/>
      <c r="L174" s="7"/>
      <c r="M174" s="7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9"/>
    </row>
    <row r="175">
      <c r="A175" s="10">
        <v>2.3301545E7</v>
      </c>
      <c r="B175" s="10" t="s">
        <v>375</v>
      </c>
      <c r="C175" s="36" t="s">
        <v>347</v>
      </c>
      <c r="D175" s="13" t="s">
        <v>36</v>
      </c>
      <c r="E175" s="10"/>
      <c r="F175" s="10" t="s">
        <v>376</v>
      </c>
      <c r="G175" s="12"/>
      <c r="H175" s="12"/>
      <c r="I175" s="12"/>
      <c r="J175" s="12"/>
      <c r="K175" s="12"/>
      <c r="L175" s="12"/>
      <c r="M175" s="12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9"/>
    </row>
    <row r="176">
      <c r="A176" s="5">
        <v>2.3201557E7</v>
      </c>
      <c r="B176" s="5" t="s">
        <v>377</v>
      </c>
      <c r="C176" s="35" t="s">
        <v>347</v>
      </c>
      <c r="D176" s="14" t="s">
        <v>36</v>
      </c>
      <c r="E176" s="5"/>
      <c r="F176" s="5" t="s">
        <v>378</v>
      </c>
      <c r="G176" s="7"/>
      <c r="H176" s="7"/>
      <c r="I176" s="7"/>
      <c r="J176" s="7"/>
      <c r="K176" s="7"/>
      <c r="L176" s="7"/>
      <c r="M176" s="7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9"/>
    </row>
    <row r="177">
      <c r="A177" s="10">
        <v>2.4301116E7</v>
      </c>
      <c r="B177" s="10" t="s">
        <v>379</v>
      </c>
      <c r="C177" s="36"/>
      <c r="D177" s="13" t="s">
        <v>36</v>
      </c>
      <c r="E177" s="10"/>
      <c r="F177" s="10" t="s">
        <v>380</v>
      </c>
      <c r="G177" s="12"/>
      <c r="H177" s="12"/>
      <c r="I177" s="12"/>
      <c r="J177" s="12"/>
      <c r="K177" s="12"/>
      <c r="L177" s="12"/>
      <c r="M177" s="12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9"/>
    </row>
    <row r="178">
      <c r="A178" s="5">
        <v>2.3201471E7</v>
      </c>
      <c r="B178" s="5" t="s">
        <v>381</v>
      </c>
      <c r="C178" s="35" t="s">
        <v>347</v>
      </c>
      <c r="D178" s="14" t="s">
        <v>36</v>
      </c>
      <c r="E178" s="5"/>
      <c r="F178" s="5" t="s">
        <v>382</v>
      </c>
      <c r="G178" s="7"/>
      <c r="H178" s="7"/>
      <c r="I178" s="7"/>
      <c r="J178" s="7"/>
      <c r="K178" s="7"/>
      <c r="L178" s="7"/>
      <c r="M178" s="7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9"/>
    </row>
    <row r="179">
      <c r="A179" s="10">
        <v>2.3103061E7</v>
      </c>
      <c r="B179" s="10" t="s">
        <v>383</v>
      </c>
      <c r="C179" s="36" t="s">
        <v>347</v>
      </c>
      <c r="D179" s="13" t="s">
        <v>45</v>
      </c>
      <c r="E179" s="10"/>
      <c r="F179" s="10" t="s">
        <v>384</v>
      </c>
      <c r="G179" s="12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9"/>
    </row>
    <row r="180">
      <c r="A180" s="5">
        <v>2.3101183E7</v>
      </c>
      <c r="B180" s="5" t="s">
        <v>385</v>
      </c>
      <c r="C180" s="35" t="s">
        <v>347</v>
      </c>
      <c r="D180" s="14" t="s">
        <v>45</v>
      </c>
      <c r="E180" s="5"/>
      <c r="F180" s="5" t="s">
        <v>386</v>
      </c>
      <c r="G180" s="7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9"/>
    </row>
    <row r="181">
      <c r="A181" s="10">
        <v>2.3101111E7</v>
      </c>
      <c r="B181" s="10" t="s">
        <v>387</v>
      </c>
      <c r="C181" s="36" t="s">
        <v>347</v>
      </c>
      <c r="D181" s="13" t="s">
        <v>45</v>
      </c>
      <c r="E181" s="10"/>
      <c r="F181" s="10" t="s">
        <v>388</v>
      </c>
      <c r="G181" s="12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9"/>
    </row>
    <row r="182">
      <c r="A182" s="5">
        <v>2.3101109E7</v>
      </c>
      <c r="B182" s="5" t="s">
        <v>389</v>
      </c>
      <c r="C182" s="35" t="s">
        <v>347</v>
      </c>
      <c r="D182" s="14" t="s">
        <v>45</v>
      </c>
      <c r="E182" s="5"/>
      <c r="F182" s="5" t="s">
        <v>390</v>
      </c>
      <c r="G182" s="7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9"/>
    </row>
    <row r="183">
      <c r="A183" s="10">
        <v>2.2241113E7</v>
      </c>
      <c r="B183" s="10" t="s">
        <v>391</v>
      </c>
      <c r="C183" s="36" t="s">
        <v>347</v>
      </c>
      <c r="D183" s="13" t="s">
        <v>45</v>
      </c>
      <c r="E183" s="10"/>
      <c r="F183" s="10" t="s">
        <v>392</v>
      </c>
      <c r="G183" s="12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9"/>
    </row>
    <row r="184">
      <c r="A184" s="5">
        <v>2.2101879E7</v>
      </c>
      <c r="B184" s="5" t="s">
        <v>393</v>
      </c>
      <c r="C184" s="35" t="s">
        <v>347</v>
      </c>
      <c r="D184" s="14" t="s">
        <v>45</v>
      </c>
      <c r="E184" s="5"/>
      <c r="F184" s="5" t="s">
        <v>394</v>
      </c>
      <c r="G184" s="7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9"/>
    </row>
    <row r="185">
      <c r="A185" s="10">
        <v>2.2101863E7</v>
      </c>
      <c r="B185" s="10" t="s">
        <v>395</v>
      </c>
      <c r="C185" s="36" t="s">
        <v>347</v>
      </c>
      <c r="D185" s="13" t="s">
        <v>45</v>
      </c>
      <c r="E185" s="10"/>
      <c r="F185" s="10" t="s">
        <v>396</v>
      </c>
      <c r="G185" s="12"/>
      <c r="H185" s="12"/>
      <c r="I185" s="12"/>
      <c r="J185" s="12"/>
      <c r="K185" s="12"/>
      <c r="L185" s="12"/>
      <c r="M185" s="12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9"/>
    </row>
    <row r="186">
      <c r="A186" s="5">
        <v>2.2101202E7</v>
      </c>
      <c r="B186" s="5" t="s">
        <v>397</v>
      </c>
      <c r="C186" s="35" t="s">
        <v>347</v>
      </c>
      <c r="D186" s="14" t="s">
        <v>45</v>
      </c>
      <c r="E186" s="5"/>
      <c r="F186" s="5" t="s">
        <v>398</v>
      </c>
      <c r="G186" s="7"/>
      <c r="H186" s="7"/>
      <c r="I186" s="7"/>
      <c r="J186" s="7"/>
      <c r="K186" s="7"/>
      <c r="L186" s="7"/>
      <c r="M186" s="7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9"/>
    </row>
    <row r="187">
      <c r="A187" s="10">
        <v>2.2201358E7</v>
      </c>
      <c r="B187" s="10" t="s">
        <v>399</v>
      </c>
      <c r="C187" s="36" t="s">
        <v>347</v>
      </c>
      <c r="D187" s="13" t="s">
        <v>45</v>
      </c>
      <c r="E187" s="10"/>
      <c r="F187" s="10" t="s">
        <v>400</v>
      </c>
      <c r="G187" s="12"/>
      <c r="H187" s="12"/>
      <c r="I187" s="12"/>
      <c r="J187" s="12"/>
      <c r="K187" s="12"/>
      <c r="L187" s="12"/>
      <c r="M187" s="12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9"/>
    </row>
    <row r="188">
      <c r="A188" s="5">
        <v>2.3201132E7</v>
      </c>
      <c r="B188" s="5" t="s">
        <v>401</v>
      </c>
      <c r="C188" s="35" t="s">
        <v>347</v>
      </c>
      <c r="D188" s="14" t="s">
        <v>45</v>
      </c>
      <c r="E188" s="5"/>
      <c r="F188" s="5" t="s">
        <v>402</v>
      </c>
      <c r="G188" s="7"/>
      <c r="H188" s="7"/>
      <c r="I188" s="7"/>
      <c r="J188" s="7"/>
      <c r="K188" s="7"/>
      <c r="L188" s="7"/>
      <c r="M188" s="7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9"/>
    </row>
    <row r="189">
      <c r="A189" s="10">
        <v>2.2201033E7</v>
      </c>
      <c r="B189" s="10" t="s">
        <v>403</v>
      </c>
      <c r="C189" s="36" t="s">
        <v>347</v>
      </c>
      <c r="D189" s="13" t="s">
        <v>45</v>
      </c>
      <c r="E189" s="10"/>
      <c r="F189" s="10" t="s">
        <v>404</v>
      </c>
      <c r="G189" s="12"/>
      <c r="H189" s="12"/>
      <c r="I189" s="12"/>
      <c r="J189" s="12"/>
      <c r="K189" s="12"/>
      <c r="L189" s="12"/>
      <c r="M189" s="12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9"/>
    </row>
    <row r="190">
      <c r="A190" s="5">
        <v>2.2101113E7</v>
      </c>
      <c r="B190" s="5" t="s">
        <v>405</v>
      </c>
      <c r="C190" s="35" t="s">
        <v>347</v>
      </c>
      <c r="D190" s="14" t="s">
        <v>45</v>
      </c>
      <c r="E190" s="5"/>
      <c r="F190" s="5" t="s">
        <v>406</v>
      </c>
      <c r="G190" s="7"/>
      <c r="H190" s="7"/>
      <c r="I190" s="7"/>
      <c r="J190" s="7"/>
      <c r="K190" s="7"/>
      <c r="L190" s="7"/>
      <c r="M190" s="7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9"/>
    </row>
    <row r="191">
      <c r="A191" s="10">
        <v>2.4301267E7</v>
      </c>
      <c r="B191" s="10" t="s">
        <v>407</v>
      </c>
      <c r="C191" s="36" t="s">
        <v>347</v>
      </c>
      <c r="D191" s="13" t="s">
        <v>45</v>
      </c>
      <c r="E191" s="10"/>
      <c r="F191" s="10" t="s">
        <v>408</v>
      </c>
      <c r="G191" s="12"/>
      <c r="H191" s="12"/>
      <c r="I191" s="12"/>
      <c r="J191" s="12"/>
      <c r="K191" s="12"/>
      <c r="L191" s="12"/>
      <c r="M191" s="12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9"/>
    </row>
    <row r="192">
      <c r="A192" s="5">
        <v>2.230105E7</v>
      </c>
      <c r="B192" s="5" t="s">
        <v>409</v>
      </c>
      <c r="C192" s="35" t="s">
        <v>347</v>
      </c>
      <c r="D192" s="14" t="s">
        <v>45</v>
      </c>
      <c r="E192" s="5"/>
      <c r="F192" s="5" t="s">
        <v>410</v>
      </c>
      <c r="G192" s="7"/>
      <c r="H192" s="7"/>
      <c r="I192" s="7"/>
      <c r="J192" s="7"/>
      <c r="K192" s="7"/>
      <c r="L192" s="7"/>
      <c r="M192" s="7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9"/>
    </row>
    <row r="193">
      <c r="A193" s="10">
        <v>2.3301657E7</v>
      </c>
      <c r="B193" s="10" t="s">
        <v>411</v>
      </c>
      <c r="C193" s="36" t="s">
        <v>347</v>
      </c>
      <c r="D193" s="13" t="s">
        <v>45</v>
      </c>
      <c r="E193" s="10"/>
      <c r="F193" s="10" t="s">
        <v>412</v>
      </c>
      <c r="G193" s="12"/>
      <c r="H193" s="12"/>
      <c r="I193" s="12"/>
      <c r="J193" s="12"/>
      <c r="K193" s="12"/>
      <c r="L193" s="12"/>
      <c r="M193" s="12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9"/>
    </row>
    <row r="194">
      <c r="A194" s="5">
        <v>2.3216006E7</v>
      </c>
      <c r="B194" s="5" t="s">
        <v>413</v>
      </c>
      <c r="C194" s="35" t="s">
        <v>347</v>
      </c>
      <c r="D194" s="14" t="s">
        <v>45</v>
      </c>
      <c r="E194" s="5"/>
      <c r="F194" s="5" t="s">
        <v>414</v>
      </c>
      <c r="G194" s="7"/>
      <c r="H194" s="7"/>
      <c r="I194" s="7"/>
      <c r="J194" s="7"/>
      <c r="K194" s="7"/>
      <c r="L194" s="7"/>
      <c r="M194" s="7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9"/>
    </row>
    <row r="195">
      <c r="A195" s="10">
        <v>2.3201493E7</v>
      </c>
      <c r="B195" s="10" t="s">
        <v>415</v>
      </c>
      <c r="C195" s="36" t="s">
        <v>347</v>
      </c>
      <c r="D195" s="13" t="s">
        <v>45</v>
      </c>
      <c r="E195" s="10"/>
      <c r="F195" s="10" t="s">
        <v>416</v>
      </c>
      <c r="G195" s="12"/>
      <c r="H195" s="12"/>
      <c r="I195" s="12"/>
      <c r="J195" s="12"/>
      <c r="K195" s="12"/>
      <c r="L195" s="12"/>
      <c r="M195" s="12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9"/>
    </row>
    <row r="196">
      <c r="A196" s="5">
        <v>2.3201263E7</v>
      </c>
      <c r="B196" s="5" t="s">
        <v>417</v>
      </c>
      <c r="C196" s="35" t="s">
        <v>347</v>
      </c>
      <c r="D196" s="14" t="s">
        <v>45</v>
      </c>
      <c r="E196" s="5"/>
      <c r="F196" s="5" t="s">
        <v>418</v>
      </c>
      <c r="G196" s="7"/>
      <c r="H196" s="7"/>
      <c r="I196" s="7"/>
      <c r="J196" s="7"/>
      <c r="K196" s="7"/>
      <c r="L196" s="7"/>
      <c r="M196" s="7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9"/>
    </row>
    <row r="197">
      <c r="A197" s="10">
        <v>2.3201364E7</v>
      </c>
      <c r="B197" s="10" t="s">
        <v>419</v>
      </c>
      <c r="C197" s="36" t="s">
        <v>347</v>
      </c>
      <c r="D197" s="13" t="s">
        <v>45</v>
      </c>
      <c r="E197" s="10"/>
      <c r="F197" s="10" t="s">
        <v>420</v>
      </c>
      <c r="G197" s="12"/>
      <c r="H197" s="12"/>
      <c r="I197" s="12"/>
      <c r="J197" s="12"/>
      <c r="K197" s="12"/>
      <c r="L197" s="12"/>
      <c r="M197" s="12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9"/>
    </row>
    <row r="198">
      <c r="A198" s="5">
        <v>2.4301239E7</v>
      </c>
      <c r="B198" s="5" t="s">
        <v>421</v>
      </c>
      <c r="C198" s="35" t="s">
        <v>347</v>
      </c>
      <c r="D198" s="14" t="s">
        <v>45</v>
      </c>
      <c r="E198" s="5"/>
      <c r="F198" s="5" t="s">
        <v>422</v>
      </c>
      <c r="G198" s="7"/>
      <c r="H198" s="7"/>
      <c r="I198" s="7"/>
      <c r="J198" s="7"/>
      <c r="K198" s="7"/>
      <c r="L198" s="7"/>
      <c r="M198" s="7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9"/>
    </row>
    <row r="199">
      <c r="A199" s="10">
        <v>2.4241034E7</v>
      </c>
      <c r="B199" s="10" t="s">
        <v>423</v>
      </c>
      <c r="C199" s="36" t="s">
        <v>347</v>
      </c>
      <c r="D199" s="13" t="s">
        <v>45</v>
      </c>
      <c r="E199" s="10"/>
      <c r="F199" s="10" t="s">
        <v>424</v>
      </c>
      <c r="G199" s="12"/>
      <c r="H199" s="12"/>
      <c r="I199" s="12"/>
      <c r="J199" s="12"/>
      <c r="K199" s="12"/>
      <c r="L199" s="12"/>
      <c r="M199" s="12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9"/>
    </row>
    <row r="200">
      <c r="A200" s="5">
        <v>2.4301166E7</v>
      </c>
      <c r="B200" s="5" t="s">
        <v>425</v>
      </c>
      <c r="C200" s="35" t="s">
        <v>347</v>
      </c>
      <c r="D200" s="14" t="s">
        <v>45</v>
      </c>
      <c r="E200" s="5"/>
      <c r="F200" s="5" t="s">
        <v>426</v>
      </c>
      <c r="G200" s="7"/>
      <c r="H200" s="7"/>
      <c r="I200" s="7"/>
      <c r="J200" s="7"/>
      <c r="K200" s="7"/>
      <c r="L200" s="7"/>
      <c r="M200" s="7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9"/>
    </row>
    <row r="201">
      <c r="A201" s="10">
        <v>2.3301639E7</v>
      </c>
      <c r="B201" s="10" t="s">
        <v>427</v>
      </c>
      <c r="C201" s="36" t="s">
        <v>347</v>
      </c>
      <c r="D201" s="13" t="s">
        <v>45</v>
      </c>
      <c r="E201" s="10"/>
      <c r="F201" s="10" t="s">
        <v>428</v>
      </c>
      <c r="G201" s="12"/>
      <c r="H201" s="12"/>
      <c r="I201" s="12"/>
      <c r="J201" s="12"/>
      <c r="K201" s="12"/>
      <c r="L201" s="12"/>
      <c r="M201" s="12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9"/>
    </row>
    <row r="202">
      <c r="A202" s="5">
        <v>1.000054022E9</v>
      </c>
      <c r="B202" s="5" t="s">
        <v>429</v>
      </c>
      <c r="C202" s="35" t="s">
        <v>347</v>
      </c>
      <c r="D202" s="14" t="s">
        <v>45</v>
      </c>
      <c r="E202" s="5"/>
      <c r="F202" s="5" t="s">
        <v>430</v>
      </c>
      <c r="G202" s="7"/>
      <c r="H202" s="7"/>
      <c r="I202" s="7"/>
      <c r="J202" s="7"/>
      <c r="K202" s="7"/>
      <c r="L202" s="7"/>
      <c r="M202" s="7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9"/>
    </row>
    <row r="203">
      <c r="A203" s="10">
        <v>2.2299255E7</v>
      </c>
      <c r="B203" s="10" t="s">
        <v>431</v>
      </c>
      <c r="C203" s="36" t="s">
        <v>347</v>
      </c>
      <c r="D203" s="13" t="s">
        <v>45</v>
      </c>
      <c r="E203" s="10"/>
      <c r="F203" s="10" t="s">
        <v>432</v>
      </c>
      <c r="G203" s="12"/>
      <c r="H203" s="12"/>
      <c r="I203" s="12"/>
      <c r="J203" s="12"/>
      <c r="K203" s="12"/>
      <c r="L203" s="12"/>
      <c r="M203" s="12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9"/>
    </row>
    <row r="204">
      <c r="A204" s="5">
        <v>2.3201517E7</v>
      </c>
      <c r="B204" s="5" t="s">
        <v>433</v>
      </c>
      <c r="C204" s="35" t="s">
        <v>347</v>
      </c>
      <c r="D204" s="14" t="s">
        <v>45</v>
      </c>
      <c r="E204" s="5"/>
      <c r="F204" s="5" t="s">
        <v>434</v>
      </c>
      <c r="G204" s="7"/>
      <c r="H204" s="7"/>
      <c r="I204" s="7"/>
      <c r="J204" s="7"/>
      <c r="K204" s="7"/>
      <c r="L204" s="7"/>
      <c r="M204" s="7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9"/>
    </row>
    <row r="205">
      <c r="A205" s="10">
        <v>1.000055688E9</v>
      </c>
      <c r="B205" s="10" t="s">
        <v>435</v>
      </c>
      <c r="C205" s="36" t="s">
        <v>347</v>
      </c>
      <c r="D205" s="13" t="s">
        <v>45</v>
      </c>
      <c r="E205" s="10"/>
      <c r="F205" s="10" t="s">
        <v>436</v>
      </c>
      <c r="G205" s="12"/>
      <c r="H205" s="12"/>
      <c r="I205" s="12"/>
      <c r="J205" s="12"/>
      <c r="K205" s="12"/>
      <c r="L205" s="12"/>
      <c r="M205" s="12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9"/>
    </row>
    <row r="206">
      <c r="A206" s="5">
        <v>1.000055711E9</v>
      </c>
      <c r="B206" s="5" t="s">
        <v>437</v>
      </c>
      <c r="C206" s="35" t="s">
        <v>347</v>
      </c>
      <c r="D206" s="14" t="s">
        <v>45</v>
      </c>
      <c r="E206" s="5"/>
      <c r="F206" s="5" t="s">
        <v>438</v>
      </c>
      <c r="G206" s="7"/>
      <c r="H206" s="7"/>
      <c r="I206" s="7"/>
      <c r="J206" s="7"/>
      <c r="K206" s="7"/>
      <c r="L206" s="7"/>
      <c r="M206" s="7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9"/>
    </row>
    <row r="207">
      <c r="A207" s="10">
        <v>1.000058162E9</v>
      </c>
      <c r="B207" s="10" t="s">
        <v>439</v>
      </c>
      <c r="C207" s="36" t="s">
        <v>347</v>
      </c>
      <c r="D207" s="13" t="s">
        <v>45</v>
      </c>
      <c r="E207" s="10"/>
      <c r="F207" s="10" t="s">
        <v>440</v>
      </c>
      <c r="G207" s="12"/>
      <c r="H207" s="12"/>
      <c r="I207" s="12"/>
      <c r="J207" s="12"/>
      <c r="K207" s="12"/>
      <c r="L207" s="12"/>
      <c r="M207" s="12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9"/>
    </row>
    <row r="208">
      <c r="A208" s="5">
        <v>1.000058876E9</v>
      </c>
      <c r="B208" s="5" t="s">
        <v>441</v>
      </c>
      <c r="C208" s="35" t="s">
        <v>347</v>
      </c>
      <c r="D208" s="14" t="s">
        <v>45</v>
      </c>
      <c r="E208" s="5"/>
      <c r="F208" s="5" t="s">
        <v>442</v>
      </c>
      <c r="G208" s="7"/>
      <c r="H208" s="7"/>
      <c r="I208" s="7"/>
      <c r="J208" s="7"/>
      <c r="K208" s="7"/>
      <c r="L208" s="7"/>
      <c r="M208" s="7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9"/>
    </row>
    <row r="209">
      <c r="A209" s="10">
        <v>1.000058935E9</v>
      </c>
      <c r="B209" s="10" t="s">
        <v>443</v>
      </c>
      <c r="C209" s="36" t="s">
        <v>347</v>
      </c>
      <c r="D209" s="13" t="s">
        <v>45</v>
      </c>
      <c r="E209" s="10"/>
      <c r="F209" s="10" t="s">
        <v>444</v>
      </c>
      <c r="G209" s="12"/>
      <c r="H209" s="12"/>
      <c r="I209" s="12"/>
      <c r="J209" s="12"/>
      <c r="K209" s="12"/>
      <c r="L209" s="12"/>
      <c r="M209" s="12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9"/>
    </row>
    <row r="210">
      <c r="A210" s="5">
        <v>2.3201056E7</v>
      </c>
      <c r="B210" s="5" t="s">
        <v>445</v>
      </c>
      <c r="C210" s="35" t="s">
        <v>347</v>
      </c>
      <c r="D210" s="14" t="s">
        <v>95</v>
      </c>
      <c r="E210" s="5"/>
      <c r="F210" s="5" t="s">
        <v>446</v>
      </c>
      <c r="G210" s="7"/>
      <c r="H210" s="7"/>
      <c r="I210" s="7"/>
      <c r="J210" s="7"/>
      <c r="K210" s="7"/>
      <c r="L210" s="7"/>
      <c r="M210" s="7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9"/>
    </row>
    <row r="211">
      <c r="A211" s="10">
        <v>2.3341002E7</v>
      </c>
      <c r="B211" s="10" t="s">
        <v>447</v>
      </c>
      <c r="C211" s="36" t="s">
        <v>347</v>
      </c>
      <c r="D211" s="13" t="s">
        <v>95</v>
      </c>
      <c r="E211" s="10"/>
      <c r="F211" s="10" t="s">
        <v>448</v>
      </c>
      <c r="G211" s="12"/>
      <c r="H211" s="12"/>
      <c r="I211" s="12"/>
      <c r="J211" s="12"/>
      <c r="K211" s="12"/>
      <c r="L211" s="12"/>
      <c r="M211" s="12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9"/>
    </row>
    <row r="212">
      <c r="A212" s="5">
        <v>2.3301677E7</v>
      </c>
      <c r="B212" s="5" t="s">
        <v>449</v>
      </c>
      <c r="C212" s="35" t="s">
        <v>347</v>
      </c>
      <c r="D212" s="14" t="s">
        <v>95</v>
      </c>
      <c r="E212" s="5"/>
      <c r="F212" s="5" t="s">
        <v>450</v>
      </c>
      <c r="G212" s="7"/>
      <c r="H212" s="7"/>
      <c r="I212" s="7"/>
      <c r="J212" s="7"/>
      <c r="K212" s="7"/>
      <c r="L212" s="7"/>
      <c r="M212" s="7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9"/>
    </row>
    <row r="213">
      <c r="A213" s="10">
        <v>2.3301529E7</v>
      </c>
      <c r="B213" s="10" t="s">
        <v>451</v>
      </c>
      <c r="C213" s="36" t="s">
        <v>347</v>
      </c>
      <c r="D213" s="13" t="s">
        <v>95</v>
      </c>
      <c r="E213" s="10"/>
      <c r="F213" s="10" t="s">
        <v>452</v>
      </c>
      <c r="G213" s="12"/>
      <c r="H213" s="12"/>
      <c r="I213" s="12"/>
      <c r="J213" s="12"/>
      <c r="K213" s="12"/>
      <c r="L213" s="12"/>
      <c r="M213" s="12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9"/>
    </row>
    <row r="214">
      <c r="A214" s="5">
        <v>2.3301458E7</v>
      </c>
      <c r="B214" s="5" t="s">
        <v>453</v>
      </c>
      <c r="C214" s="35" t="s">
        <v>347</v>
      </c>
      <c r="D214" s="14" t="s">
        <v>95</v>
      </c>
      <c r="E214" s="5"/>
      <c r="F214" s="5" t="s">
        <v>454</v>
      </c>
      <c r="G214" s="7"/>
      <c r="H214" s="7"/>
      <c r="I214" s="7"/>
      <c r="J214" s="7"/>
      <c r="K214" s="7"/>
      <c r="L214" s="7"/>
      <c r="M214" s="7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9"/>
    </row>
    <row r="215">
      <c r="A215" s="10">
        <v>2.3301433E7</v>
      </c>
      <c r="B215" s="10" t="s">
        <v>455</v>
      </c>
      <c r="C215" s="36" t="s">
        <v>347</v>
      </c>
      <c r="D215" s="13" t="s">
        <v>95</v>
      </c>
      <c r="E215" s="10"/>
      <c r="F215" s="10" t="s">
        <v>456</v>
      </c>
      <c r="G215" s="12"/>
      <c r="H215" s="12"/>
      <c r="I215" s="12"/>
      <c r="J215" s="12"/>
      <c r="K215" s="12"/>
      <c r="L215" s="12"/>
      <c r="M215" s="12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9"/>
    </row>
    <row r="216">
      <c r="A216" s="5">
        <v>2.3301293E7</v>
      </c>
      <c r="B216" s="5" t="s">
        <v>419</v>
      </c>
      <c r="C216" s="35" t="s">
        <v>347</v>
      </c>
      <c r="D216" s="14" t="s">
        <v>95</v>
      </c>
      <c r="E216" s="5"/>
      <c r="F216" s="5" t="s">
        <v>457</v>
      </c>
      <c r="G216" s="7"/>
      <c r="H216" s="7"/>
      <c r="I216" s="7"/>
      <c r="J216" s="7"/>
      <c r="K216" s="7"/>
      <c r="L216" s="7"/>
      <c r="M216" s="7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9"/>
    </row>
    <row r="217">
      <c r="A217" s="10">
        <v>2.3301275E7</v>
      </c>
      <c r="B217" s="10" t="s">
        <v>458</v>
      </c>
      <c r="C217" s="36" t="s">
        <v>347</v>
      </c>
      <c r="D217" s="13" t="s">
        <v>95</v>
      </c>
      <c r="E217" s="10"/>
      <c r="F217" s="10" t="s">
        <v>459</v>
      </c>
      <c r="G217" s="12"/>
      <c r="H217" s="12"/>
      <c r="I217" s="12"/>
      <c r="J217" s="12"/>
      <c r="K217" s="12"/>
      <c r="L217" s="12"/>
      <c r="M217" s="12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9"/>
    </row>
    <row r="218">
      <c r="A218" s="5">
        <v>2.3301219E7</v>
      </c>
      <c r="B218" s="5" t="s">
        <v>460</v>
      </c>
      <c r="C218" s="35" t="s">
        <v>347</v>
      </c>
      <c r="D218" s="14" t="s">
        <v>95</v>
      </c>
      <c r="E218" s="5"/>
      <c r="F218" s="5" t="s">
        <v>461</v>
      </c>
      <c r="G218" s="7"/>
      <c r="H218" s="7"/>
      <c r="I218" s="7"/>
      <c r="J218" s="7"/>
      <c r="K218" s="7"/>
      <c r="L218" s="7"/>
      <c r="M218" s="7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9"/>
    </row>
    <row r="219">
      <c r="A219" s="10">
        <v>2.3301206E7</v>
      </c>
      <c r="B219" s="10" t="s">
        <v>462</v>
      </c>
      <c r="C219" s="36" t="s">
        <v>347</v>
      </c>
      <c r="D219" s="13" t="s">
        <v>95</v>
      </c>
      <c r="E219" s="10"/>
      <c r="F219" s="10" t="s">
        <v>463</v>
      </c>
      <c r="G219" s="12"/>
      <c r="H219" s="12"/>
      <c r="I219" s="12"/>
      <c r="J219" s="12"/>
      <c r="K219" s="12"/>
      <c r="L219" s="12"/>
      <c r="M219" s="12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9"/>
    </row>
    <row r="220">
      <c r="A220" s="5">
        <v>2.3301112E7</v>
      </c>
      <c r="B220" s="5" t="s">
        <v>464</v>
      </c>
      <c r="C220" s="35" t="s">
        <v>347</v>
      </c>
      <c r="D220" s="14" t="s">
        <v>95</v>
      </c>
      <c r="E220" s="5"/>
      <c r="F220" s="5" t="s">
        <v>465</v>
      </c>
      <c r="G220" s="7"/>
      <c r="H220" s="7"/>
      <c r="I220" s="7"/>
      <c r="J220" s="7"/>
      <c r="K220" s="7"/>
      <c r="L220" s="7"/>
      <c r="M220" s="7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9"/>
    </row>
    <row r="221">
      <c r="A221" s="10">
        <v>2.3301103E7</v>
      </c>
      <c r="B221" s="10" t="s">
        <v>466</v>
      </c>
      <c r="C221" s="36" t="s">
        <v>347</v>
      </c>
      <c r="D221" s="13" t="s">
        <v>95</v>
      </c>
      <c r="E221" s="10"/>
      <c r="F221" s="10" t="s">
        <v>467</v>
      </c>
      <c r="G221" s="12"/>
      <c r="H221" s="12"/>
      <c r="I221" s="12"/>
      <c r="J221" s="12"/>
      <c r="K221" s="12"/>
      <c r="L221" s="12"/>
      <c r="M221" s="12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9"/>
    </row>
    <row r="222">
      <c r="A222" s="5">
        <v>2.3301092E7</v>
      </c>
      <c r="B222" s="5" t="s">
        <v>468</v>
      </c>
      <c r="C222" s="35" t="s">
        <v>347</v>
      </c>
      <c r="D222" s="14" t="s">
        <v>95</v>
      </c>
      <c r="E222" s="5"/>
      <c r="F222" s="5" t="s">
        <v>469</v>
      </c>
      <c r="G222" s="7"/>
      <c r="H222" s="7"/>
      <c r="I222" s="7"/>
      <c r="J222" s="7"/>
      <c r="K222" s="7"/>
      <c r="L222" s="7"/>
      <c r="M222" s="7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9"/>
    </row>
    <row r="223">
      <c r="A223" s="10">
        <v>2.3301077E7</v>
      </c>
      <c r="B223" s="10" t="s">
        <v>470</v>
      </c>
      <c r="C223" s="36" t="s">
        <v>347</v>
      </c>
      <c r="D223" s="13" t="s">
        <v>95</v>
      </c>
      <c r="E223" s="10"/>
      <c r="F223" s="10" t="s">
        <v>471</v>
      </c>
      <c r="G223" s="12"/>
      <c r="H223" s="12"/>
      <c r="I223" s="12"/>
      <c r="J223" s="12"/>
      <c r="K223" s="12"/>
      <c r="L223" s="12"/>
      <c r="M223" s="12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9"/>
    </row>
    <row r="224">
      <c r="A224" s="5">
        <v>2.330101E7</v>
      </c>
      <c r="B224" s="5" t="s">
        <v>472</v>
      </c>
      <c r="C224" s="35" t="s">
        <v>347</v>
      </c>
      <c r="D224" s="14" t="s">
        <v>95</v>
      </c>
      <c r="E224" s="5"/>
      <c r="F224" s="5" t="s">
        <v>473</v>
      </c>
      <c r="G224" s="7"/>
      <c r="H224" s="7"/>
      <c r="I224" s="7"/>
      <c r="J224" s="7"/>
      <c r="K224" s="7"/>
      <c r="L224" s="7"/>
      <c r="M224" s="7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9"/>
    </row>
    <row r="225">
      <c r="A225" s="10">
        <v>2.3241009E7</v>
      </c>
      <c r="B225" s="10" t="s">
        <v>474</v>
      </c>
      <c r="C225" s="36" t="s">
        <v>347</v>
      </c>
      <c r="D225" s="13" t="s">
        <v>95</v>
      </c>
      <c r="E225" s="10"/>
      <c r="F225" s="10" t="s">
        <v>475</v>
      </c>
      <c r="G225" s="12"/>
      <c r="H225" s="12"/>
      <c r="I225" s="12"/>
      <c r="J225" s="12"/>
      <c r="K225" s="12"/>
      <c r="L225" s="12"/>
      <c r="M225" s="12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9"/>
    </row>
    <row r="226">
      <c r="A226" s="5">
        <v>2.3201624E7</v>
      </c>
      <c r="B226" s="5" t="s">
        <v>476</v>
      </c>
      <c r="C226" s="35" t="s">
        <v>347</v>
      </c>
      <c r="D226" s="14" t="s">
        <v>95</v>
      </c>
      <c r="E226" s="5"/>
      <c r="F226" s="5" t="s">
        <v>477</v>
      </c>
      <c r="G226" s="7"/>
      <c r="H226" s="7"/>
      <c r="I226" s="7"/>
      <c r="J226" s="7"/>
      <c r="K226" s="7"/>
      <c r="L226" s="7"/>
      <c r="M226" s="7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9"/>
    </row>
    <row r="227">
      <c r="A227" s="10">
        <v>2.3201457E7</v>
      </c>
      <c r="B227" s="10" t="s">
        <v>478</v>
      </c>
      <c r="C227" s="36" t="s">
        <v>347</v>
      </c>
      <c r="D227" s="13" t="s">
        <v>95</v>
      </c>
      <c r="E227" s="10"/>
      <c r="F227" s="10" t="s">
        <v>479</v>
      </c>
      <c r="G227" s="12"/>
      <c r="H227" s="12"/>
      <c r="I227" s="12"/>
      <c r="J227" s="12"/>
      <c r="K227" s="12"/>
      <c r="L227" s="12"/>
      <c r="M227" s="12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9"/>
    </row>
    <row r="228">
      <c r="A228" s="5">
        <v>2.3201415E7</v>
      </c>
      <c r="B228" s="5" t="s">
        <v>480</v>
      </c>
      <c r="C228" s="35" t="s">
        <v>347</v>
      </c>
      <c r="D228" s="14" t="s">
        <v>95</v>
      </c>
      <c r="E228" s="5"/>
      <c r="F228" s="5" t="s">
        <v>481</v>
      </c>
      <c r="G228" s="7"/>
      <c r="H228" s="7"/>
      <c r="I228" s="7"/>
      <c r="J228" s="7"/>
      <c r="K228" s="7"/>
      <c r="L228" s="7"/>
      <c r="M228" s="7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9"/>
    </row>
    <row r="229">
      <c r="A229" s="10">
        <v>2.3201407E7</v>
      </c>
      <c r="B229" s="10" t="s">
        <v>482</v>
      </c>
      <c r="C229" s="36" t="s">
        <v>347</v>
      </c>
      <c r="D229" s="13" t="s">
        <v>95</v>
      </c>
      <c r="E229" s="10"/>
      <c r="F229" s="10" t="s">
        <v>483</v>
      </c>
      <c r="G229" s="12"/>
      <c r="H229" s="12"/>
      <c r="I229" s="12"/>
      <c r="J229" s="12"/>
      <c r="K229" s="12"/>
      <c r="L229" s="12"/>
      <c r="M229" s="12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9"/>
    </row>
    <row r="230">
      <c r="A230" s="5">
        <v>2.3201382E7</v>
      </c>
      <c r="B230" s="5" t="s">
        <v>484</v>
      </c>
      <c r="C230" s="35" t="s">
        <v>347</v>
      </c>
      <c r="D230" s="14" t="s">
        <v>95</v>
      </c>
      <c r="E230" s="5"/>
      <c r="F230" s="5" t="s">
        <v>485</v>
      </c>
      <c r="G230" s="7"/>
      <c r="H230" s="7"/>
      <c r="I230" s="7"/>
      <c r="J230" s="7"/>
      <c r="K230" s="7"/>
      <c r="L230" s="7"/>
      <c r="M230" s="7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9"/>
    </row>
    <row r="231">
      <c r="A231" s="10">
        <v>2.3201335E7</v>
      </c>
      <c r="B231" s="10" t="s">
        <v>486</v>
      </c>
      <c r="C231" s="36" t="s">
        <v>347</v>
      </c>
      <c r="D231" s="13" t="s">
        <v>95</v>
      </c>
      <c r="E231" s="10"/>
      <c r="F231" s="10" t="s">
        <v>487</v>
      </c>
      <c r="G231" s="12"/>
      <c r="H231" s="12"/>
      <c r="I231" s="12"/>
      <c r="J231" s="12"/>
      <c r="K231" s="12"/>
      <c r="L231" s="12"/>
      <c r="M231" s="12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9"/>
    </row>
    <row r="232">
      <c r="A232" s="5">
        <v>2.3201319E7</v>
      </c>
      <c r="B232" s="5" t="s">
        <v>488</v>
      </c>
      <c r="C232" s="35" t="s">
        <v>347</v>
      </c>
      <c r="D232" s="14" t="s">
        <v>95</v>
      </c>
      <c r="E232" s="5"/>
      <c r="F232" s="5" t="s">
        <v>489</v>
      </c>
      <c r="G232" s="7"/>
      <c r="H232" s="7"/>
      <c r="I232" s="7"/>
      <c r="J232" s="7"/>
      <c r="K232" s="7"/>
      <c r="L232" s="7"/>
      <c r="M232" s="7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9"/>
    </row>
    <row r="233">
      <c r="A233" s="10">
        <v>2.3201297E7</v>
      </c>
      <c r="B233" s="10" t="s">
        <v>490</v>
      </c>
      <c r="C233" s="36" t="s">
        <v>347</v>
      </c>
      <c r="D233" s="13" t="s">
        <v>95</v>
      </c>
      <c r="E233" s="10"/>
      <c r="F233" s="10" t="s">
        <v>491</v>
      </c>
      <c r="G233" s="12"/>
      <c r="H233" s="12"/>
      <c r="I233" s="12"/>
      <c r="J233" s="12"/>
      <c r="K233" s="12"/>
      <c r="L233" s="12"/>
      <c r="M233" s="12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9"/>
    </row>
    <row r="234">
      <c r="A234" s="5">
        <v>2.3201259E7</v>
      </c>
      <c r="B234" s="5" t="s">
        <v>492</v>
      </c>
      <c r="C234" s="35" t="s">
        <v>347</v>
      </c>
      <c r="D234" s="14" t="s">
        <v>95</v>
      </c>
      <c r="E234" s="5"/>
      <c r="F234" s="5" t="s">
        <v>493</v>
      </c>
      <c r="G234" s="7"/>
      <c r="H234" s="7"/>
      <c r="I234" s="7"/>
      <c r="J234" s="7"/>
      <c r="K234" s="7"/>
      <c r="L234" s="7"/>
      <c r="M234" s="7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9"/>
    </row>
    <row r="235">
      <c r="A235" s="10">
        <v>2.3201224E7</v>
      </c>
      <c r="B235" s="10" t="s">
        <v>494</v>
      </c>
      <c r="C235" s="36" t="s">
        <v>347</v>
      </c>
      <c r="D235" s="13" t="s">
        <v>95</v>
      </c>
      <c r="E235" s="10"/>
      <c r="F235" s="10" t="s">
        <v>495</v>
      </c>
      <c r="G235" s="12"/>
      <c r="H235" s="12"/>
      <c r="I235" s="12"/>
      <c r="J235" s="12"/>
      <c r="K235" s="12"/>
      <c r="L235" s="12"/>
      <c r="M235" s="12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9"/>
    </row>
    <row r="236">
      <c r="A236" s="5">
        <v>2.3201189E7</v>
      </c>
      <c r="B236" s="5" t="s">
        <v>496</v>
      </c>
      <c r="C236" s="35" t="s">
        <v>347</v>
      </c>
      <c r="D236" s="14" t="s">
        <v>95</v>
      </c>
      <c r="E236" s="5"/>
      <c r="F236" s="5" t="s">
        <v>497</v>
      </c>
      <c r="G236" s="7"/>
      <c r="H236" s="7"/>
      <c r="I236" s="7"/>
      <c r="J236" s="7"/>
      <c r="K236" s="7"/>
      <c r="L236" s="7"/>
      <c r="M236" s="7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9"/>
    </row>
    <row r="237">
      <c r="A237" s="10">
        <v>2.3201174E7</v>
      </c>
      <c r="B237" s="10" t="s">
        <v>498</v>
      </c>
      <c r="C237" s="36" t="s">
        <v>347</v>
      </c>
      <c r="D237" s="13" t="s">
        <v>95</v>
      </c>
      <c r="E237" s="10"/>
      <c r="F237" s="10" t="s">
        <v>499</v>
      </c>
      <c r="G237" s="12"/>
      <c r="H237" s="12"/>
      <c r="I237" s="12"/>
      <c r="J237" s="12"/>
      <c r="K237" s="12"/>
      <c r="L237" s="12"/>
      <c r="M237" s="12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9"/>
    </row>
    <row r="238">
      <c r="A238" s="5">
        <v>2.320117E7</v>
      </c>
      <c r="B238" s="5" t="s">
        <v>500</v>
      </c>
      <c r="C238" s="35" t="s">
        <v>347</v>
      </c>
      <c r="D238" s="14" t="s">
        <v>95</v>
      </c>
      <c r="E238" s="5"/>
      <c r="F238" s="5" t="s">
        <v>501</v>
      </c>
      <c r="G238" s="7"/>
      <c r="H238" s="7"/>
      <c r="I238" s="7"/>
      <c r="J238" s="7"/>
      <c r="K238" s="7"/>
      <c r="L238" s="7"/>
      <c r="M238" s="7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9"/>
    </row>
    <row r="239">
      <c r="A239" s="10">
        <v>2.3201144E7</v>
      </c>
      <c r="B239" s="10" t="s">
        <v>502</v>
      </c>
      <c r="C239" s="36" t="s">
        <v>347</v>
      </c>
      <c r="D239" s="13" t="s">
        <v>95</v>
      </c>
      <c r="E239" s="10"/>
      <c r="F239" s="10" t="s">
        <v>503</v>
      </c>
      <c r="G239" s="12"/>
      <c r="H239" s="12"/>
      <c r="I239" s="12"/>
      <c r="J239" s="12"/>
      <c r="K239" s="12"/>
      <c r="L239" s="12"/>
      <c r="M239" s="12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9"/>
    </row>
    <row r="240">
      <c r="A240" s="5">
        <v>2.32011E7</v>
      </c>
      <c r="B240" s="5" t="s">
        <v>504</v>
      </c>
      <c r="C240" s="35" t="s">
        <v>347</v>
      </c>
      <c r="D240" s="14" t="s">
        <v>95</v>
      </c>
      <c r="E240" s="5"/>
      <c r="F240" s="5" t="s">
        <v>505</v>
      </c>
      <c r="G240" s="7"/>
      <c r="H240" s="7"/>
      <c r="I240" s="7"/>
      <c r="J240" s="7"/>
      <c r="K240" s="7"/>
      <c r="L240" s="7"/>
      <c r="M240" s="7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9"/>
    </row>
    <row r="241">
      <c r="A241" s="10">
        <v>2.3201091E7</v>
      </c>
      <c r="B241" s="10" t="s">
        <v>506</v>
      </c>
      <c r="C241" s="36" t="s">
        <v>347</v>
      </c>
      <c r="D241" s="13" t="s">
        <v>95</v>
      </c>
      <c r="E241" s="10"/>
      <c r="F241" s="10" t="s">
        <v>507</v>
      </c>
      <c r="G241" s="12"/>
      <c r="H241" s="12"/>
      <c r="I241" s="12"/>
      <c r="J241" s="12"/>
      <c r="K241" s="12"/>
      <c r="L241" s="12"/>
      <c r="M241" s="12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9"/>
    </row>
    <row r="242">
      <c r="A242" s="5">
        <v>2.3201043E7</v>
      </c>
      <c r="B242" s="5" t="s">
        <v>508</v>
      </c>
      <c r="C242" s="35" t="s">
        <v>347</v>
      </c>
      <c r="D242" s="14" t="s">
        <v>95</v>
      </c>
      <c r="E242" s="5"/>
      <c r="F242" s="5" t="s">
        <v>509</v>
      </c>
      <c r="G242" s="7"/>
      <c r="H242" s="7"/>
      <c r="I242" s="7"/>
      <c r="J242" s="7"/>
      <c r="K242" s="7"/>
      <c r="L242" s="7"/>
      <c r="M242" s="7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9"/>
    </row>
    <row r="243">
      <c r="A243" s="10">
        <v>2.3201032E7</v>
      </c>
      <c r="B243" s="10" t="s">
        <v>510</v>
      </c>
      <c r="C243" s="36" t="s">
        <v>347</v>
      </c>
      <c r="D243" s="13" t="s">
        <v>95</v>
      </c>
      <c r="E243" s="10"/>
      <c r="F243" s="10" t="s">
        <v>511</v>
      </c>
      <c r="G243" s="12"/>
      <c r="H243" s="12"/>
      <c r="I243" s="12"/>
      <c r="J243" s="12"/>
      <c r="K243" s="12"/>
      <c r="L243" s="12"/>
      <c r="M243" s="12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9"/>
    </row>
    <row r="244">
      <c r="A244" s="5">
        <v>2.3201029E7</v>
      </c>
      <c r="B244" s="5" t="s">
        <v>512</v>
      </c>
      <c r="C244" s="35" t="s">
        <v>347</v>
      </c>
      <c r="D244" s="14" t="s">
        <v>95</v>
      </c>
      <c r="E244" s="5"/>
      <c r="F244" s="5" t="s">
        <v>513</v>
      </c>
      <c r="G244" s="7"/>
      <c r="H244" s="7"/>
      <c r="I244" s="7"/>
      <c r="J244" s="7"/>
      <c r="K244" s="7"/>
      <c r="L244" s="7"/>
      <c r="M244" s="7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9"/>
    </row>
    <row r="245">
      <c r="A245" s="10">
        <v>2.3201024E7</v>
      </c>
      <c r="B245" s="10" t="s">
        <v>514</v>
      </c>
      <c r="C245" s="36" t="s">
        <v>347</v>
      </c>
      <c r="D245" s="13" t="s">
        <v>95</v>
      </c>
      <c r="E245" s="10"/>
      <c r="F245" s="10" t="s">
        <v>515</v>
      </c>
      <c r="G245" s="12"/>
      <c r="H245" s="12"/>
      <c r="I245" s="12"/>
      <c r="J245" s="12"/>
      <c r="K245" s="12"/>
      <c r="L245" s="12"/>
      <c r="M245" s="12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9"/>
    </row>
    <row r="246">
      <c r="A246" s="5">
        <v>2.3201012E7</v>
      </c>
      <c r="B246" s="5" t="s">
        <v>516</v>
      </c>
      <c r="C246" s="35" t="s">
        <v>347</v>
      </c>
      <c r="D246" s="14" t="s">
        <v>95</v>
      </c>
      <c r="E246" s="5"/>
      <c r="F246" s="5" t="s">
        <v>517</v>
      </c>
      <c r="G246" s="7"/>
      <c r="H246" s="7"/>
      <c r="I246" s="7"/>
      <c r="J246" s="7"/>
      <c r="K246" s="7"/>
      <c r="L246" s="7"/>
      <c r="M246" s="7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9"/>
    </row>
    <row r="247">
      <c r="A247" s="10">
        <v>2.3141023E7</v>
      </c>
      <c r="B247" s="10" t="s">
        <v>518</v>
      </c>
      <c r="C247" s="36" t="s">
        <v>347</v>
      </c>
      <c r="D247" s="13" t="s">
        <v>95</v>
      </c>
      <c r="E247" s="10"/>
      <c r="F247" s="10" t="s">
        <v>519</v>
      </c>
      <c r="G247" s="12"/>
      <c r="H247" s="12"/>
      <c r="I247" s="12"/>
      <c r="J247" s="12"/>
      <c r="K247" s="12"/>
      <c r="L247" s="12"/>
      <c r="M247" s="12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9"/>
    </row>
    <row r="248">
      <c r="A248" s="5">
        <v>2.3101514E7</v>
      </c>
      <c r="B248" s="5" t="s">
        <v>520</v>
      </c>
      <c r="C248" s="35" t="s">
        <v>347</v>
      </c>
      <c r="D248" s="14" t="s">
        <v>95</v>
      </c>
      <c r="E248" s="5"/>
      <c r="F248" s="5" t="s">
        <v>521</v>
      </c>
      <c r="G248" s="7"/>
      <c r="H248" s="7"/>
      <c r="I248" s="7"/>
      <c r="J248" s="7"/>
      <c r="K248" s="7"/>
      <c r="L248" s="7"/>
      <c r="M248" s="7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9"/>
    </row>
    <row r="249">
      <c r="A249" s="10">
        <v>2.3101406E7</v>
      </c>
      <c r="B249" s="10" t="s">
        <v>522</v>
      </c>
      <c r="C249" s="36" t="s">
        <v>347</v>
      </c>
      <c r="D249" s="13" t="s">
        <v>95</v>
      </c>
      <c r="E249" s="10"/>
      <c r="F249" s="10" t="s">
        <v>523</v>
      </c>
      <c r="G249" s="12"/>
      <c r="H249" s="12"/>
      <c r="I249" s="12"/>
      <c r="J249" s="12"/>
      <c r="K249" s="12"/>
      <c r="L249" s="12"/>
      <c r="M249" s="12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9"/>
    </row>
    <row r="250">
      <c r="A250" s="5">
        <v>2.3101377E7</v>
      </c>
      <c r="B250" s="5" t="s">
        <v>524</v>
      </c>
      <c r="C250" s="35" t="s">
        <v>347</v>
      </c>
      <c r="D250" s="14" t="s">
        <v>95</v>
      </c>
      <c r="E250" s="5"/>
      <c r="F250" s="5" t="s">
        <v>525</v>
      </c>
      <c r="G250" s="7"/>
      <c r="H250" s="7"/>
      <c r="I250" s="7"/>
      <c r="J250" s="7"/>
      <c r="K250" s="7"/>
      <c r="L250" s="7"/>
      <c r="M250" s="7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9"/>
    </row>
    <row r="251">
      <c r="A251" s="10">
        <v>2.3101362E7</v>
      </c>
      <c r="B251" s="10" t="s">
        <v>526</v>
      </c>
      <c r="C251" s="36" t="s">
        <v>347</v>
      </c>
      <c r="D251" s="13" t="s">
        <v>95</v>
      </c>
      <c r="E251" s="10"/>
      <c r="F251" s="10" t="s">
        <v>527</v>
      </c>
      <c r="G251" s="12"/>
      <c r="H251" s="12"/>
      <c r="I251" s="12"/>
      <c r="J251" s="12"/>
      <c r="K251" s="12"/>
      <c r="L251" s="12"/>
      <c r="M251" s="12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9"/>
    </row>
    <row r="252">
      <c r="A252" s="5">
        <v>2.3101304E7</v>
      </c>
      <c r="B252" s="5" t="s">
        <v>528</v>
      </c>
      <c r="C252" s="35" t="s">
        <v>347</v>
      </c>
      <c r="D252" s="14" t="s">
        <v>95</v>
      </c>
      <c r="E252" s="5"/>
      <c r="F252" s="5" t="s">
        <v>529</v>
      </c>
      <c r="G252" s="7"/>
      <c r="H252" s="7"/>
      <c r="I252" s="7"/>
      <c r="J252" s="7"/>
      <c r="K252" s="7"/>
      <c r="L252" s="7"/>
      <c r="M252" s="7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9"/>
    </row>
    <row r="253">
      <c r="A253" s="10">
        <v>2.3101301E7</v>
      </c>
      <c r="B253" s="10" t="s">
        <v>530</v>
      </c>
      <c r="C253" s="36" t="s">
        <v>347</v>
      </c>
      <c r="D253" s="13" t="s">
        <v>95</v>
      </c>
      <c r="E253" s="10"/>
      <c r="F253" s="10" t="s">
        <v>531</v>
      </c>
      <c r="G253" s="12"/>
      <c r="H253" s="12"/>
      <c r="I253" s="12"/>
      <c r="J253" s="12"/>
      <c r="K253" s="12"/>
      <c r="L253" s="12"/>
      <c r="M253" s="12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9"/>
    </row>
    <row r="254">
      <c r="A254" s="5">
        <v>2.3101218E7</v>
      </c>
      <c r="B254" s="5" t="s">
        <v>532</v>
      </c>
      <c r="C254" s="35" t="s">
        <v>347</v>
      </c>
      <c r="D254" s="14" t="s">
        <v>95</v>
      </c>
      <c r="E254" s="5"/>
      <c r="F254" s="5" t="s">
        <v>533</v>
      </c>
      <c r="G254" s="7"/>
      <c r="H254" s="7"/>
      <c r="I254" s="7"/>
      <c r="J254" s="7"/>
      <c r="K254" s="7"/>
      <c r="L254" s="7"/>
      <c r="M254" s="7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9"/>
    </row>
    <row r="255">
      <c r="A255" s="10">
        <v>2.3101145E7</v>
      </c>
      <c r="B255" s="10" t="s">
        <v>534</v>
      </c>
      <c r="C255" s="36" t="s">
        <v>347</v>
      </c>
      <c r="D255" s="13" t="s">
        <v>95</v>
      </c>
      <c r="E255" s="10"/>
      <c r="F255" s="10" t="s">
        <v>535</v>
      </c>
      <c r="G255" s="12"/>
      <c r="H255" s="12"/>
      <c r="I255" s="12"/>
      <c r="J255" s="12"/>
      <c r="K255" s="12"/>
      <c r="L255" s="12"/>
      <c r="M255" s="12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9"/>
    </row>
    <row r="256">
      <c r="A256" s="5">
        <v>2.3101125E7</v>
      </c>
      <c r="B256" s="5" t="s">
        <v>536</v>
      </c>
      <c r="C256" s="35" t="s">
        <v>347</v>
      </c>
      <c r="D256" s="14" t="s">
        <v>95</v>
      </c>
      <c r="E256" s="5"/>
      <c r="F256" s="5" t="s">
        <v>537</v>
      </c>
      <c r="G256" s="7"/>
      <c r="H256" s="7"/>
      <c r="I256" s="7"/>
      <c r="J256" s="7"/>
      <c r="K256" s="7"/>
      <c r="L256" s="7"/>
      <c r="M256" s="7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9"/>
    </row>
    <row r="257">
      <c r="A257" s="10">
        <v>2.3101079E7</v>
      </c>
      <c r="B257" s="10" t="s">
        <v>538</v>
      </c>
      <c r="C257" s="36" t="s">
        <v>347</v>
      </c>
      <c r="D257" s="13" t="s">
        <v>95</v>
      </c>
      <c r="E257" s="10"/>
      <c r="F257" s="10" t="s">
        <v>539</v>
      </c>
      <c r="G257" s="12"/>
      <c r="H257" s="12"/>
      <c r="I257" s="12"/>
      <c r="J257" s="12"/>
      <c r="K257" s="12"/>
      <c r="L257" s="12"/>
      <c r="M257" s="12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9"/>
    </row>
    <row r="258">
      <c r="A258" s="5">
        <v>2.3101005E7</v>
      </c>
      <c r="B258" s="5" t="s">
        <v>540</v>
      </c>
      <c r="C258" s="35" t="s">
        <v>347</v>
      </c>
      <c r="D258" s="14" t="s">
        <v>95</v>
      </c>
      <c r="E258" s="5"/>
      <c r="F258" s="5" t="s">
        <v>541</v>
      </c>
      <c r="G258" s="7"/>
      <c r="H258" s="7"/>
      <c r="I258" s="7"/>
      <c r="J258" s="7"/>
      <c r="K258" s="7"/>
      <c r="L258" s="7"/>
      <c r="M258" s="7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9"/>
    </row>
    <row r="259">
      <c r="A259" s="10">
        <v>2.2341022E7</v>
      </c>
      <c r="B259" s="10" t="s">
        <v>542</v>
      </c>
      <c r="C259" s="36" t="s">
        <v>347</v>
      </c>
      <c r="D259" s="13" t="s">
        <v>95</v>
      </c>
      <c r="E259" s="10"/>
      <c r="F259" s="10" t="s">
        <v>543</v>
      </c>
      <c r="G259" s="12"/>
      <c r="H259" s="12"/>
      <c r="I259" s="12"/>
      <c r="J259" s="12"/>
      <c r="K259" s="12"/>
      <c r="L259" s="12"/>
      <c r="M259" s="12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9"/>
    </row>
    <row r="260">
      <c r="A260" s="5">
        <v>2.2341011E7</v>
      </c>
      <c r="B260" s="5" t="s">
        <v>544</v>
      </c>
      <c r="C260" s="35" t="s">
        <v>347</v>
      </c>
      <c r="D260" s="14" t="s">
        <v>95</v>
      </c>
      <c r="E260" s="5"/>
      <c r="F260" s="5" t="s">
        <v>545</v>
      </c>
      <c r="G260" s="7"/>
      <c r="H260" s="7"/>
      <c r="I260" s="7"/>
      <c r="J260" s="7"/>
      <c r="K260" s="7"/>
      <c r="L260" s="7"/>
      <c r="M260" s="7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9"/>
    </row>
    <row r="261">
      <c r="A261" s="10">
        <v>2.2301734E7</v>
      </c>
      <c r="B261" s="10" t="s">
        <v>546</v>
      </c>
      <c r="C261" s="36" t="s">
        <v>347</v>
      </c>
      <c r="D261" s="13" t="s">
        <v>95</v>
      </c>
      <c r="E261" s="10"/>
      <c r="F261" s="10" t="s">
        <v>547</v>
      </c>
      <c r="G261" s="12"/>
      <c r="H261" s="12"/>
      <c r="I261" s="12"/>
      <c r="J261" s="12"/>
      <c r="K261" s="12"/>
      <c r="L261" s="12"/>
      <c r="M261" s="12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9"/>
    </row>
    <row r="262">
      <c r="A262" s="5">
        <v>2.2301674E7</v>
      </c>
      <c r="B262" s="5" t="s">
        <v>548</v>
      </c>
      <c r="C262" s="35" t="s">
        <v>347</v>
      </c>
      <c r="D262" s="14" t="s">
        <v>95</v>
      </c>
      <c r="E262" s="5"/>
      <c r="F262" s="5" t="s">
        <v>549</v>
      </c>
      <c r="G262" s="7"/>
      <c r="H262" s="7"/>
      <c r="I262" s="7"/>
      <c r="J262" s="7"/>
      <c r="K262" s="7"/>
      <c r="L262" s="7"/>
      <c r="M262" s="7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9"/>
    </row>
    <row r="263">
      <c r="A263" s="10">
        <v>2.2301637E7</v>
      </c>
      <c r="B263" s="10" t="s">
        <v>550</v>
      </c>
      <c r="C263" s="36" t="s">
        <v>347</v>
      </c>
      <c r="D263" s="13" t="s">
        <v>95</v>
      </c>
      <c r="E263" s="10"/>
      <c r="F263" s="10" t="s">
        <v>551</v>
      </c>
      <c r="G263" s="12"/>
      <c r="H263" s="12"/>
      <c r="I263" s="12"/>
      <c r="J263" s="12"/>
      <c r="K263" s="12"/>
      <c r="L263" s="12"/>
      <c r="M263" s="12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9"/>
    </row>
    <row r="264">
      <c r="A264" s="5">
        <v>2.2301439E7</v>
      </c>
      <c r="B264" s="5" t="s">
        <v>552</v>
      </c>
      <c r="C264" s="35" t="s">
        <v>347</v>
      </c>
      <c r="D264" s="14" t="s">
        <v>95</v>
      </c>
      <c r="E264" s="5"/>
      <c r="F264" s="5" t="s">
        <v>553</v>
      </c>
      <c r="G264" s="7"/>
      <c r="H264" s="7"/>
      <c r="I264" s="7"/>
      <c r="J264" s="7"/>
      <c r="K264" s="7"/>
      <c r="L264" s="7"/>
      <c r="M264" s="7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9"/>
    </row>
    <row r="265">
      <c r="A265" s="10">
        <v>2.2301396E7</v>
      </c>
      <c r="B265" s="10" t="s">
        <v>554</v>
      </c>
      <c r="C265" s="36" t="s">
        <v>347</v>
      </c>
      <c r="D265" s="13" t="s">
        <v>95</v>
      </c>
      <c r="E265" s="10"/>
      <c r="F265" s="10" t="s">
        <v>555</v>
      </c>
      <c r="G265" s="12"/>
      <c r="H265" s="12"/>
      <c r="I265" s="12"/>
      <c r="J265" s="12"/>
      <c r="K265" s="12"/>
      <c r="L265" s="12"/>
      <c r="M265" s="12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9"/>
    </row>
    <row r="266">
      <c r="A266" s="5">
        <v>2.2301324E7</v>
      </c>
      <c r="B266" s="5" t="s">
        <v>556</v>
      </c>
      <c r="C266" s="35" t="s">
        <v>347</v>
      </c>
      <c r="D266" s="14" t="s">
        <v>95</v>
      </c>
      <c r="E266" s="5"/>
      <c r="F266" s="5" t="s">
        <v>557</v>
      </c>
      <c r="G266" s="7"/>
      <c r="H266" s="7"/>
      <c r="I266" s="7"/>
      <c r="J266" s="7"/>
      <c r="K266" s="7"/>
      <c r="L266" s="7"/>
      <c r="M266" s="7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9"/>
    </row>
    <row r="267">
      <c r="A267" s="10">
        <v>2.2301317E7</v>
      </c>
      <c r="B267" s="10" t="s">
        <v>558</v>
      </c>
      <c r="C267" s="36" t="s">
        <v>347</v>
      </c>
      <c r="D267" s="13" t="s">
        <v>95</v>
      </c>
      <c r="E267" s="10"/>
      <c r="F267" s="10" t="s">
        <v>559</v>
      </c>
      <c r="G267" s="12"/>
      <c r="H267" s="12"/>
      <c r="I267" s="12"/>
      <c r="J267" s="12"/>
      <c r="K267" s="12"/>
      <c r="L267" s="12"/>
      <c r="M267" s="12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9"/>
    </row>
    <row r="268">
      <c r="A268" s="5">
        <v>2.2301286E7</v>
      </c>
      <c r="B268" s="5" t="s">
        <v>560</v>
      </c>
      <c r="C268" s="35" t="s">
        <v>347</v>
      </c>
      <c r="D268" s="14" t="s">
        <v>95</v>
      </c>
      <c r="E268" s="5"/>
      <c r="F268" s="5" t="s">
        <v>561</v>
      </c>
      <c r="G268" s="7"/>
      <c r="H268" s="7"/>
      <c r="I268" s="7"/>
      <c r="J268" s="7"/>
      <c r="K268" s="7"/>
      <c r="L268" s="7"/>
      <c r="M268" s="7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9"/>
    </row>
    <row r="269">
      <c r="A269" s="10">
        <v>2.2301199E7</v>
      </c>
      <c r="B269" s="10" t="s">
        <v>562</v>
      </c>
      <c r="C269" s="36" t="s">
        <v>347</v>
      </c>
      <c r="D269" s="13" t="s">
        <v>95</v>
      </c>
      <c r="E269" s="10"/>
      <c r="F269" s="10" t="s">
        <v>563</v>
      </c>
      <c r="G269" s="12"/>
      <c r="H269" s="12"/>
      <c r="I269" s="12"/>
      <c r="J269" s="12"/>
      <c r="K269" s="12"/>
      <c r="L269" s="12"/>
      <c r="M269" s="12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9"/>
    </row>
    <row r="270">
      <c r="A270" s="5">
        <v>2.2301182E7</v>
      </c>
      <c r="B270" s="5" t="s">
        <v>564</v>
      </c>
      <c r="C270" s="35" t="s">
        <v>347</v>
      </c>
      <c r="D270" s="14" t="s">
        <v>95</v>
      </c>
      <c r="E270" s="5"/>
      <c r="F270" s="5" t="s">
        <v>565</v>
      </c>
      <c r="G270" s="7"/>
      <c r="H270" s="7"/>
      <c r="I270" s="7"/>
      <c r="J270" s="7"/>
      <c r="K270" s="7"/>
      <c r="L270" s="7"/>
      <c r="M270" s="7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9"/>
    </row>
    <row r="271">
      <c r="A271" s="10">
        <v>2.2301056E7</v>
      </c>
      <c r="B271" s="10" t="s">
        <v>566</v>
      </c>
      <c r="C271" s="36" t="s">
        <v>347</v>
      </c>
      <c r="D271" s="13" t="s">
        <v>95</v>
      </c>
      <c r="E271" s="10"/>
      <c r="F271" s="10" t="s">
        <v>567</v>
      </c>
      <c r="G271" s="12"/>
      <c r="H271" s="12"/>
      <c r="I271" s="12"/>
      <c r="J271" s="12"/>
      <c r="K271" s="12"/>
      <c r="L271" s="12"/>
      <c r="M271" s="12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9"/>
    </row>
    <row r="272">
      <c r="A272" s="5">
        <v>2.2301001E7</v>
      </c>
      <c r="B272" s="5" t="s">
        <v>568</v>
      </c>
      <c r="C272" s="35" t="s">
        <v>347</v>
      </c>
      <c r="D272" s="14" t="s">
        <v>95</v>
      </c>
      <c r="E272" s="5"/>
      <c r="F272" s="5" t="s">
        <v>569</v>
      </c>
      <c r="G272" s="7"/>
      <c r="H272" s="7"/>
      <c r="I272" s="7"/>
      <c r="J272" s="7"/>
      <c r="K272" s="7"/>
      <c r="L272" s="7"/>
      <c r="M272" s="7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9"/>
    </row>
    <row r="273">
      <c r="A273" s="10">
        <v>2.229947E7</v>
      </c>
      <c r="B273" s="10" t="s">
        <v>570</v>
      </c>
      <c r="C273" s="36" t="s">
        <v>347</v>
      </c>
      <c r="D273" s="13" t="s">
        <v>95</v>
      </c>
      <c r="E273" s="10"/>
      <c r="F273" s="10" t="s">
        <v>571</v>
      </c>
      <c r="G273" s="12"/>
      <c r="H273" s="12"/>
      <c r="I273" s="12"/>
      <c r="J273" s="12"/>
      <c r="K273" s="12"/>
      <c r="L273" s="12"/>
      <c r="M273" s="12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9"/>
    </row>
    <row r="274">
      <c r="A274" s="5">
        <v>2.2299296E7</v>
      </c>
      <c r="B274" s="5" t="s">
        <v>572</v>
      </c>
      <c r="C274" s="35" t="s">
        <v>347</v>
      </c>
      <c r="D274" s="14" t="s">
        <v>95</v>
      </c>
      <c r="E274" s="5"/>
      <c r="F274" s="5" t="s">
        <v>573</v>
      </c>
      <c r="G274" s="7"/>
      <c r="H274" s="7"/>
      <c r="I274" s="7"/>
      <c r="J274" s="7"/>
      <c r="K274" s="7"/>
      <c r="L274" s="7"/>
      <c r="M274" s="7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9"/>
    </row>
    <row r="275">
      <c r="A275" s="10">
        <v>2.2299273E7</v>
      </c>
      <c r="B275" s="10" t="s">
        <v>574</v>
      </c>
      <c r="C275" s="36" t="s">
        <v>347</v>
      </c>
      <c r="D275" s="13" t="s">
        <v>95</v>
      </c>
      <c r="E275" s="10"/>
      <c r="F275" s="10" t="s">
        <v>575</v>
      </c>
      <c r="G275" s="12"/>
      <c r="H275" s="12"/>
      <c r="I275" s="12"/>
      <c r="J275" s="12"/>
      <c r="K275" s="12"/>
      <c r="L275" s="12"/>
      <c r="M275" s="12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9"/>
    </row>
    <row r="276">
      <c r="A276" s="5">
        <v>2.2299229E7</v>
      </c>
      <c r="B276" s="5" t="s">
        <v>576</v>
      </c>
      <c r="C276" s="35" t="s">
        <v>347</v>
      </c>
      <c r="D276" s="14" t="s">
        <v>95</v>
      </c>
      <c r="E276" s="5"/>
      <c r="F276" s="5" t="s">
        <v>577</v>
      </c>
      <c r="G276" s="7"/>
      <c r="H276" s="7"/>
      <c r="I276" s="7"/>
      <c r="J276" s="7"/>
      <c r="K276" s="7"/>
      <c r="L276" s="7"/>
      <c r="M276" s="7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9"/>
    </row>
    <row r="277">
      <c r="A277" s="10">
        <v>2.2299166E7</v>
      </c>
      <c r="B277" s="10" t="s">
        <v>578</v>
      </c>
      <c r="C277" s="36" t="s">
        <v>347</v>
      </c>
      <c r="D277" s="13" t="s">
        <v>95</v>
      </c>
      <c r="E277" s="10"/>
      <c r="F277" s="10" t="s">
        <v>579</v>
      </c>
      <c r="G277" s="12"/>
      <c r="H277" s="12"/>
      <c r="I277" s="12"/>
      <c r="J277" s="12"/>
      <c r="K277" s="12"/>
      <c r="L277" s="12"/>
      <c r="M277" s="12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9"/>
    </row>
    <row r="278">
      <c r="A278" s="5">
        <v>2.2299137E7</v>
      </c>
      <c r="B278" s="5" t="s">
        <v>580</v>
      </c>
      <c r="C278" s="35" t="s">
        <v>347</v>
      </c>
      <c r="D278" s="14" t="s">
        <v>95</v>
      </c>
      <c r="E278" s="5"/>
      <c r="F278" s="5" t="s">
        <v>581</v>
      </c>
      <c r="G278" s="7"/>
      <c r="H278" s="7"/>
      <c r="I278" s="7"/>
      <c r="J278" s="7"/>
      <c r="K278" s="7"/>
      <c r="L278" s="7"/>
      <c r="M278" s="7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9"/>
    </row>
    <row r="279">
      <c r="A279" s="10">
        <v>2.2299062E7</v>
      </c>
      <c r="B279" s="10" t="s">
        <v>582</v>
      </c>
      <c r="C279" s="36" t="s">
        <v>347</v>
      </c>
      <c r="D279" s="13" t="s">
        <v>95</v>
      </c>
      <c r="E279" s="10"/>
      <c r="F279" s="10" t="s">
        <v>583</v>
      </c>
      <c r="G279" s="12"/>
      <c r="H279" s="12"/>
      <c r="I279" s="12"/>
      <c r="J279" s="12"/>
      <c r="K279" s="12"/>
      <c r="L279" s="12"/>
      <c r="M279" s="12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9"/>
    </row>
    <row r="280">
      <c r="A280" s="5">
        <v>2.2299046E7</v>
      </c>
      <c r="B280" s="5" t="s">
        <v>584</v>
      </c>
      <c r="C280" s="35" t="s">
        <v>347</v>
      </c>
      <c r="D280" s="14" t="s">
        <v>95</v>
      </c>
      <c r="E280" s="5"/>
      <c r="F280" s="5" t="s">
        <v>585</v>
      </c>
      <c r="G280" s="7"/>
      <c r="H280" s="7"/>
      <c r="I280" s="7"/>
      <c r="J280" s="7"/>
      <c r="K280" s="7"/>
      <c r="L280" s="7"/>
      <c r="M280" s="7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9"/>
    </row>
    <row r="281">
      <c r="A281" s="10">
        <v>2.229904E7</v>
      </c>
      <c r="B281" s="10" t="s">
        <v>586</v>
      </c>
      <c r="C281" s="36" t="s">
        <v>347</v>
      </c>
      <c r="D281" s="13" t="s">
        <v>95</v>
      </c>
      <c r="E281" s="10"/>
      <c r="F281" s="10" t="s">
        <v>587</v>
      </c>
      <c r="G281" s="12"/>
      <c r="H281" s="12"/>
      <c r="I281" s="12"/>
      <c r="J281" s="12"/>
      <c r="K281" s="12"/>
      <c r="L281" s="12"/>
      <c r="M281" s="12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9"/>
    </row>
    <row r="282">
      <c r="A282" s="5">
        <v>2.2299034E7</v>
      </c>
      <c r="B282" s="5" t="s">
        <v>588</v>
      </c>
      <c r="C282" s="35" t="s">
        <v>347</v>
      </c>
      <c r="D282" s="14" t="s">
        <v>95</v>
      </c>
      <c r="E282" s="5"/>
      <c r="F282" s="5" t="s">
        <v>589</v>
      </c>
      <c r="G282" s="7"/>
      <c r="H282" s="7"/>
      <c r="I282" s="7"/>
      <c r="J282" s="7"/>
      <c r="K282" s="7"/>
      <c r="L282" s="7"/>
      <c r="M282" s="7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9"/>
    </row>
    <row r="283">
      <c r="A283" s="10">
        <v>2.2299028E7</v>
      </c>
      <c r="B283" s="10" t="s">
        <v>590</v>
      </c>
      <c r="C283" s="36" t="s">
        <v>347</v>
      </c>
      <c r="D283" s="13" t="s">
        <v>95</v>
      </c>
      <c r="E283" s="10"/>
      <c r="F283" s="10" t="s">
        <v>591</v>
      </c>
      <c r="G283" s="12"/>
      <c r="H283" s="12"/>
      <c r="I283" s="12"/>
      <c r="J283" s="12"/>
      <c r="K283" s="12"/>
      <c r="L283" s="12"/>
      <c r="M283" s="12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9"/>
    </row>
    <row r="284">
      <c r="A284" s="5">
        <v>2.2299005E7</v>
      </c>
      <c r="B284" s="5" t="s">
        <v>592</v>
      </c>
      <c r="C284" s="35" t="s">
        <v>347</v>
      </c>
      <c r="D284" s="14" t="s">
        <v>95</v>
      </c>
      <c r="E284" s="5"/>
      <c r="F284" s="5" t="s">
        <v>593</v>
      </c>
      <c r="G284" s="7"/>
      <c r="H284" s="7"/>
      <c r="I284" s="7"/>
      <c r="J284" s="7"/>
      <c r="K284" s="7"/>
      <c r="L284" s="7"/>
      <c r="M284" s="7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9"/>
    </row>
    <row r="285">
      <c r="A285" s="10">
        <v>2.2241062E7</v>
      </c>
      <c r="B285" s="10" t="s">
        <v>594</v>
      </c>
      <c r="C285" s="36" t="s">
        <v>347</v>
      </c>
      <c r="D285" s="13" t="s">
        <v>95</v>
      </c>
      <c r="E285" s="10"/>
      <c r="F285" s="10" t="s">
        <v>595</v>
      </c>
      <c r="G285" s="12"/>
      <c r="H285" s="12"/>
      <c r="I285" s="12"/>
      <c r="J285" s="12"/>
      <c r="K285" s="12"/>
      <c r="L285" s="12"/>
      <c r="M285" s="12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9"/>
    </row>
    <row r="286">
      <c r="A286" s="5">
        <v>2.224101E7</v>
      </c>
      <c r="B286" s="5" t="s">
        <v>596</v>
      </c>
      <c r="C286" s="35" t="s">
        <v>347</v>
      </c>
      <c r="D286" s="14" t="s">
        <v>95</v>
      </c>
      <c r="E286" s="5"/>
      <c r="F286" s="5" t="s">
        <v>597</v>
      </c>
      <c r="G286" s="7"/>
      <c r="H286" s="7"/>
      <c r="I286" s="7"/>
      <c r="J286" s="7"/>
      <c r="K286" s="7"/>
      <c r="L286" s="7"/>
      <c r="M286" s="7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9"/>
    </row>
    <row r="287">
      <c r="A287" s="10">
        <v>2.2221213E7</v>
      </c>
      <c r="B287" s="10" t="s">
        <v>598</v>
      </c>
      <c r="C287" s="36" t="s">
        <v>347</v>
      </c>
      <c r="D287" s="13" t="s">
        <v>95</v>
      </c>
      <c r="E287" s="10"/>
      <c r="F287" s="10" t="s">
        <v>599</v>
      </c>
      <c r="G287" s="12"/>
      <c r="H287" s="12"/>
      <c r="I287" s="12"/>
      <c r="J287" s="12"/>
      <c r="K287" s="12"/>
      <c r="L287" s="12"/>
      <c r="M287" s="12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9"/>
    </row>
    <row r="288">
      <c r="A288" s="5">
        <v>2.2221209E7</v>
      </c>
      <c r="B288" s="5" t="s">
        <v>600</v>
      </c>
      <c r="C288" s="35" t="s">
        <v>347</v>
      </c>
      <c r="D288" s="14" t="s">
        <v>95</v>
      </c>
      <c r="E288" s="5"/>
      <c r="F288" s="5" t="s">
        <v>601</v>
      </c>
      <c r="G288" s="7"/>
      <c r="H288" s="7"/>
      <c r="I288" s="7"/>
      <c r="J288" s="7"/>
      <c r="K288" s="7"/>
      <c r="L288" s="7"/>
      <c r="M288" s="7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9"/>
    </row>
    <row r="289">
      <c r="A289" s="10">
        <v>2.2201937E7</v>
      </c>
      <c r="B289" s="10" t="s">
        <v>602</v>
      </c>
      <c r="C289" s="36" t="s">
        <v>347</v>
      </c>
      <c r="D289" s="13" t="s">
        <v>95</v>
      </c>
      <c r="E289" s="10"/>
      <c r="F289" s="10" t="s">
        <v>603</v>
      </c>
      <c r="G289" s="12"/>
      <c r="H289" s="12"/>
      <c r="I289" s="12"/>
      <c r="J289" s="12"/>
      <c r="K289" s="12"/>
      <c r="L289" s="12"/>
      <c r="M289" s="12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9"/>
    </row>
    <row r="290">
      <c r="A290" s="5">
        <v>2.2201793E7</v>
      </c>
      <c r="B290" s="5" t="s">
        <v>604</v>
      </c>
      <c r="C290" s="35" t="s">
        <v>347</v>
      </c>
      <c r="D290" s="14" t="s">
        <v>95</v>
      </c>
      <c r="E290" s="5"/>
      <c r="F290" s="5" t="s">
        <v>605</v>
      </c>
      <c r="G290" s="7"/>
      <c r="H290" s="7"/>
      <c r="I290" s="7"/>
      <c r="J290" s="7"/>
      <c r="K290" s="7"/>
      <c r="L290" s="7"/>
      <c r="M290" s="7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9"/>
    </row>
    <row r="291">
      <c r="A291" s="10">
        <v>2.220176E7</v>
      </c>
      <c r="B291" s="10" t="s">
        <v>606</v>
      </c>
      <c r="C291" s="36" t="s">
        <v>347</v>
      </c>
      <c r="D291" s="13" t="s">
        <v>95</v>
      </c>
      <c r="E291" s="10"/>
      <c r="F291" s="10" t="s">
        <v>607</v>
      </c>
      <c r="G291" s="12"/>
      <c r="H291" s="12"/>
      <c r="I291" s="12"/>
      <c r="J291" s="12"/>
      <c r="K291" s="12"/>
      <c r="L291" s="12"/>
      <c r="M291" s="12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9"/>
    </row>
    <row r="292">
      <c r="A292" s="5">
        <v>2.2201723E7</v>
      </c>
      <c r="B292" s="5" t="s">
        <v>608</v>
      </c>
      <c r="C292" s="35" t="s">
        <v>347</v>
      </c>
      <c r="D292" s="14" t="s">
        <v>95</v>
      </c>
      <c r="E292" s="5"/>
      <c r="F292" s="5" t="s">
        <v>609</v>
      </c>
      <c r="G292" s="7"/>
      <c r="H292" s="7"/>
      <c r="I292" s="7"/>
      <c r="J292" s="7"/>
      <c r="K292" s="7"/>
      <c r="L292" s="7"/>
      <c r="M292" s="7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9"/>
    </row>
    <row r="293">
      <c r="A293" s="10">
        <v>2.220172E7</v>
      </c>
      <c r="B293" s="10" t="s">
        <v>610</v>
      </c>
      <c r="C293" s="36" t="s">
        <v>347</v>
      </c>
      <c r="D293" s="13" t="s">
        <v>95</v>
      </c>
      <c r="E293" s="10"/>
      <c r="F293" s="10" t="s">
        <v>611</v>
      </c>
      <c r="G293" s="12"/>
      <c r="H293" s="12"/>
      <c r="I293" s="12"/>
      <c r="J293" s="12"/>
      <c r="K293" s="12"/>
      <c r="L293" s="12"/>
      <c r="M293" s="12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9"/>
    </row>
    <row r="294">
      <c r="A294" s="5">
        <v>2.2201664E7</v>
      </c>
      <c r="B294" s="5" t="s">
        <v>612</v>
      </c>
      <c r="C294" s="35" t="s">
        <v>347</v>
      </c>
      <c r="D294" s="14" t="s">
        <v>95</v>
      </c>
      <c r="E294" s="5"/>
      <c r="F294" s="5" t="s">
        <v>613</v>
      </c>
      <c r="G294" s="7"/>
      <c r="H294" s="7"/>
      <c r="I294" s="7"/>
      <c r="J294" s="7"/>
      <c r="K294" s="7"/>
      <c r="L294" s="7"/>
      <c r="M294" s="7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9"/>
    </row>
    <row r="295">
      <c r="A295" s="10">
        <v>2.2201662E7</v>
      </c>
      <c r="B295" s="10" t="s">
        <v>614</v>
      </c>
      <c r="C295" s="36" t="s">
        <v>347</v>
      </c>
      <c r="D295" s="13" t="s">
        <v>95</v>
      </c>
      <c r="E295" s="10"/>
      <c r="F295" s="10" t="s">
        <v>615</v>
      </c>
      <c r="G295" s="12"/>
      <c r="H295" s="12"/>
      <c r="I295" s="12"/>
      <c r="J295" s="12"/>
      <c r="K295" s="12"/>
      <c r="L295" s="12"/>
      <c r="M295" s="12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9"/>
    </row>
    <row r="296">
      <c r="A296" s="5">
        <v>2.2201643E7</v>
      </c>
      <c r="B296" s="5" t="s">
        <v>616</v>
      </c>
      <c r="C296" s="35" t="s">
        <v>347</v>
      </c>
      <c r="D296" s="14" t="s">
        <v>95</v>
      </c>
      <c r="E296" s="5"/>
      <c r="F296" s="5" t="s">
        <v>617</v>
      </c>
      <c r="G296" s="7"/>
      <c r="H296" s="7"/>
      <c r="I296" s="7"/>
      <c r="J296" s="7"/>
      <c r="K296" s="7"/>
      <c r="L296" s="7"/>
      <c r="M296" s="7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9"/>
    </row>
    <row r="297">
      <c r="A297" s="10">
        <v>2.2201601E7</v>
      </c>
      <c r="B297" s="10" t="s">
        <v>618</v>
      </c>
      <c r="C297" s="36" t="s">
        <v>347</v>
      </c>
      <c r="D297" s="13" t="s">
        <v>95</v>
      </c>
      <c r="E297" s="10"/>
      <c r="F297" s="10" t="s">
        <v>619</v>
      </c>
      <c r="G297" s="12"/>
      <c r="H297" s="12"/>
      <c r="I297" s="12"/>
      <c r="J297" s="12"/>
      <c r="K297" s="12"/>
      <c r="L297" s="12"/>
      <c r="M297" s="12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9"/>
    </row>
    <row r="298">
      <c r="A298" s="5">
        <v>2.2201564E7</v>
      </c>
      <c r="B298" s="5" t="s">
        <v>620</v>
      </c>
      <c r="C298" s="35" t="s">
        <v>347</v>
      </c>
      <c r="D298" s="14" t="s">
        <v>95</v>
      </c>
      <c r="E298" s="5"/>
      <c r="F298" s="5" t="s">
        <v>621</v>
      </c>
      <c r="G298" s="7"/>
      <c r="H298" s="7"/>
      <c r="I298" s="7"/>
      <c r="J298" s="7"/>
      <c r="K298" s="7"/>
      <c r="L298" s="7"/>
      <c r="M298" s="7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9"/>
    </row>
    <row r="299">
      <c r="A299" s="10">
        <v>2.2201499E7</v>
      </c>
      <c r="B299" s="10" t="s">
        <v>622</v>
      </c>
      <c r="C299" s="36" t="s">
        <v>347</v>
      </c>
      <c r="D299" s="13" t="s">
        <v>95</v>
      </c>
      <c r="E299" s="10"/>
      <c r="F299" s="10" t="s">
        <v>623</v>
      </c>
      <c r="G299" s="12"/>
      <c r="H299" s="12"/>
      <c r="I299" s="12"/>
      <c r="J299" s="12"/>
      <c r="K299" s="12"/>
      <c r="L299" s="12"/>
      <c r="M299" s="12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9"/>
    </row>
    <row r="300">
      <c r="A300" s="5">
        <v>2.2201492E7</v>
      </c>
      <c r="B300" s="5" t="s">
        <v>624</v>
      </c>
      <c r="C300" s="35" t="s">
        <v>347</v>
      </c>
      <c r="D300" s="14" t="s">
        <v>95</v>
      </c>
      <c r="E300" s="5"/>
      <c r="F300" s="5" t="s">
        <v>625</v>
      </c>
      <c r="G300" s="7"/>
      <c r="H300" s="7"/>
      <c r="I300" s="7"/>
      <c r="J300" s="7"/>
      <c r="K300" s="7"/>
      <c r="L300" s="7"/>
      <c r="M300" s="7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9"/>
    </row>
    <row r="301">
      <c r="A301" s="10">
        <v>2.2201479E7</v>
      </c>
      <c r="B301" s="10" t="s">
        <v>626</v>
      </c>
      <c r="C301" s="36" t="s">
        <v>347</v>
      </c>
      <c r="D301" s="13" t="s">
        <v>95</v>
      </c>
      <c r="E301" s="10"/>
      <c r="F301" s="10" t="s">
        <v>627</v>
      </c>
      <c r="G301" s="12"/>
      <c r="H301" s="12"/>
      <c r="I301" s="12"/>
      <c r="J301" s="12"/>
      <c r="K301" s="12"/>
      <c r="L301" s="12"/>
      <c r="M301" s="12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9"/>
    </row>
    <row r="302">
      <c r="A302" s="5">
        <v>2.2201473E7</v>
      </c>
      <c r="B302" s="5" t="s">
        <v>628</v>
      </c>
      <c r="C302" s="35" t="s">
        <v>347</v>
      </c>
      <c r="D302" s="14" t="s">
        <v>95</v>
      </c>
      <c r="E302" s="5"/>
      <c r="F302" s="5" t="s">
        <v>629</v>
      </c>
      <c r="G302" s="7"/>
      <c r="H302" s="7"/>
      <c r="I302" s="7"/>
      <c r="J302" s="7"/>
      <c r="K302" s="7"/>
      <c r="L302" s="7"/>
      <c r="M302" s="7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9"/>
    </row>
    <row r="303">
      <c r="A303" s="10">
        <v>2.2201454E7</v>
      </c>
      <c r="B303" s="10" t="s">
        <v>630</v>
      </c>
      <c r="C303" s="36" t="s">
        <v>347</v>
      </c>
      <c r="D303" s="13" t="s">
        <v>95</v>
      </c>
      <c r="E303" s="10"/>
      <c r="F303" s="10" t="s">
        <v>631</v>
      </c>
      <c r="G303" s="12"/>
      <c r="H303" s="12"/>
      <c r="I303" s="12"/>
      <c r="J303" s="12"/>
      <c r="K303" s="12"/>
      <c r="L303" s="12"/>
      <c r="M303" s="12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9"/>
    </row>
    <row r="304">
      <c r="A304" s="5">
        <v>2.220142E7</v>
      </c>
      <c r="B304" s="5" t="s">
        <v>632</v>
      </c>
      <c r="C304" s="35" t="s">
        <v>347</v>
      </c>
      <c r="D304" s="14" t="s">
        <v>95</v>
      </c>
      <c r="E304" s="5"/>
      <c r="F304" s="5" t="s">
        <v>633</v>
      </c>
      <c r="G304" s="7"/>
      <c r="H304" s="7"/>
      <c r="I304" s="7"/>
      <c r="J304" s="7"/>
      <c r="K304" s="7"/>
      <c r="L304" s="7"/>
      <c r="M304" s="7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9"/>
    </row>
    <row r="305">
      <c r="A305" s="10">
        <v>2.2201265E7</v>
      </c>
      <c r="B305" s="10" t="s">
        <v>634</v>
      </c>
      <c r="C305" s="36" t="s">
        <v>347</v>
      </c>
      <c r="D305" s="13" t="s">
        <v>95</v>
      </c>
      <c r="E305" s="10"/>
      <c r="F305" s="10" t="s">
        <v>635</v>
      </c>
      <c r="G305" s="12"/>
      <c r="H305" s="12"/>
      <c r="I305" s="12"/>
      <c r="J305" s="12"/>
      <c r="K305" s="12"/>
      <c r="L305" s="12"/>
      <c r="M305" s="12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9"/>
    </row>
    <row r="306">
      <c r="A306" s="5">
        <v>2.2201191E7</v>
      </c>
      <c r="B306" s="5" t="s">
        <v>636</v>
      </c>
      <c r="C306" s="35" t="s">
        <v>347</v>
      </c>
      <c r="D306" s="14" t="s">
        <v>95</v>
      </c>
      <c r="E306" s="5"/>
      <c r="F306" s="5" t="s">
        <v>637</v>
      </c>
      <c r="G306" s="7"/>
      <c r="H306" s="7"/>
      <c r="I306" s="7"/>
      <c r="J306" s="7"/>
      <c r="K306" s="7"/>
      <c r="L306" s="7"/>
      <c r="M306" s="7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9"/>
    </row>
    <row r="307">
      <c r="A307" s="10">
        <v>2.2201189E7</v>
      </c>
      <c r="B307" s="10" t="s">
        <v>638</v>
      </c>
      <c r="C307" s="36" t="s">
        <v>347</v>
      </c>
      <c r="D307" s="13" t="s">
        <v>95</v>
      </c>
      <c r="E307" s="10"/>
      <c r="F307" s="10" t="s">
        <v>639</v>
      </c>
      <c r="G307" s="12"/>
      <c r="H307" s="12"/>
      <c r="I307" s="12"/>
      <c r="J307" s="12"/>
      <c r="K307" s="12"/>
      <c r="L307" s="12"/>
      <c r="M307" s="12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9"/>
    </row>
    <row r="308">
      <c r="A308" s="5">
        <v>2.220118E7</v>
      </c>
      <c r="B308" s="5" t="s">
        <v>640</v>
      </c>
      <c r="C308" s="35" t="s">
        <v>347</v>
      </c>
      <c r="D308" s="14" t="s">
        <v>95</v>
      </c>
      <c r="E308" s="5"/>
      <c r="F308" s="5" t="s">
        <v>641</v>
      </c>
      <c r="G308" s="7"/>
      <c r="H308" s="7"/>
      <c r="I308" s="7"/>
      <c r="J308" s="7"/>
      <c r="K308" s="7"/>
      <c r="L308" s="7"/>
      <c r="M308" s="7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9"/>
    </row>
    <row r="309">
      <c r="A309" s="10">
        <v>2.2201141E7</v>
      </c>
      <c r="B309" s="10" t="s">
        <v>642</v>
      </c>
      <c r="C309" s="36" t="s">
        <v>347</v>
      </c>
      <c r="D309" s="13" t="s">
        <v>95</v>
      </c>
      <c r="E309" s="10"/>
      <c r="F309" s="10" t="s">
        <v>643</v>
      </c>
      <c r="G309" s="12"/>
      <c r="H309" s="12"/>
      <c r="I309" s="12"/>
      <c r="J309" s="12"/>
      <c r="K309" s="12"/>
      <c r="L309" s="12"/>
      <c r="M309" s="12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9"/>
    </row>
    <row r="310">
      <c r="A310" s="5">
        <v>2.2201027E7</v>
      </c>
      <c r="B310" s="5" t="s">
        <v>644</v>
      </c>
      <c r="C310" s="35" t="s">
        <v>347</v>
      </c>
      <c r="D310" s="14" t="s">
        <v>95</v>
      </c>
      <c r="E310" s="5"/>
      <c r="F310" s="5" t="s">
        <v>645</v>
      </c>
      <c r="G310" s="7"/>
      <c r="H310" s="7"/>
      <c r="I310" s="7"/>
      <c r="J310" s="7"/>
      <c r="K310" s="7"/>
      <c r="L310" s="7"/>
      <c r="M310" s="7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9"/>
    </row>
    <row r="311">
      <c r="A311" s="10">
        <v>2.2141029E7</v>
      </c>
      <c r="B311" s="10" t="s">
        <v>646</v>
      </c>
      <c r="C311" s="36" t="s">
        <v>347</v>
      </c>
      <c r="D311" s="13" t="s">
        <v>95</v>
      </c>
      <c r="E311" s="10"/>
      <c r="F311" s="10" t="s">
        <v>647</v>
      </c>
      <c r="G311" s="12"/>
      <c r="H311" s="12"/>
      <c r="I311" s="12"/>
      <c r="J311" s="12"/>
      <c r="K311" s="12"/>
      <c r="L311" s="12"/>
      <c r="M311" s="12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9"/>
    </row>
    <row r="312">
      <c r="A312" s="5">
        <v>2.214102E7</v>
      </c>
      <c r="B312" s="5" t="s">
        <v>648</v>
      </c>
      <c r="C312" s="35" t="s">
        <v>347</v>
      </c>
      <c r="D312" s="14" t="s">
        <v>95</v>
      </c>
      <c r="E312" s="5"/>
      <c r="F312" s="5" t="s">
        <v>649</v>
      </c>
      <c r="G312" s="7"/>
      <c r="H312" s="7"/>
      <c r="I312" s="7"/>
      <c r="J312" s="7"/>
      <c r="K312" s="7"/>
      <c r="L312" s="7"/>
      <c r="M312" s="7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9"/>
    </row>
    <row r="313">
      <c r="A313" s="10">
        <v>2.2101836E7</v>
      </c>
      <c r="B313" s="10" t="s">
        <v>650</v>
      </c>
      <c r="C313" s="36" t="s">
        <v>347</v>
      </c>
      <c r="D313" s="13" t="s">
        <v>95</v>
      </c>
      <c r="E313" s="10"/>
      <c r="F313" s="10" t="s">
        <v>651</v>
      </c>
      <c r="G313" s="12"/>
      <c r="H313" s="12"/>
      <c r="I313" s="12"/>
      <c r="J313" s="12"/>
      <c r="K313" s="12"/>
      <c r="L313" s="12"/>
      <c r="M313" s="12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9"/>
    </row>
    <row r="314">
      <c r="A314" s="5">
        <v>2.2101803E7</v>
      </c>
      <c r="B314" s="5" t="s">
        <v>652</v>
      </c>
      <c r="C314" s="35" t="s">
        <v>347</v>
      </c>
      <c r="D314" s="14" t="s">
        <v>95</v>
      </c>
      <c r="E314" s="5"/>
      <c r="F314" s="5" t="s">
        <v>653</v>
      </c>
      <c r="G314" s="7"/>
      <c r="H314" s="7"/>
      <c r="I314" s="7"/>
      <c r="J314" s="7"/>
      <c r="K314" s="7"/>
      <c r="L314" s="7"/>
      <c r="M314" s="7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9"/>
    </row>
    <row r="315">
      <c r="A315" s="10">
        <v>2.2101717E7</v>
      </c>
      <c r="B315" s="10" t="s">
        <v>654</v>
      </c>
      <c r="C315" s="36" t="s">
        <v>347</v>
      </c>
      <c r="D315" s="13" t="s">
        <v>95</v>
      </c>
      <c r="E315" s="10"/>
      <c r="F315" s="10" t="s">
        <v>655</v>
      </c>
      <c r="G315" s="12"/>
      <c r="H315" s="12"/>
      <c r="I315" s="12"/>
      <c r="J315" s="12"/>
      <c r="K315" s="12"/>
      <c r="L315" s="12"/>
      <c r="M315" s="12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9"/>
    </row>
    <row r="316">
      <c r="A316" s="5">
        <v>2.2101682E7</v>
      </c>
      <c r="B316" s="5" t="s">
        <v>656</v>
      </c>
      <c r="C316" s="35" t="s">
        <v>347</v>
      </c>
      <c r="D316" s="14" t="s">
        <v>95</v>
      </c>
      <c r="E316" s="5"/>
      <c r="F316" s="5" t="s">
        <v>657</v>
      </c>
      <c r="G316" s="7"/>
      <c r="H316" s="7"/>
      <c r="I316" s="7"/>
      <c r="J316" s="7"/>
      <c r="K316" s="7"/>
      <c r="L316" s="7"/>
      <c r="M316" s="7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9"/>
    </row>
    <row r="317">
      <c r="A317" s="10">
        <v>2.2101671E7</v>
      </c>
      <c r="B317" s="10" t="s">
        <v>658</v>
      </c>
      <c r="C317" s="36" t="s">
        <v>347</v>
      </c>
      <c r="D317" s="13" t="s">
        <v>95</v>
      </c>
      <c r="E317" s="10"/>
      <c r="F317" s="10" t="s">
        <v>659</v>
      </c>
      <c r="G317" s="12"/>
      <c r="H317" s="12"/>
      <c r="I317" s="12"/>
      <c r="J317" s="12"/>
      <c r="K317" s="12"/>
      <c r="L317" s="12"/>
      <c r="M317" s="12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9"/>
    </row>
    <row r="318">
      <c r="A318" s="5">
        <v>2.2101632E7</v>
      </c>
      <c r="B318" s="5" t="s">
        <v>660</v>
      </c>
      <c r="C318" s="35" t="s">
        <v>347</v>
      </c>
      <c r="D318" s="14" t="s">
        <v>95</v>
      </c>
      <c r="E318" s="5"/>
      <c r="F318" s="5" t="s">
        <v>661</v>
      </c>
      <c r="G318" s="7"/>
      <c r="H318" s="7"/>
      <c r="I318" s="7"/>
      <c r="J318" s="7"/>
      <c r="K318" s="7"/>
      <c r="L318" s="7"/>
      <c r="M318" s="7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9"/>
    </row>
    <row r="319">
      <c r="A319" s="10">
        <v>2.2101579E7</v>
      </c>
      <c r="B319" s="10" t="s">
        <v>662</v>
      </c>
      <c r="C319" s="36" t="s">
        <v>347</v>
      </c>
      <c r="D319" s="13" t="s">
        <v>95</v>
      </c>
      <c r="E319" s="10"/>
      <c r="F319" s="10" t="s">
        <v>663</v>
      </c>
      <c r="G319" s="12"/>
      <c r="H319" s="12"/>
      <c r="I319" s="12"/>
      <c r="J319" s="12"/>
      <c r="K319" s="12"/>
      <c r="L319" s="12"/>
      <c r="M319" s="12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9"/>
    </row>
    <row r="320">
      <c r="A320" s="5">
        <v>2.2101497E7</v>
      </c>
      <c r="B320" s="5" t="s">
        <v>664</v>
      </c>
      <c r="C320" s="35" t="s">
        <v>347</v>
      </c>
      <c r="D320" s="14" t="s">
        <v>95</v>
      </c>
      <c r="E320" s="5"/>
      <c r="F320" s="5" t="s">
        <v>665</v>
      </c>
      <c r="G320" s="7"/>
      <c r="H320" s="7"/>
      <c r="I320" s="7"/>
      <c r="J320" s="7"/>
      <c r="K320" s="7"/>
      <c r="L320" s="7"/>
      <c r="M320" s="7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9"/>
    </row>
    <row r="321">
      <c r="A321" s="10">
        <v>2.2101482E7</v>
      </c>
      <c r="B321" s="10" t="s">
        <v>666</v>
      </c>
      <c r="C321" s="36" t="s">
        <v>347</v>
      </c>
      <c r="D321" s="13" t="s">
        <v>95</v>
      </c>
      <c r="E321" s="10"/>
      <c r="F321" s="10" t="s">
        <v>667</v>
      </c>
      <c r="G321" s="12"/>
      <c r="H321" s="12"/>
      <c r="I321" s="12"/>
      <c r="J321" s="12"/>
      <c r="K321" s="12"/>
      <c r="L321" s="12"/>
      <c r="M321" s="12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9"/>
    </row>
    <row r="322">
      <c r="A322" s="5">
        <v>2.2101418E7</v>
      </c>
      <c r="B322" s="5" t="s">
        <v>668</v>
      </c>
      <c r="C322" s="35" t="s">
        <v>347</v>
      </c>
      <c r="D322" s="14" t="s">
        <v>95</v>
      </c>
      <c r="E322" s="5"/>
      <c r="F322" s="5" t="s">
        <v>669</v>
      </c>
      <c r="G322" s="7"/>
      <c r="H322" s="7"/>
      <c r="I322" s="7"/>
      <c r="J322" s="7"/>
      <c r="K322" s="7"/>
      <c r="L322" s="7"/>
      <c r="M322" s="7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9"/>
    </row>
    <row r="323">
      <c r="A323" s="10">
        <v>2.2101402E7</v>
      </c>
      <c r="B323" s="10" t="s">
        <v>670</v>
      </c>
      <c r="C323" s="36" t="s">
        <v>347</v>
      </c>
      <c r="D323" s="13" t="s">
        <v>95</v>
      </c>
      <c r="E323" s="10"/>
      <c r="F323" s="10" t="s">
        <v>671</v>
      </c>
      <c r="G323" s="12"/>
      <c r="H323" s="12"/>
      <c r="I323" s="12"/>
      <c r="J323" s="12"/>
      <c r="K323" s="12"/>
      <c r="L323" s="12"/>
      <c r="M323" s="12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9"/>
    </row>
    <row r="324">
      <c r="A324" s="5">
        <v>2.2101391E7</v>
      </c>
      <c r="B324" s="5" t="s">
        <v>672</v>
      </c>
      <c r="C324" s="35" t="s">
        <v>347</v>
      </c>
      <c r="D324" s="14" t="s">
        <v>95</v>
      </c>
      <c r="E324" s="5"/>
      <c r="F324" s="5" t="s">
        <v>673</v>
      </c>
      <c r="G324" s="7"/>
      <c r="H324" s="7"/>
      <c r="I324" s="7"/>
      <c r="J324" s="7"/>
      <c r="K324" s="7"/>
      <c r="L324" s="7"/>
      <c r="M324" s="7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9"/>
    </row>
    <row r="325">
      <c r="A325" s="10">
        <v>2.2101363E7</v>
      </c>
      <c r="B325" s="10" t="s">
        <v>674</v>
      </c>
      <c r="C325" s="36" t="s">
        <v>347</v>
      </c>
      <c r="D325" s="13" t="s">
        <v>95</v>
      </c>
      <c r="E325" s="10"/>
      <c r="F325" s="10" t="s">
        <v>675</v>
      </c>
      <c r="G325" s="12"/>
      <c r="H325" s="12"/>
      <c r="I325" s="12"/>
      <c r="J325" s="12"/>
      <c r="K325" s="12"/>
      <c r="L325" s="12"/>
      <c r="M325" s="12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9"/>
    </row>
    <row r="326">
      <c r="A326" s="5">
        <v>2.2101339E7</v>
      </c>
      <c r="B326" s="5" t="s">
        <v>676</v>
      </c>
      <c r="C326" s="35" t="s">
        <v>347</v>
      </c>
      <c r="D326" s="14" t="s">
        <v>95</v>
      </c>
      <c r="E326" s="5"/>
      <c r="F326" s="5" t="s">
        <v>677</v>
      </c>
      <c r="G326" s="7"/>
      <c r="H326" s="7"/>
      <c r="I326" s="7"/>
      <c r="J326" s="7"/>
      <c r="K326" s="7"/>
      <c r="L326" s="7"/>
      <c r="M326" s="7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9"/>
    </row>
    <row r="327">
      <c r="A327" s="10">
        <v>2.210128E7</v>
      </c>
      <c r="B327" s="10" t="s">
        <v>678</v>
      </c>
      <c r="C327" s="36" t="s">
        <v>347</v>
      </c>
      <c r="D327" s="13" t="s">
        <v>95</v>
      </c>
      <c r="E327" s="10"/>
      <c r="F327" s="10" t="s">
        <v>679</v>
      </c>
      <c r="G327" s="12"/>
      <c r="H327" s="12"/>
      <c r="I327" s="12"/>
      <c r="J327" s="12"/>
      <c r="K327" s="12"/>
      <c r="L327" s="12"/>
      <c r="M327" s="12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9"/>
    </row>
    <row r="328">
      <c r="A328" s="5">
        <v>2.2101209E7</v>
      </c>
      <c r="B328" s="5" t="s">
        <v>680</v>
      </c>
      <c r="C328" s="35" t="s">
        <v>347</v>
      </c>
      <c r="D328" s="14" t="s">
        <v>95</v>
      </c>
      <c r="E328" s="5"/>
      <c r="F328" s="5" t="s">
        <v>681</v>
      </c>
      <c r="G328" s="7"/>
      <c r="H328" s="7"/>
      <c r="I328" s="7"/>
      <c r="J328" s="7"/>
      <c r="K328" s="7"/>
      <c r="L328" s="7"/>
      <c r="M328" s="7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9"/>
    </row>
    <row r="329">
      <c r="A329" s="10">
        <v>2.2101149E7</v>
      </c>
      <c r="B329" s="10" t="s">
        <v>682</v>
      </c>
      <c r="C329" s="36" t="s">
        <v>347</v>
      </c>
      <c r="D329" s="13" t="s">
        <v>95</v>
      </c>
      <c r="E329" s="10"/>
      <c r="F329" s="10" t="s">
        <v>683</v>
      </c>
      <c r="G329" s="12"/>
      <c r="H329" s="12"/>
      <c r="I329" s="12"/>
      <c r="J329" s="12"/>
      <c r="K329" s="12"/>
      <c r="L329" s="12"/>
      <c r="M329" s="12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9"/>
    </row>
    <row r="330">
      <c r="A330" s="5">
        <v>2.2101004E7</v>
      </c>
      <c r="B330" s="5" t="s">
        <v>684</v>
      </c>
      <c r="C330" s="35" t="s">
        <v>347</v>
      </c>
      <c r="D330" s="14" t="s">
        <v>95</v>
      </c>
      <c r="E330" s="5"/>
      <c r="F330" s="5" t="s">
        <v>685</v>
      </c>
      <c r="G330" s="7"/>
      <c r="H330" s="7"/>
      <c r="I330" s="7"/>
      <c r="J330" s="7"/>
      <c r="K330" s="7"/>
      <c r="L330" s="7"/>
      <c r="M330" s="7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9"/>
    </row>
    <row r="331">
      <c r="A331" s="10">
        <v>2.3201459E7</v>
      </c>
      <c r="B331" s="10" t="s">
        <v>686</v>
      </c>
      <c r="C331" s="36" t="s">
        <v>347</v>
      </c>
      <c r="D331" s="13" t="s">
        <v>95</v>
      </c>
      <c r="E331" s="10"/>
      <c r="F331" s="10" t="s">
        <v>687</v>
      </c>
      <c r="G331" s="12"/>
      <c r="H331" s="12"/>
      <c r="I331" s="12"/>
      <c r="J331" s="12"/>
      <c r="K331" s="12"/>
      <c r="L331" s="12"/>
      <c r="M331" s="12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9"/>
    </row>
    <row r="332">
      <c r="A332" s="5">
        <v>2.4121093E7</v>
      </c>
      <c r="B332" s="5" t="s">
        <v>688</v>
      </c>
      <c r="C332" s="35" t="s">
        <v>347</v>
      </c>
      <c r="D332" s="14" t="s">
        <v>95</v>
      </c>
      <c r="E332" s="5"/>
      <c r="F332" s="5" t="s">
        <v>689</v>
      </c>
      <c r="G332" s="7"/>
      <c r="H332" s="7"/>
      <c r="I332" s="7"/>
      <c r="J332" s="7"/>
      <c r="K332" s="7"/>
      <c r="L332" s="7"/>
      <c r="M332" s="7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9"/>
    </row>
    <row r="333">
      <c r="A333" s="10">
        <v>2.2101812E7</v>
      </c>
      <c r="B333" s="10" t="s">
        <v>690</v>
      </c>
      <c r="C333" s="36" t="s">
        <v>347</v>
      </c>
      <c r="D333" s="13" t="s">
        <v>95</v>
      </c>
      <c r="E333" s="10"/>
      <c r="F333" s="10" t="s">
        <v>691</v>
      </c>
      <c r="G333" s="12"/>
      <c r="H333" s="12"/>
      <c r="I333" s="12"/>
      <c r="J333" s="12"/>
      <c r="K333" s="12"/>
      <c r="L333" s="12"/>
      <c r="M333" s="12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9"/>
    </row>
    <row r="334">
      <c r="A334" s="5">
        <v>2.2201869E7</v>
      </c>
      <c r="B334" s="5" t="s">
        <v>692</v>
      </c>
      <c r="C334" s="35" t="s">
        <v>347</v>
      </c>
      <c r="D334" s="14" t="s">
        <v>95</v>
      </c>
      <c r="E334" s="5"/>
      <c r="F334" s="5" t="s">
        <v>693</v>
      </c>
      <c r="G334" s="7"/>
      <c r="H334" s="7"/>
      <c r="I334" s="7"/>
      <c r="J334" s="7"/>
      <c r="K334" s="7"/>
      <c r="L334" s="7"/>
      <c r="M334" s="7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9"/>
    </row>
    <row r="335">
      <c r="A335" s="10">
        <v>2.3201131E7</v>
      </c>
      <c r="B335" s="10" t="s">
        <v>694</v>
      </c>
      <c r="C335" s="36" t="s">
        <v>347</v>
      </c>
      <c r="D335" s="13" t="s">
        <v>95</v>
      </c>
      <c r="E335" s="10"/>
      <c r="F335" s="10" t="s">
        <v>695</v>
      </c>
      <c r="G335" s="12"/>
      <c r="H335" s="12"/>
      <c r="I335" s="12"/>
      <c r="J335" s="12"/>
      <c r="K335" s="12"/>
      <c r="L335" s="12"/>
      <c r="M335" s="12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9"/>
    </row>
    <row r="336">
      <c r="A336" s="5">
        <v>2.3201467E7</v>
      </c>
      <c r="B336" s="5" t="s">
        <v>696</v>
      </c>
      <c r="C336" s="35" t="s">
        <v>347</v>
      </c>
      <c r="D336" s="14" t="s">
        <v>95</v>
      </c>
      <c r="E336" s="5"/>
      <c r="F336" s="5" t="s">
        <v>697</v>
      </c>
      <c r="G336" s="7"/>
      <c r="H336" s="7"/>
      <c r="I336" s="7"/>
      <c r="J336" s="7"/>
      <c r="K336" s="7"/>
      <c r="L336" s="7"/>
      <c r="M336" s="7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9"/>
    </row>
    <row r="337">
      <c r="A337" s="10">
        <v>2.3101095E7</v>
      </c>
      <c r="B337" s="10" t="s">
        <v>698</v>
      </c>
      <c r="C337" s="36" t="s">
        <v>347</v>
      </c>
      <c r="D337" s="13" t="s">
        <v>95</v>
      </c>
      <c r="E337" s="10"/>
      <c r="F337" s="10" t="s">
        <v>699</v>
      </c>
      <c r="G337" s="12"/>
      <c r="H337" s="12"/>
      <c r="I337" s="12"/>
      <c r="J337" s="12"/>
      <c r="K337" s="12"/>
      <c r="L337" s="12"/>
      <c r="M337" s="12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9"/>
    </row>
    <row r="338">
      <c r="A338" s="5">
        <v>2.2201209E7</v>
      </c>
      <c r="B338" s="5" t="s">
        <v>700</v>
      </c>
      <c r="C338" s="35" t="s">
        <v>347</v>
      </c>
      <c r="D338" s="14" t="s">
        <v>95</v>
      </c>
      <c r="E338" s="5"/>
      <c r="F338" s="5" t="s">
        <v>701</v>
      </c>
      <c r="G338" s="7"/>
      <c r="H338" s="7"/>
      <c r="I338" s="7"/>
      <c r="J338" s="7"/>
      <c r="K338" s="7"/>
      <c r="L338" s="7"/>
      <c r="M338" s="7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9"/>
    </row>
    <row r="339">
      <c r="A339" s="10">
        <v>2.2201607E7</v>
      </c>
      <c r="B339" s="10" t="s">
        <v>702</v>
      </c>
      <c r="C339" s="36" t="s">
        <v>347</v>
      </c>
      <c r="D339" s="13" t="s">
        <v>95</v>
      </c>
      <c r="E339" s="10"/>
      <c r="F339" s="10" t="s">
        <v>703</v>
      </c>
      <c r="G339" s="12"/>
      <c r="H339" s="12"/>
      <c r="I339" s="12"/>
      <c r="J339" s="12"/>
      <c r="K339" s="12"/>
      <c r="L339" s="12"/>
      <c r="M339" s="12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9"/>
    </row>
    <row r="340">
      <c r="A340" s="5">
        <v>2.2299184E7</v>
      </c>
      <c r="B340" s="5" t="s">
        <v>704</v>
      </c>
      <c r="C340" s="35" t="s">
        <v>347</v>
      </c>
      <c r="D340" s="14" t="s">
        <v>95</v>
      </c>
      <c r="E340" s="5"/>
      <c r="F340" s="5" t="s">
        <v>705</v>
      </c>
      <c r="G340" s="7"/>
      <c r="H340" s="7"/>
      <c r="I340" s="7"/>
      <c r="J340" s="7"/>
      <c r="K340" s="7"/>
      <c r="L340" s="7"/>
      <c r="M340" s="7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9"/>
    </row>
    <row r="341">
      <c r="A341" s="10">
        <v>2.2201964E7</v>
      </c>
      <c r="B341" s="10" t="s">
        <v>706</v>
      </c>
      <c r="C341" s="36" t="s">
        <v>347</v>
      </c>
      <c r="D341" s="13" t="s">
        <v>95</v>
      </c>
      <c r="E341" s="10"/>
      <c r="F341" s="10" t="s">
        <v>707</v>
      </c>
      <c r="G341" s="12"/>
      <c r="H341" s="12"/>
      <c r="I341" s="12"/>
      <c r="J341" s="12"/>
      <c r="K341" s="12"/>
      <c r="L341" s="12"/>
      <c r="M341" s="12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9"/>
    </row>
    <row r="342">
      <c r="A342" s="5">
        <v>2.2241023E7</v>
      </c>
      <c r="B342" s="5" t="s">
        <v>708</v>
      </c>
      <c r="C342" s="35" t="s">
        <v>347</v>
      </c>
      <c r="D342" s="14" t="s">
        <v>95</v>
      </c>
      <c r="E342" s="5"/>
      <c r="F342" s="5" t="s">
        <v>709</v>
      </c>
      <c r="G342" s="7"/>
      <c r="H342" s="7"/>
      <c r="I342" s="7"/>
      <c r="J342" s="7"/>
      <c r="K342" s="7"/>
      <c r="L342" s="7"/>
      <c r="M342" s="7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9"/>
    </row>
    <row r="343">
      <c r="A343" s="10">
        <v>2.4110011E7</v>
      </c>
      <c r="B343" s="10" t="s">
        <v>710</v>
      </c>
      <c r="C343" s="36" t="s">
        <v>347</v>
      </c>
      <c r="D343" s="13" t="s">
        <v>95</v>
      </c>
      <c r="E343" s="10"/>
      <c r="F343" s="10" t="s">
        <v>711</v>
      </c>
      <c r="G343" s="12"/>
      <c r="H343" s="12"/>
      <c r="I343" s="12"/>
      <c r="J343" s="12"/>
      <c r="K343" s="12"/>
      <c r="L343" s="12"/>
      <c r="M343" s="12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9"/>
    </row>
    <row r="344">
      <c r="A344" s="5">
        <v>2.320148E7</v>
      </c>
      <c r="B344" s="5" t="s">
        <v>712</v>
      </c>
      <c r="C344" s="35" t="s">
        <v>347</v>
      </c>
      <c r="D344" s="14" t="s">
        <v>95</v>
      </c>
      <c r="E344" s="5"/>
      <c r="F344" s="5" t="s">
        <v>713</v>
      </c>
      <c r="G344" s="7"/>
      <c r="H344" s="7"/>
      <c r="I344" s="7"/>
      <c r="J344" s="7"/>
      <c r="K344" s="7"/>
      <c r="L344" s="7"/>
      <c r="M344" s="7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9"/>
    </row>
    <row r="345">
      <c r="A345" s="10">
        <v>2.3101507E7</v>
      </c>
      <c r="B345" s="10" t="s">
        <v>714</v>
      </c>
      <c r="C345" s="36" t="s">
        <v>347</v>
      </c>
      <c r="D345" s="13" t="s">
        <v>95</v>
      </c>
      <c r="E345" s="10"/>
      <c r="F345" s="10" t="s">
        <v>715</v>
      </c>
      <c r="G345" s="12"/>
      <c r="H345" s="12"/>
      <c r="I345" s="12"/>
      <c r="J345" s="12"/>
      <c r="K345" s="12"/>
      <c r="L345" s="12"/>
      <c r="M345" s="12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9"/>
    </row>
    <row r="346">
      <c r="A346" s="5">
        <v>2.4301184E7</v>
      </c>
      <c r="B346" s="5" t="s">
        <v>716</v>
      </c>
      <c r="C346" s="35" t="s">
        <v>347</v>
      </c>
      <c r="D346" s="14" t="s">
        <v>95</v>
      </c>
      <c r="E346" s="5"/>
      <c r="F346" s="5" t="s">
        <v>717</v>
      </c>
      <c r="G346" s="7"/>
      <c r="H346" s="7"/>
      <c r="I346" s="7"/>
      <c r="J346" s="7"/>
      <c r="K346" s="7"/>
      <c r="L346" s="7"/>
      <c r="M346" s="7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9"/>
    </row>
    <row r="347">
      <c r="A347" s="10">
        <v>2.4121287E7</v>
      </c>
      <c r="B347" s="10" t="s">
        <v>718</v>
      </c>
      <c r="C347" s="36" t="s">
        <v>347</v>
      </c>
      <c r="D347" s="13" t="s">
        <v>95</v>
      </c>
      <c r="E347" s="10"/>
      <c r="F347" s="10" t="s">
        <v>719</v>
      </c>
      <c r="G347" s="12"/>
      <c r="H347" s="12"/>
      <c r="I347" s="12"/>
      <c r="J347" s="12"/>
      <c r="K347" s="12"/>
      <c r="L347" s="12"/>
      <c r="M347" s="12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9"/>
    </row>
    <row r="348">
      <c r="A348" s="5">
        <v>2.4101348E7</v>
      </c>
      <c r="B348" s="5" t="s">
        <v>720</v>
      </c>
      <c r="C348" s="35" t="s">
        <v>347</v>
      </c>
      <c r="D348" s="14" t="s">
        <v>95</v>
      </c>
      <c r="E348" s="5"/>
      <c r="F348" s="5" t="s">
        <v>721</v>
      </c>
      <c r="G348" s="7"/>
      <c r="H348" s="7"/>
      <c r="I348" s="7"/>
      <c r="J348" s="7"/>
      <c r="K348" s="7"/>
      <c r="L348" s="7"/>
      <c r="M348" s="7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9"/>
    </row>
    <row r="349">
      <c r="A349" s="10">
        <v>2.4301478E7</v>
      </c>
      <c r="B349" s="10" t="s">
        <v>722</v>
      </c>
      <c r="C349" s="36" t="s">
        <v>347</v>
      </c>
      <c r="D349" s="13" t="s">
        <v>95</v>
      </c>
      <c r="E349" s="10"/>
      <c r="F349" s="10" t="s">
        <v>723</v>
      </c>
      <c r="G349" s="12"/>
      <c r="H349" s="12"/>
      <c r="I349" s="12"/>
      <c r="J349" s="12"/>
      <c r="K349" s="12"/>
      <c r="L349" s="12"/>
      <c r="M349" s="12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9"/>
    </row>
    <row r="350">
      <c r="A350" s="5">
        <v>2.4301031E7</v>
      </c>
      <c r="B350" s="5" t="s">
        <v>724</v>
      </c>
      <c r="C350" s="35" t="s">
        <v>347</v>
      </c>
      <c r="D350" s="14" t="s">
        <v>95</v>
      </c>
      <c r="E350" s="5"/>
      <c r="F350" s="5" t="s">
        <v>725</v>
      </c>
      <c r="G350" s="7"/>
      <c r="H350" s="7"/>
      <c r="I350" s="7"/>
      <c r="J350" s="7"/>
      <c r="K350" s="7"/>
      <c r="L350" s="7"/>
      <c r="M350" s="7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9"/>
    </row>
    <row r="351">
      <c r="A351" s="10">
        <v>2.4301137E7</v>
      </c>
      <c r="B351" s="10" t="s">
        <v>726</v>
      </c>
      <c r="C351" s="36" t="s">
        <v>347</v>
      </c>
      <c r="D351" s="13" t="s">
        <v>95</v>
      </c>
      <c r="E351" s="10"/>
      <c r="F351" s="10" t="s">
        <v>727</v>
      </c>
      <c r="G351" s="12"/>
      <c r="H351" s="12"/>
      <c r="I351" s="12"/>
      <c r="J351" s="12"/>
      <c r="K351" s="12"/>
      <c r="L351" s="12"/>
      <c r="M351" s="12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9"/>
    </row>
    <row r="352">
      <c r="A352" s="5">
        <v>2.4101306E7</v>
      </c>
      <c r="B352" s="5" t="s">
        <v>728</v>
      </c>
      <c r="C352" s="35" t="s">
        <v>347</v>
      </c>
      <c r="D352" s="14" t="s">
        <v>95</v>
      </c>
      <c r="E352" s="5"/>
      <c r="F352" s="5" t="s">
        <v>729</v>
      </c>
      <c r="G352" s="7"/>
      <c r="H352" s="7"/>
      <c r="I352" s="7"/>
      <c r="J352" s="7"/>
      <c r="K352" s="7"/>
      <c r="L352" s="7"/>
      <c r="M352" s="7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9"/>
    </row>
    <row r="353">
      <c r="A353" s="10">
        <v>2.4301231E7</v>
      </c>
      <c r="B353" s="10" t="s">
        <v>730</v>
      </c>
      <c r="C353" s="36" t="s">
        <v>347</v>
      </c>
      <c r="D353" s="13" t="s">
        <v>95</v>
      </c>
      <c r="E353" s="10"/>
      <c r="F353" s="10" t="s">
        <v>731</v>
      </c>
      <c r="G353" s="12"/>
      <c r="H353" s="12"/>
      <c r="I353" s="12"/>
      <c r="J353" s="12"/>
      <c r="K353" s="12"/>
      <c r="L353" s="12"/>
      <c r="M353" s="12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9"/>
    </row>
    <row r="354">
      <c r="A354" s="5">
        <v>2.4121313E7</v>
      </c>
      <c r="B354" s="5" t="s">
        <v>732</v>
      </c>
      <c r="C354" s="35" t="s">
        <v>347</v>
      </c>
      <c r="D354" s="14" t="s">
        <v>95</v>
      </c>
      <c r="E354" s="5"/>
      <c r="F354" s="5" t="s">
        <v>733</v>
      </c>
      <c r="G354" s="7"/>
      <c r="H354" s="7"/>
      <c r="I354" s="7"/>
      <c r="J354" s="7"/>
      <c r="K354" s="7"/>
      <c r="L354" s="7"/>
      <c r="M354" s="7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9"/>
    </row>
    <row r="355">
      <c r="A355" s="10">
        <v>2.4101155E7</v>
      </c>
      <c r="B355" s="10" t="s">
        <v>734</v>
      </c>
      <c r="C355" s="36" t="s">
        <v>347</v>
      </c>
      <c r="D355" s="13" t="s">
        <v>95</v>
      </c>
      <c r="E355" s="10"/>
      <c r="F355" s="10" t="s">
        <v>735</v>
      </c>
      <c r="G355" s="12"/>
      <c r="H355" s="12"/>
      <c r="I355" s="12"/>
      <c r="J355" s="12"/>
      <c r="K355" s="12"/>
      <c r="L355" s="12"/>
      <c r="M355" s="12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9"/>
    </row>
    <row r="356">
      <c r="A356" s="5">
        <v>2.4101345E7</v>
      </c>
      <c r="B356" s="5" t="s">
        <v>736</v>
      </c>
      <c r="C356" s="35" t="s">
        <v>347</v>
      </c>
      <c r="D356" s="14" t="s">
        <v>95</v>
      </c>
      <c r="E356" s="5"/>
      <c r="F356" s="5" t="s">
        <v>737</v>
      </c>
      <c r="G356" s="7"/>
      <c r="H356" s="7"/>
      <c r="I356" s="7"/>
      <c r="J356" s="7"/>
      <c r="K356" s="7"/>
      <c r="L356" s="7"/>
      <c r="M356" s="7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9"/>
    </row>
    <row r="357">
      <c r="A357" s="10">
        <v>2.4101047E7</v>
      </c>
      <c r="B357" s="10" t="s">
        <v>738</v>
      </c>
      <c r="C357" s="36" t="s">
        <v>347</v>
      </c>
      <c r="D357" s="13" t="s">
        <v>95</v>
      </c>
      <c r="E357" s="10"/>
      <c r="F357" s="10" t="s">
        <v>739</v>
      </c>
      <c r="G357" s="12"/>
      <c r="H357" s="12"/>
      <c r="I357" s="12"/>
      <c r="J357" s="12"/>
      <c r="K357" s="12"/>
      <c r="L357" s="12"/>
      <c r="M357" s="12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9"/>
    </row>
    <row r="358">
      <c r="A358" s="5">
        <v>2.3301557E7</v>
      </c>
      <c r="B358" s="5" t="s">
        <v>740</v>
      </c>
      <c r="C358" s="35" t="s">
        <v>347</v>
      </c>
      <c r="D358" s="14" t="s">
        <v>95</v>
      </c>
      <c r="E358" s="5"/>
      <c r="F358" s="5" t="s">
        <v>741</v>
      </c>
      <c r="G358" s="7"/>
      <c r="H358" s="7"/>
      <c r="I358" s="7"/>
      <c r="J358" s="7"/>
      <c r="K358" s="7"/>
      <c r="L358" s="7"/>
      <c r="M358" s="7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9"/>
    </row>
    <row r="359">
      <c r="A359" s="10">
        <v>2.4301191E7</v>
      </c>
      <c r="B359" s="10" t="s">
        <v>742</v>
      </c>
      <c r="C359" s="36" t="s">
        <v>347</v>
      </c>
      <c r="D359" s="13" t="s">
        <v>95</v>
      </c>
      <c r="E359" s="10"/>
      <c r="F359" s="10" t="s">
        <v>743</v>
      </c>
      <c r="G359" s="12"/>
      <c r="H359" s="12"/>
      <c r="I359" s="12"/>
      <c r="J359" s="12"/>
      <c r="K359" s="12"/>
      <c r="L359" s="12"/>
      <c r="M359" s="12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9"/>
    </row>
    <row r="360">
      <c r="A360" s="5">
        <v>2.2201117E7</v>
      </c>
      <c r="B360" s="5" t="s">
        <v>744</v>
      </c>
      <c r="C360" s="35" t="s">
        <v>347</v>
      </c>
      <c r="D360" s="14" t="s">
        <v>95</v>
      </c>
      <c r="E360" s="5"/>
      <c r="F360" s="5" t="s">
        <v>745</v>
      </c>
      <c r="G360" s="7"/>
      <c r="H360" s="7"/>
      <c r="I360" s="7"/>
      <c r="J360" s="7"/>
      <c r="K360" s="7"/>
      <c r="L360" s="7"/>
      <c r="M360" s="7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9"/>
    </row>
    <row r="361">
      <c r="A361" s="10">
        <v>2.4204095E7</v>
      </c>
      <c r="B361" s="10" t="s">
        <v>746</v>
      </c>
      <c r="C361" s="36" t="s">
        <v>347</v>
      </c>
      <c r="D361" s="13" t="s">
        <v>95</v>
      </c>
      <c r="E361" s="10"/>
      <c r="F361" s="10" t="s">
        <v>747</v>
      </c>
      <c r="G361" s="12"/>
      <c r="H361" s="12"/>
      <c r="I361" s="12"/>
      <c r="J361" s="12"/>
      <c r="K361" s="12"/>
      <c r="L361" s="12"/>
      <c r="M361" s="12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9"/>
    </row>
    <row r="362">
      <c r="A362" s="5">
        <v>2.2301244E7</v>
      </c>
      <c r="B362" s="5" t="s">
        <v>748</v>
      </c>
      <c r="C362" s="35" t="s">
        <v>347</v>
      </c>
      <c r="D362" s="14" t="s">
        <v>95</v>
      </c>
      <c r="E362" s="5"/>
      <c r="F362" s="5" t="s">
        <v>749</v>
      </c>
      <c r="G362" s="7"/>
      <c r="H362" s="7"/>
      <c r="I362" s="7"/>
      <c r="J362" s="7"/>
      <c r="K362" s="7"/>
      <c r="L362" s="7"/>
      <c r="M362" s="7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9"/>
    </row>
    <row r="363">
      <c r="A363" s="10">
        <v>2.4201197E7</v>
      </c>
      <c r="B363" s="10" t="s">
        <v>750</v>
      </c>
      <c r="C363" s="36" t="s">
        <v>347</v>
      </c>
      <c r="D363" s="13" t="s">
        <v>95</v>
      </c>
      <c r="E363" s="10"/>
      <c r="F363" s="10" t="s">
        <v>751</v>
      </c>
      <c r="G363" s="12"/>
      <c r="H363" s="12"/>
      <c r="I363" s="12"/>
      <c r="J363" s="12"/>
      <c r="K363" s="12"/>
      <c r="L363" s="12"/>
      <c r="M363" s="12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9"/>
    </row>
    <row r="364">
      <c r="A364" s="5">
        <v>2.4201031E7</v>
      </c>
      <c r="B364" s="5" t="s">
        <v>752</v>
      </c>
      <c r="C364" s="35" t="s">
        <v>347</v>
      </c>
      <c r="D364" s="14" t="s">
        <v>95</v>
      </c>
      <c r="E364" s="5"/>
      <c r="F364" s="5" t="s">
        <v>753</v>
      </c>
      <c r="G364" s="7"/>
      <c r="H364" s="7"/>
      <c r="I364" s="7"/>
      <c r="J364" s="7"/>
      <c r="K364" s="7"/>
      <c r="L364" s="7"/>
      <c r="M364" s="7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9"/>
    </row>
    <row r="365">
      <c r="A365" s="10">
        <v>2.421502E7</v>
      </c>
      <c r="B365" s="10" t="s">
        <v>754</v>
      </c>
      <c r="C365" s="36" t="s">
        <v>347</v>
      </c>
      <c r="D365" s="13" t="s">
        <v>95</v>
      </c>
      <c r="E365" s="10"/>
      <c r="F365" s="10" t="s">
        <v>755</v>
      </c>
      <c r="G365" s="12"/>
      <c r="H365" s="12"/>
      <c r="I365" s="12"/>
      <c r="J365" s="12"/>
      <c r="K365" s="12"/>
      <c r="L365" s="12"/>
      <c r="M365" s="12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9"/>
    </row>
    <row r="366">
      <c r="A366" s="5">
        <v>2.4201213E7</v>
      </c>
      <c r="B366" s="5" t="s">
        <v>756</v>
      </c>
      <c r="C366" s="35" t="s">
        <v>347</v>
      </c>
      <c r="D366" s="14" t="s">
        <v>95</v>
      </c>
      <c r="E366" s="5"/>
      <c r="F366" s="5" t="s">
        <v>757</v>
      </c>
      <c r="G366" s="7"/>
      <c r="H366" s="7"/>
      <c r="I366" s="7"/>
      <c r="J366" s="7"/>
      <c r="K366" s="7"/>
      <c r="L366" s="7"/>
      <c r="M366" s="7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9"/>
    </row>
    <row r="367">
      <c r="A367" s="10">
        <v>2.4301161E7</v>
      </c>
      <c r="B367" s="10" t="s">
        <v>758</v>
      </c>
      <c r="C367" s="36" t="s">
        <v>347</v>
      </c>
      <c r="D367" s="13" t="s">
        <v>95</v>
      </c>
      <c r="E367" s="10"/>
      <c r="F367" s="10" t="s">
        <v>759</v>
      </c>
      <c r="G367" s="12"/>
      <c r="H367" s="12"/>
      <c r="I367" s="12"/>
      <c r="J367" s="12"/>
      <c r="K367" s="12"/>
      <c r="L367" s="12"/>
      <c r="M367" s="12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9"/>
    </row>
    <row r="368">
      <c r="A368" s="5">
        <v>2.4201261E7</v>
      </c>
      <c r="B368" s="5" t="s">
        <v>760</v>
      </c>
      <c r="C368" s="35" t="s">
        <v>347</v>
      </c>
      <c r="D368" s="14" t="s">
        <v>95</v>
      </c>
      <c r="E368" s="5"/>
      <c r="F368" s="5" t="s">
        <v>761</v>
      </c>
      <c r="G368" s="7"/>
      <c r="H368" s="7"/>
      <c r="I368" s="7"/>
      <c r="J368" s="7"/>
      <c r="K368" s="7"/>
      <c r="L368" s="7"/>
      <c r="M368" s="7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9"/>
    </row>
    <row r="369">
      <c r="A369" s="10">
        <v>2.420133E7</v>
      </c>
      <c r="B369" s="10" t="s">
        <v>762</v>
      </c>
      <c r="C369" s="36" t="s">
        <v>347</v>
      </c>
      <c r="D369" s="13" t="s">
        <v>95</v>
      </c>
      <c r="E369" s="10"/>
      <c r="F369" s="10" t="s">
        <v>763</v>
      </c>
      <c r="G369" s="12"/>
      <c r="H369" s="12"/>
      <c r="I369" s="12"/>
      <c r="J369" s="12"/>
      <c r="K369" s="12"/>
      <c r="L369" s="12"/>
      <c r="M369" s="12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9"/>
    </row>
    <row r="370">
      <c r="A370" s="5">
        <v>2.4201023E7</v>
      </c>
      <c r="B370" s="5" t="s">
        <v>764</v>
      </c>
      <c r="C370" s="35" t="s">
        <v>347</v>
      </c>
      <c r="D370" s="14" t="s">
        <v>95</v>
      </c>
      <c r="E370" s="5"/>
      <c r="F370" s="5" t="s">
        <v>765</v>
      </c>
      <c r="G370" s="7"/>
      <c r="H370" s="7"/>
      <c r="I370" s="7"/>
      <c r="J370" s="7"/>
      <c r="K370" s="7"/>
      <c r="L370" s="7"/>
      <c r="M370" s="7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9"/>
    </row>
    <row r="371">
      <c r="A371" s="10">
        <v>2.2201532E7</v>
      </c>
      <c r="B371" s="10" t="s">
        <v>766</v>
      </c>
      <c r="C371" s="36" t="s">
        <v>347</v>
      </c>
      <c r="D371" s="13" t="s">
        <v>95</v>
      </c>
      <c r="E371" s="10"/>
      <c r="F371" s="10" t="s">
        <v>767</v>
      </c>
      <c r="G371" s="12"/>
      <c r="H371" s="12"/>
      <c r="I371" s="12"/>
      <c r="J371" s="12"/>
      <c r="K371" s="12"/>
      <c r="L371" s="12"/>
      <c r="M371" s="12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9"/>
    </row>
    <row r="372">
      <c r="A372" s="5">
        <v>2.3201204E7</v>
      </c>
      <c r="B372" s="5" t="s">
        <v>768</v>
      </c>
      <c r="C372" s="35" t="s">
        <v>347</v>
      </c>
      <c r="D372" s="14" t="s">
        <v>95</v>
      </c>
      <c r="E372" s="5"/>
      <c r="F372" s="5" t="s">
        <v>769</v>
      </c>
      <c r="G372" s="7"/>
      <c r="H372" s="7"/>
      <c r="I372" s="7"/>
      <c r="J372" s="7"/>
      <c r="K372" s="7"/>
      <c r="L372" s="7"/>
      <c r="M372" s="7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9"/>
    </row>
    <row r="373">
      <c r="A373" s="10">
        <v>2.2201757E7</v>
      </c>
      <c r="B373" s="10" t="s">
        <v>770</v>
      </c>
      <c r="C373" s="36" t="s">
        <v>347</v>
      </c>
      <c r="D373" s="13" t="s">
        <v>95</v>
      </c>
      <c r="E373" s="10"/>
      <c r="F373" s="10" t="s">
        <v>771</v>
      </c>
      <c r="G373" s="12"/>
      <c r="H373" s="12"/>
      <c r="I373" s="12"/>
      <c r="J373" s="12"/>
      <c r="K373" s="12"/>
      <c r="L373" s="12"/>
      <c r="M373" s="12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9"/>
    </row>
    <row r="374">
      <c r="A374" s="5">
        <v>2.2201844E7</v>
      </c>
      <c r="B374" s="5" t="s">
        <v>772</v>
      </c>
      <c r="C374" s="35" t="s">
        <v>347</v>
      </c>
      <c r="D374" s="14" t="s">
        <v>95</v>
      </c>
      <c r="E374" s="5"/>
      <c r="F374" s="5" t="s">
        <v>773</v>
      </c>
      <c r="G374" s="7"/>
      <c r="H374" s="7"/>
      <c r="I374" s="7"/>
      <c r="J374" s="7"/>
      <c r="K374" s="7"/>
      <c r="L374" s="7"/>
      <c r="M374" s="7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9"/>
    </row>
    <row r="375">
      <c r="A375" s="10">
        <v>2.3101228E7</v>
      </c>
      <c r="B375" s="10" t="s">
        <v>774</v>
      </c>
      <c r="C375" s="36" t="s">
        <v>347</v>
      </c>
      <c r="D375" s="13" t="s">
        <v>95</v>
      </c>
      <c r="E375" s="10"/>
      <c r="F375" s="10" t="s">
        <v>775</v>
      </c>
      <c r="G375" s="12"/>
      <c r="H375" s="12"/>
      <c r="I375" s="12"/>
      <c r="J375" s="12"/>
      <c r="K375" s="12"/>
      <c r="L375" s="12"/>
      <c r="M375" s="12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9"/>
    </row>
    <row r="376">
      <c r="A376" s="5">
        <v>2.3101461E7</v>
      </c>
      <c r="B376" s="5" t="s">
        <v>776</v>
      </c>
      <c r="C376" s="35" t="s">
        <v>347</v>
      </c>
      <c r="D376" s="14" t="s">
        <v>95</v>
      </c>
      <c r="E376" s="5"/>
      <c r="F376" s="5" t="s">
        <v>777</v>
      </c>
      <c r="G376" s="7"/>
      <c r="H376" s="7"/>
      <c r="I376" s="7"/>
      <c r="J376" s="7"/>
      <c r="K376" s="7"/>
      <c r="L376" s="7"/>
      <c r="M376" s="7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9"/>
    </row>
    <row r="377">
      <c r="A377" s="10">
        <v>2.3101539E7</v>
      </c>
      <c r="B377" s="10" t="s">
        <v>778</v>
      </c>
      <c r="C377" s="36" t="s">
        <v>347</v>
      </c>
      <c r="D377" s="13" t="s">
        <v>95</v>
      </c>
      <c r="E377" s="10"/>
      <c r="F377" s="10" t="s">
        <v>779</v>
      </c>
      <c r="G377" s="12"/>
      <c r="H377" s="12"/>
      <c r="I377" s="12"/>
      <c r="J377" s="12"/>
      <c r="K377" s="12"/>
      <c r="L377" s="12"/>
      <c r="M377" s="12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9"/>
    </row>
    <row r="378">
      <c r="A378" s="5">
        <v>2.3201016E7</v>
      </c>
      <c r="B378" s="5" t="s">
        <v>780</v>
      </c>
      <c r="C378" s="35" t="s">
        <v>347</v>
      </c>
      <c r="D378" s="14" t="s">
        <v>95</v>
      </c>
      <c r="E378" s="5"/>
      <c r="F378" s="5" t="s">
        <v>781</v>
      </c>
      <c r="G378" s="7"/>
      <c r="H378" s="7"/>
      <c r="I378" s="7"/>
      <c r="J378" s="7"/>
      <c r="K378" s="7"/>
      <c r="L378" s="7"/>
      <c r="M378" s="7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9"/>
    </row>
    <row r="379">
      <c r="A379" s="10">
        <v>2.320138E7</v>
      </c>
      <c r="B379" s="10" t="s">
        <v>782</v>
      </c>
      <c r="C379" s="36" t="s">
        <v>347</v>
      </c>
      <c r="D379" s="13" t="s">
        <v>95</v>
      </c>
      <c r="E379" s="10"/>
      <c r="F379" s="10" t="s">
        <v>783</v>
      </c>
      <c r="G379" s="12"/>
      <c r="H379" s="12"/>
      <c r="I379" s="12"/>
      <c r="J379" s="12"/>
      <c r="K379" s="12"/>
      <c r="L379" s="12"/>
      <c r="M379" s="12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9"/>
    </row>
    <row r="380">
      <c r="A380" s="5">
        <v>2.32015E7</v>
      </c>
      <c r="B380" s="5" t="s">
        <v>784</v>
      </c>
      <c r="C380" s="35" t="s">
        <v>347</v>
      </c>
      <c r="D380" s="14" t="s">
        <v>95</v>
      </c>
      <c r="E380" s="5"/>
      <c r="F380" s="5" t="s">
        <v>785</v>
      </c>
      <c r="G380" s="7"/>
      <c r="H380" s="7"/>
      <c r="I380" s="7"/>
      <c r="J380" s="7"/>
      <c r="K380" s="7"/>
      <c r="L380" s="7"/>
      <c r="M380" s="7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9"/>
    </row>
    <row r="381">
      <c r="A381" s="10">
        <v>2.3236107E7</v>
      </c>
      <c r="B381" s="10" t="s">
        <v>786</v>
      </c>
      <c r="C381" s="36" t="s">
        <v>347</v>
      </c>
      <c r="D381" s="13" t="s">
        <v>95</v>
      </c>
      <c r="E381" s="10"/>
      <c r="F381" s="10" t="s">
        <v>787</v>
      </c>
      <c r="G381" s="12"/>
      <c r="H381" s="12"/>
      <c r="I381" s="12"/>
      <c r="J381" s="12"/>
      <c r="K381" s="12"/>
      <c r="L381" s="12"/>
      <c r="M381" s="12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9"/>
    </row>
    <row r="382">
      <c r="A382" s="5">
        <v>2.3301182E7</v>
      </c>
      <c r="B382" s="5" t="s">
        <v>788</v>
      </c>
      <c r="C382" s="35" t="s">
        <v>347</v>
      </c>
      <c r="D382" s="14" t="s">
        <v>95</v>
      </c>
      <c r="E382" s="5"/>
      <c r="F382" s="5" t="s">
        <v>789</v>
      </c>
      <c r="G382" s="7"/>
      <c r="H382" s="7"/>
      <c r="I382" s="7"/>
      <c r="J382" s="7"/>
      <c r="K382" s="7"/>
      <c r="L382" s="7"/>
      <c r="M382" s="7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9"/>
    </row>
    <row r="383">
      <c r="A383" s="10">
        <v>2.330413E7</v>
      </c>
      <c r="B383" s="10" t="s">
        <v>790</v>
      </c>
      <c r="C383" s="36" t="s">
        <v>347</v>
      </c>
      <c r="D383" s="13" t="s">
        <v>95</v>
      </c>
      <c r="E383" s="10"/>
      <c r="F383" s="10" t="s">
        <v>791</v>
      </c>
      <c r="G383" s="12"/>
      <c r="H383" s="12"/>
      <c r="I383" s="12"/>
      <c r="J383" s="12"/>
      <c r="K383" s="12"/>
      <c r="L383" s="12"/>
      <c r="M383" s="12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9"/>
    </row>
    <row r="384">
      <c r="A384" s="5">
        <v>2.410102E7</v>
      </c>
      <c r="B384" s="5" t="s">
        <v>792</v>
      </c>
      <c r="C384" s="35" t="s">
        <v>347</v>
      </c>
      <c r="D384" s="14" t="s">
        <v>95</v>
      </c>
      <c r="E384" s="5"/>
      <c r="F384" s="5" t="s">
        <v>793</v>
      </c>
      <c r="G384" s="7"/>
      <c r="H384" s="7"/>
      <c r="I384" s="7"/>
      <c r="J384" s="7"/>
      <c r="K384" s="7"/>
      <c r="L384" s="7"/>
      <c r="M384" s="7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9"/>
    </row>
    <row r="385">
      <c r="A385" s="10">
        <v>2.4101492E7</v>
      </c>
      <c r="B385" s="10" t="s">
        <v>794</v>
      </c>
      <c r="C385" s="36" t="s">
        <v>347</v>
      </c>
      <c r="D385" s="13" t="s">
        <v>95</v>
      </c>
      <c r="E385" s="10"/>
      <c r="F385" s="10" t="s">
        <v>795</v>
      </c>
      <c r="G385" s="12"/>
      <c r="H385" s="12"/>
      <c r="I385" s="12"/>
      <c r="J385" s="12"/>
      <c r="K385" s="12"/>
      <c r="L385" s="12"/>
      <c r="M385" s="12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9"/>
    </row>
    <row r="386">
      <c r="A386" s="5">
        <v>2.4201162E7</v>
      </c>
      <c r="B386" s="5" t="s">
        <v>796</v>
      </c>
      <c r="C386" s="35" t="s">
        <v>347</v>
      </c>
      <c r="D386" s="14" t="s">
        <v>95</v>
      </c>
      <c r="E386" s="5"/>
      <c r="F386" s="5" t="s">
        <v>797</v>
      </c>
      <c r="G386" s="7"/>
      <c r="H386" s="7"/>
      <c r="I386" s="7"/>
      <c r="J386" s="7"/>
      <c r="K386" s="7"/>
      <c r="L386" s="7"/>
      <c r="M386" s="7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9"/>
    </row>
    <row r="387">
      <c r="A387" s="10">
        <v>2.420119E7</v>
      </c>
      <c r="B387" s="10" t="s">
        <v>798</v>
      </c>
      <c r="C387" s="36" t="s">
        <v>347</v>
      </c>
      <c r="D387" s="13" t="s">
        <v>95</v>
      </c>
      <c r="E387" s="10"/>
      <c r="F387" s="10" t="s">
        <v>799</v>
      </c>
      <c r="G387" s="12"/>
      <c r="H387" s="12"/>
      <c r="I387" s="12"/>
      <c r="J387" s="12"/>
      <c r="K387" s="12"/>
      <c r="L387" s="12"/>
      <c r="M387" s="12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9"/>
    </row>
    <row r="388">
      <c r="A388" s="5">
        <v>2.4201318E7</v>
      </c>
      <c r="B388" s="5" t="s">
        <v>800</v>
      </c>
      <c r="C388" s="35" t="s">
        <v>347</v>
      </c>
      <c r="D388" s="14" t="s">
        <v>95</v>
      </c>
      <c r="E388" s="5"/>
      <c r="F388" s="5" t="s">
        <v>801</v>
      </c>
      <c r="G388" s="7"/>
      <c r="H388" s="25"/>
      <c r="I388" s="7"/>
      <c r="J388" s="7"/>
      <c r="K388" s="7"/>
      <c r="L388" s="7"/>
      <c r="M388" s="7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9"/>
    </row>
    <row r="389">
      <c r="A389" s="10">
        <v>2.4301424E7</v>
      </c>
      <c r="B389" s="10" t="s">
        <v>802</v>
      </c>
      <c r="C389" s="36" t="s">
        <v>347</v>
      </c>
      <c r="D389" s="13" t="s">
        <v>95</v>
      </c>
      <c r="E389" s="10"/>
      <c r="F389" s="10" t="s">
        <v>803</v>
      </c>
      <c r="G389" s="12"/>
      <c r="H389" s="17"/>
      <c r="I389" s="12"/>
      <c r="J389" s="12"/>
      <c r="K389" s="12"/>
      <c r="L389" s="12"/>
      <c r="M389" s="12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9"/>
    </row>
    <row r="390">
      <c r="A390" s="5">
        <v>2.4315029E7</v>
      </c>
      <c r="B390" s="5" t="s">
        <v>804</v>
      </c>
      <c r="C390" s="35" t="s">
        <v>347</v>
      </c>
      <c r="D390" s="14" t="s">
        <v>95</v>
      </c>
      <c r="E390" s="5"/>
      <c r="F390" s="5" t="s">
        <v>805</v>
      </c>
      <c r="G390" s="7"/>
      <c r="H390" s="25"/>
      <c r="I390" s="7"/>
      <c r="J390" s="7"/>
      <c r="K390" s="7"/>
      <c r="L390" s="7"/>
      <c r="M390" s="7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9"/>
    </row>
    <row r="391">
      <c r="A391" s="10">
        <v>2.5108003E7</v>
      </c>
      <c r="B391" s="10" t="s">
        <v>806</v>
      </c>
      <c r="C391" s="36" t="s">
        <v>347</v>
      </c>
      <c r="D391" s="13" t="s">
        <v>95</v>
      </c>
      <c r="E391" s="10"/>
      <c r="F391" s="10" t="s">
        <v>807</v>
      </c>
      <c r="G391" s="12"/>
      <c r="H391" s="17"/>
      <c r="I391" s="12"/>
      <c r="J391" s="12"/>
      <c r="K391" s="12"/>
      <c r="L391" s="12"/>
      <c r="M391" s="12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9"/>
    </row>
    <row r="392">
      <c r="A392" s="5">
        <v>2.5108004E7</v>
      </c>
      <c r="B392" s="5" t="s">
        <v>808</v>
      </c>
      <c r="C392" s="35" t="s">
        <v>347</v>
      </c>
      <c r="D392" s="14" t="s">
        <v>95</v>
      </c>
      <c r="E392" s="5"/>
      <c r="F392" s="5" t="s">
        <v>809</v>
      </c>
      <c r="G392" s="7"/>
      <c r="H392" s="25"/>
      <c r="I392" s="7"/>
      <c r="J392" s="7"/>
      <c r="K392" s="7"/>
      <c r="L392" s="7"/>
      <c r="M392" s="7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9"/>
    </row>
    <row r="393">
      <c r="A393" s="10">
        <v>1.000054183E9</v>
      </c>
      <c r="B393" s="10" t="s">
        <v>810</v>
      </c>
      <c r="C393" s="36" t="s">
        <v>347</v>
      </c>
      <c r="D393" s="13" t="s">
        <v>95</v>
      </c>
      <c r="E393" s="10"/>
      <c r="F393" s="10" t="s">
        <v>811</v>
      </c>
      <c r="G393" s="12"/>
      <c r="H393" s="17"/>
      <c r="I393" s="12"/>
      <c r="J393" s="12"/>
      <c r="K393" s="12"/>
      <c r="L393" s="12"/>
      <c r="M393" s="12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9"/>
    </row>
    <row r="394">
      <c r="A394" s="5">
        <v>1.000055051E9</v>
      </c>
      <c r="B394" s="5" t="s">
        <v>812</v>
      </c>
      <c r="C394" s="35" t="s">
        <v>347</v>
      </c>
      <c r="D394" s="14" t="s">
        <v>95</v>
      </c>
      <c r="E394" s="5"/>
      <c r="F394" s="5" t="s">
        <v>813</v>
      </c>
      <c r="G394" s="7"/>
      <c r="H394" s="25"/>
      <c r="I394" s="7"/>
      <c r="J394" s="7"/>
      <c r="K394" s="7"/>
      <c r="L394" s="7"/>
      <c r="M394" s="7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9"/>
    </row>
    <row r="395">
      <c r="A395" s="10">
        <v>1.00005522E9</v>
      </c>
      <c r="B395" s="10" t="s">
        <v>814</v>
      </c>
      <c r="C395" s="36" t="s">
        <v>347</v>
      </c>
      <c r="D395" s="13" t="s">
        <v>95</v>
      </c>
      <c r="E395" s="10"/>
      <c r="F395" s="10" t="s">
        <v>815</v>
      </c>
      <c r="G395" s="12"/>
      <c r="H395" s="12"/>
      <c r="I395" s="12"/>
      <c r="J395" s="12"/>
      <c r="K395" s="12"/>
      <c r="L395" s="12"/>
      <c r="M395" s="12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9"/>
    </row>
    <row r="396">
      <c r="A396" s="5">
        <v>2.4101224E7</v>
      </c>
      <c r="B396" s="5" t="s">
        <v>816</v>
      </c>
      <c r="C396" s="35" t="s">
        <v>347</v>
      </c>
      <c r="D396" s="14" t="s">
        <v>95</v>
      </c>
      <c r="E396" s="5"/>
      <c r="F396" s="5" t="s">
        <v>817</v>
      </c>
      <c r="G396" s="7"/>
      <c r="H396" s="25"/>
      <c r="I396" s="7"/>
      <c r="J396" s="7"/>
      <c r="K396" s="7"/>
      <c r="L396" s="7"/>
      <c r="M396" s="7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9"/>
    </row>
    <row r="397">
      <c r="A397" s="10">
        <v>2.4101281E7</v>
      </c>
      <c r="B397" s="10" t="s">
        <v>818</v>
      </c>
      <c r="C397" s="36" t="s">
        <v>347</v>
      </c>
      <c r="D397" s="13" t="s">
        <v>95</v>
      </c>
      <c r="E397" s="10"/>
      <c r="F397" s="10" t="s">
        <v>819</v>
      </c>
      <c r="G397" s="12"/>
      <c r="H397" s="17"/>
      <c r="I397" s="12"/>
      <c r="J397" s="12"/>
      <c r="K397" s="12"/>
      <c r="L397" s="12"/>
      <c r="M397" s="12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9"/>
    </row>
    <row r="398">
      <c r="A398" s="5">
        <v>2.4301527E7</v>
      </c>
      <c r="B398" s="5" t="s">
        <v>820</v>
      </c>
      <c r="C398" s="35" t="s">
        <v>347</v>
      </c>
      <c r="D398" s="14" t="s">
        <v>95</v>
      </c>
      <c r="E398" s="5"/>
      <c r="F398" s="5" t="s">
        <v>821</v>
      </c>
      <c r="G398" s="7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9"/>
    </row>
    <row r="399">
      <c r="A399" s="10">
        <v>1.000054047E9</v>
      </c>
      <c r="B399" s="10" t="s">
        <v>822</v>
      </c>
      <c r="C399" s="36" t="s">
        <v>347</v>
      </c>
      <c r="D399" s="13" t="s">
        <v>95</v>
      </c>
      <c r="E399" s="10"/>
      <c r="F399" s="10" t="s">
        <v>823</v>
      </c>
      <c r="G399" s="12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9"/>
    </row>
    <row r="400">
      <c r="A400" s="5">
        <v>1.000055096E9</v>
      </c>
      <c r="B400" s="5" t="s">
        <v>824</v>
      </c>
      <c r="C400" s="35" t="s">
        <v>347</v>
      </c>
      <c r="D400" s="14" t="s">
        <v>95</v>
      </c>
      <c r="E400" s="5"/>
      <c r="F400" s="5" t="s">
        <v>825</v>
      </c>
      <c r="G400" s="7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9"/>
    </row>
    <row r="401">
      <c r="A401" s="10">
        <v>1.000054886E9</v>
      </c>
      <c r="B401" s="10" t="s">
        <v>826</v>
      </c>
      <c r="C401" s="36" t="s">
        <v>347</v>
      </c>
      <c r="D401" s="13" t="s">
        <v>95</v>
      </c>
      <c r="E401" s="10"/>
      <c r="F401" s="10" t="s">
        <v>827</v>
      </c>
      <c r="G401" s="12"/>
      <c r="H401" s="17"/>
      <c r="I401" s="12"/>
      <c r="J401" s="12"/>
      <c r="K401" s="12"/>
      <c r="L401" s="12"/>
      <c r="M401" s="12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9"/>
    </row>
    <row r="402">
      <c r="A402" s="5">
        <v>1.000055758E9</v>
      </c>
      <c r="B402" s="5" t="s">
        <v>828</v>
      </c>
      <c r="C402" s="35" t="s">
        <v>347</v>
      </c>
      <c r="D402" s="14" t="s">
        <v>95</v>
      </c>
      <c r="E402" s="5"/>
      <c r="F402" s="5" t="s">
        <v>829</v>
      </c>
      <c r="G402" s="7"/>
      <c r="H402" s="7"/>
      <c r="I402" s="7"/>
      <c r="J402" s="7"/>
      <c r="K402" s="7"/>
      <c r="L402" s="7"/>
      <c r="M402" s="7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9"/>
    </row>
    <row r="403">
      <c r="A403" s="10">
        <v>2.3201255E7</v>
      </c>
      <c r="B403" s="10" t="s">
        <v>830</v>
      </c>
      <c r="C403" s="36" t="s">
        <v>347</v>
      </c>
      <c r="D403" s="13" t="s">
        <v>95</v>
      </c>
      <c r="E403" s="10"/>
      <c r="F403" s="10" t="s">
        <v>831</v>
      </c>
      <c r="G403" s="12"/>
      <c r="H403" s="12"/>
      <c r="I403" s="12"/>
      <c r="J403" s="12"/>
      <c r="K403" s="12"/>
      <c r="L403" s="12"/>
      <c r="M403" s="12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9"/>
    </row>
    <row r="404">
      <c r="A404" s="5">
        <v>1.000057581E9</v>
      </c>
      <c r="B404" s="5" t="s">
        <v>832</v>
      </c>
      <c r="C404" s="35" t="s">
        <v>347</v>
      </c>
      <c r="D404" s="14" t="s">
        <v>95</v>
      </c>
      <c r="E404" s="5"/>
      <c r="F404" s="5" t="s">
        <v>833</v>
      </c>
      <c r="G404" s="7"/>
      <c r="H404" s="7"/>
      <c r="J404" s="7"/>
      <c r="K404" s="7"/>
      <c r="L404" s="7"/>
      <c r="M404" s="7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9"/>
    </row>
    <row r="405">
      <c r="A405" s="10">
        <v>1.000054967E9</v>
      </c>
      <c r="B405" s="10" t="s">
        <v>834</v>
      </c>
      <c r="C405" s="36" t="s">
        <v>347</v>
      </c>
      <c r="D405" s="13" t="s">
        <v>95</v>
      </c>
      <c r="E405" s="10"/>
      <c r="F405" s="10" t="s">
        <v>835</v>
      </c>
      <c r="G405" s="12"/>
      <c r="H405" s="12"/>
      <c r="I405" s="12"/>
      <c r="J405" s="12"/>
      <c r="K405" s="12"/>
      <c r="L405" s="12"/>
      <c r="M405" s="12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9"/>
    </row>
    <row r="406">
      <c r="A406" s="5">
        <v>1.000057998E9</v>
      </c>
      <c r="B406" s="5" t="s">
        <v>836</v>
      </c>
      <c r="C406" s="35" t="s">
        <v>347</v>
      </c>
      <c r="D406" s="14" t="s">
        <v>95</v>
      </c>
      <c r="E406" s="5"/>
      <c r="F406" s="5" t="s">
        <v>837</v>
      </c>
      <c r="G406" s="7"/>
      <c r="H406" s="7"/>
      <c r="I406" s="7"/>
      <c r="J406" s="7"/>
      <c r="K406" s="7"/>
      <c r="L406" s="7"/>
      <c r="M406" s="7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9"/>
    </row>
    <row r="407">
      <c r="A407" s="10">
        <v>1.000058664E9</v>
      </c>
      <c r="B407" s="10" t="s">
        <v>838</v>
      </c>
      <c r="C407" s="36" t="s">
        <v>347</v>
      </c>
      <c r="D407" s="13" t="s">
        <v>95</v>
      </c>
      <c r="E407" s="10"/>
      <c r="F407" s="10" t="s">
        <v>839</v>
      </c>
      <c r="G407" s="12"/>
      <c r="H407" s="12"/>
      <c r="I407" s="12"/>
      <c r="J407" s="12"/>
      <c r="K407" s="12"/>
      <c r="L407" s="12"/>
      <c r="M407" s="12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9"/>
    </row>
    <row r="408">
      <c r="A408" s="5">
        <v>1.000056963E9</v>
      </c>
      <c r="B408" s="5" t="s">
        <v>840</v>
      </c>
      <c r="C408" s="35" t="s">
        <v>347</v>
      </c>
      <c r="D408" s="14" t="s">
        <v>95</v>
      </c>
      <c r="E408" s="5"/>
      <c r="F408" s="5" t="s">
        <v>841</v>
      </c>
      <c r="G408" s="7"/>
      <c r="H408" s="7"/>
      <c r="I408" s="7"/>
      <c r="J408" s="7"/>
      <c r="K408" s="7"/>
      <c r="L408" s="7"/>
      <c r="M408" s="7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9"/>
    </row>
    <row r="409">
      <c r="A409" s="10">
        <v>2.4104096E7</v>
      </c>
      <c r="B409" s="10" t="s">
        <v>842</v>
      </c>
      <c r="C409" s="36" t="s">
        <v>347</v>
      </c>
      <c r="D409" s="13" t="s">
        <v>95</v>
      </c>
      <c r="E409" s="10"/>
      <c r="F409" s="10" t="s">
        <v>843</v>
      </c>
      <c r="G409" s="12"/>
      <c r="H409" s="12"/>
      <c r="I409" s="12"/>
      <c r="J409" s="12"/>
      <c r="K409" s="12"/>
      <c r="L409" s="12"/>
      <c r="M409" s="12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9"/>
    </row>
    <row r="410">
      <c r="A410" s="5">
        <v>2.4315034E7</v>
      </c>
      <c r="B410" s="5" t="s">
        <v>844</v>
      </c>
      <c r="C410" s="35" t="s">
        <v>347</v>
      </c>
      <c r="D410" s="14" t="s">
        <v>95</v>
      </c>
      <c r="E410" s="5"/>
      <c r="F410" s="5" t="s">
        <v>845</v>
      </c>
      <c r="G410" s="7"/>
      <c r="H410" s="7"/>
      <c r="I410" s="7"/>
      <c r="J410" s="7"/>
      <c r="K410" s="7"/>
      <c r="L410" s="7"/>
      <c r="M410" s="7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9"/>
    </row>
    <row r="411">
      <c r="A411" s="10">
        <v>2.3301585E7</v>
      </c>
      <c r="B411" s="10" t="s">
        <v>846</v>
      </c>
      <c r="C411" s="36" t="s">
        <v>347</v>
      </c>
      <c r="D411" s="13" t="s">
        <v>95</v>
      </c>
      <c r="E411" s="10"/>
      <c r="F411" s="10" t="s">
        <v>847</v>
      </c>
      <c r="G411" s="12"/>
      <c r="H411" s="12"/>
      <c r="I411" s="12"/>
      <c r="J411" s="12"/>
      <c r="K411" s="12"/>
      <c r="L411" s="12"/>
      <c r="M411" s="12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9"/>
    </row>
    <row r="412">
      <c r="A412" s="5">
        <v>2.410142E7</v>
      </c>
      <c r="B412" s="5" t="s">
        <v>848</v>
      </c>
      <c r="C412" s="35" t="s">
        <v>347</v>
      </c>
      <c r="D412" s="14" t="s">
        <v>95</v>
      </c>
      <c r="E412" s="5"/>
      <c r="F412" s="5" t="s">
        <v>849</v>
      </c>
      <c r="G412" s="7"/>
      <c r="H412" s="7"/>
      <c r="I412" s="7"/>
      <c r="J412" s="7"/>
      <c r="K412" s="7"/>
      <c r="L412" s="7"/>
      <c r="M412" s="7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9"/>
    </row>
    <row r="413">
      <c r="A413" s="28">
        <v>2.4201091E7</v>
      </c>
      <c r="B413" s="28" t="s">
        <v>850</v>
      </c>
      <c r="C413" s="37" t="s">
        <v>347</v>
      </c>
      <c r="D413" s="29" t="s">
        <v>95</v>
      </c>
      <c r="E413" s="28"/>
      <c r="F413" s="28" t="s">
        <v>851</v>
      </c>
      <c r="G413" s="12"/>
      <c r="H413" s="12"/>
      <c r="I413" s="12"/>
      <c r="J413" s="12"/>
      <c r="K413" s="12"/>
      <c r="L413" s="12"/>
      <c r="M413" s="12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9"/>
    </row>
    <row r="414">
      <c r="A414" s="30"/>
      <c r="B414" s="30"/>
      <c r="C414" s="31"/>
      <c r="D414" s="30"/>
      <c r="E414" s="31"/>
      <c r="F414" s="30"/>
      <c r="G414" s="7"/>
      <c r="H414" s="7"/>
      <c r="I414" s="7"/>
      <c r="J414" s="7"/>
      <c r="K414" s="7"/>
      <c r="L414" s="7"/>
      <c r="M414" s="7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9"/>
    </row>
    <row r="415">
      <c r="A415" s="32">
        <v>2.3201521E7</v>
      </c>
      <c r="B415" s="32" t="s">
        <v>852</v>
      </c>
      <c r="C415" s="34" t="s">
        <v>853</v>
      </c>
      <c r="D415" s="32" t="s">
        <v>25</v>
      </c>
      <c r="E415" s="34" t="s">
        <v>854</v>
      </c>
      <c r="F415" s="32" t="s">
        <v>855</v>
      </c>
      <c r="G415" s="12"/>
      <c r="H415" s="12"/>
      <c r="I415" s="12"/>
      <c r="J415" s="12"/>
      <c r="K415" s="12"/>
      <c r="L415" s="12"/>
      <c r="M415" s="12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9"/>
    </row>
    <row r="416">
      <c r="A416" s="38">
        <v>2.2299073E7</v>
      </c>
      <c r="B416" s="38" t="s">
        <v>856</v>
      </c>
      <c r="C416" s="14" t="s">
        <v>853</v>
      </c>
      <c r="D416" s="38" t="s">
        <v>25</v>
      </c>
      <c r="E416" s="39" t="s">
        <v>857</v>
      </c>
      <c r="F416" s="38" t="s">
        <v>858</v>
      </c>
      <c r="G416" s="40"/>
      <c r="H416" s="40"/>
      <c r="I416" s="40"/>
      <c r="J416" s="40"/>
      <c r="K416" s="40"/>
      <c r="L416" s="40"/>
      <c r="M416" s="40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18"/>
    </row>
    <row r="417">
      <c r="A417" s="42">
        <v>2.3201576E7</v>
      </c>
      <c r="B417" s="42" t="s">
        <v>859</v>
      </c>
      <c r="C417" s="13" t="s">
        <v>853</v>
      </c>
      <c r="D417" s="42" t="s">
        <v>32</v>
      </c>
      <c r="E417" s="43" t="s">
        <v>860</v>
      </c>
      <c r="F417" s="42" t="s">
        <v>861</v>
      </c>
      <c r="G417" s="44"/>
      <c r="H417" s="44"/>
      <c r="I417" s="44"/>
      <c r="J417" s="44"/>
      <c r="K417" s="44"/>
      <c r="L417" s="44"/>
      <c r="M417" s="44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18"/>
    </row>
    <row r="418">
      <c r="A418" s="38">
        <v>2.3201191E7</v>
      </c>
      <c r="B418" s="38" t="s">
        <v>862</v>
      </c>
      <c r="C418" s="14" t="s">
        <v>853</v>
      </c>
      <c r="D418" s="38" t="s">
        <v>32</v>
      </c>
      <c r="E418" s="39" t="s">
        <v>863</v>
      </c>
      <c r="F418" s="38" t="s">
        <v>864</v>
      </c>
      <c r="G418" s="40"/>
      <c r="H418" s="40"/>
      <c r="I418" s="40"/>
      <c r="J418" s="40"/>
      <c r="K418" s="40"/>
      <c r="L418" s="40"/>
      <c r="M418" s="40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18"/>
    </row>
    <row r="419">
      <c r="A419" s="10">
        <v>2.3201605E7</v>
      </c>
      <c r="B419" s="10" t="s">
        <v>865</v>
      </c>
      <c r="C419" s="13" t="s">
        <v>853</v>
      </c>
      <c r="D419" s="10" t="s">
        <v>32</v>
      </c>
      <c r="E419" s="13" t="s">
        <v>866</v>
      </c>
      <c r="F419" s="10" t="s">
        <v>867</v>
      </c>
      <c r="G419" s="12"/>
      <c r="H419" s="12"/>
      <c r="I419" s="12"/>
      <c r="J419" s="12"/>
      <c r="K419" s="12"/>
      <c r="L419" s="12"/>
      <c r="M419" s="12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</row>
    <row r="420">
      <c r="A420" s="5">
        <v>2.2201954E7</v>
      </c>
      <c r="B420" s="5" t="s">
        <v>868</v>
      </c>
      <c r="C420" s="14" t="s">
        <v>853</v>
      </c>
      <c r="D420" s="5" t="s">
        <v>32</v>
      </c>
      <c r="E420" s="14" t="s">
        <v>869</v>
      </c>
      <c r="F420" s="5" t="s">
        <v>870</v>
      </c>
      <c r="G420" s="7"/>
      <c r="H420" s="7"/>
      <c r="I420" s="7"/>
      <c r="J420" s="7"/>
      <c r="K420" s="7"/>
      <c r="L420" s="7"/>
      <c r="M420" s="7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9"/>
    </row>
    <row r="421">
      <c r="A421" s="10">
        <v>2.4301544E7</v>
      </c>
      <c r="B421" s="10" t="s">
        <v>871</v>
      </c>
      <c r="C421" s="13" t="s">
        <v>853</v>
      </c>
      <c r="D421" s="10" t="s">
        <v>36</v>
      </c>
      <c r="E421" s="45"/>
      <c r="F421" s="10" t="s">
        <v>872</v>
      </c>
      <c r="G421" s="12"/>
      <c r="H421" s="12"/>
      <c r="I421" s="12"/>
      <c r="J421" s="12"/>
      <c r="K421" s="12"/>
      <c r="L421" s="12"/>
      <c r="M421" s="12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</row>
    <row r="422">
      <c r="A422" s="5">
        <v>2.3301569E7</v>
      </c>
      <c r="B422" s="5" t="s">
        <v>873</v>
      </c>
      <c r="C422" s="14" t="s">
        <v>853</v>
      </c>
      <c r="D422" s="5" t="s">
        <v>36</v>
      </c>
      <c r="E422" s="14"/>
      <c r="F422" s="5" t="s">
        <v>874</v>
      </c>
      <c r="G422" s="7"/>
      <c r="H422" s="7"/>
      <c r="I422" s="7"/>
      <c r="J422" s="7"/>
      <c r="K422" s="7"/>
      <c r="L422" s="7"/>
      <c r="M422" s="7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/>
    </row>
    <row r="423">
      <c r="A423" s="10">
        <v>2.3301342E7</v>
      </c>
      <c r="B423" s="10" t="s">
        <v>875</v>
      </c>
      <c r="C423" s="13" t="s">
        <v>853</v>
      </c>
      <c r="D423" s="10" t="s">
        <v>36</v>
      </c>
      <c r="E423" s="45"/>
      <c r="F423" s="10" t="s">
        <v>876</v>
      </c>
      <c r="G423" s="12"/>
      <c r="H423" s="12"/>
      <c r="I423" s="12"/>
      <c r="J423" s="12"/>
      <c r="K423" s="12"/>
      <c r="L423" s="12"/>
      <c r="M423" s="12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/>
    </row>
    <row r="424">
      <c r="A424" s="5">
        <v>2.4301053E7</v>
      </c>
      <c r="B424" s="5" t="s">
        <v>877</v>
      </c>
      <c r="C424" s="14" t="s">
        <v>853</v>
      </c>
      <c r="D424" s="5" t="s">
        <v>36</v>
      </c>
      <c r="E424" s="46"/>
      <c r="F424" s="5" t="s">
        <v>878</v>
      </c>
      <c r="G424" s="7"/>
      <c r="H424" s="7"/>
      <c r="I424" s="7"/>
      <c r="J424" s="7"/>
      <c r="K424" s="7"/>
      <c r="L424" s="7"/>
      <c r="M424" s="7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</row>
    <row r="425">
      <c r="A425" s="10">
        <v>2.4301415E7</v>
      </c>
      <c r="B425" s="10" t="s">
        <v>879</v>
      </c>
      <c r="C425" s="13" t="s">
        <v>853</v>
      </c>
      <c r="D425" s="10" t="s">
        <v>36</v>
      </c>
      <c r="E425" s="13"/>
      <c r="F425" s="10" t="s">
        <v>880</v>
      </c>
      <c r="G425" s="12"/>
      <c r="H425" s="12"/>
      <c r="I425" s="12"/>
      <c r="J425" s="12"/>
      <c r="K425" s="12"/>
      <c r="L425" s="12"/>
      <c r="M425" s="12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9"/>
    </row>
    <row r="426">
      <c r="A426" s="5">
        <v>2.410123E7</v>
      </c>
      <c r="B426" s="5" t="s">
        <v>881</v>
      </c>
      <c r="C426" s="14" t="s">
        <v>853</v>
      </c>
      <c r="D426" s="5" t="s">
        <v>36</v>
      </c>
      <c r="E426" s="46"/>
      <c r="F426" s="5" t="s">
        <v>882</v>
      </c>
      <c r="G426" s="7"/>
      <c r="H426" s="7"/>
      <c r="I426" s="7"/>
      <c r="J426" s="7"/>
      <c r="K426" s="7"/>
      <c r="L426" s="7"/>
      <c r="M426" s="7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</row>
    <row r="427">
      <c r="A427" s="10">
        <v>2.4101244E7</v>
      </c>
      <c r="B427" s="10" t="s">
        <v>883</v>
      </c>
      <c r="C427" s="13" t="s">
        <v>853</v>
      </c>
      <c r="D427" s="10" t="s">
        <v>36</v>
      </c>
      <c r="E427" s="13"/>
      <c r="F427" s="10" t="s">
        <v>884</v>
      </c>
      <c r="G427" s="12"/>
      <c r="H427" s="12"/>
      <c r="I427" s="12"/>
      <c r="J427" s="12"/>
      <c r="K427" s="12"/>
      <c r="L427" s="12"/>
      <c r="M427" s="12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9"/>
    </row>
    <row r="428">
      <c r="A428" s="5">
        <v>2.4101299E7</v>
      </c>
      <c r="B428" s="5" t="s">
        <v>885</v>
      </c>
      <c r="C428" s="14" t="s">
        <v>853</v>
      </c>
      <c r="D428" s="5" t="s">
        <v>36</v>
      </c>
      <c r="E428" s="46"/>
      <c r="F428" s="5" t="s">
        <v>886</v>
      </c>
      <c r="G428" s="7"/>
      <c r="H428" s="7"/>
      <c r="I428" s="7"/>
      <c r="J428" s="7"/>
      <c r="K428" s="7"/>
      <c r="L428" s="7"/>
      <c r="M428" s="7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9"/>
    </row>
    <row r="429">
      <c r="A429" s="10">
        <v>2.4101542E7</v>
      </c>
      <c r="B429" s="10" t="s">
        <v>887</v>
      </c>
      <c r="C429" s="13" t="s">
        <v>853</v>
      </c>
      <c r="D429" s="10" t="s">
        <v>36</v>
      </c>
      <c r="E429" s="45"/>
      <c r="F429" s="10" t="s">
        <v>888</v>
      </c>
      <c r="G429" s="12"/>
      <c r="H429" s="12"/>
      <c r="I429" s="12"/>
      <c r="J429" s="12"/>
      <c r="K429" s="12"/>
      <c r="L429" s="12"/>
      <c r="M429" s="12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</row>
    <row r="430">
      <c r="A430" s="5">
        <v>2.4101551E7</v>
      </c>
      <c r="B430" s="5" t="s">
        <v>889</v>
      </c>
      <c r="C430" s="14" t="s">
        <v>853</v>
      </c>
      <c r="D430" s="5" t="s">
        <v>36</v>
      </c>
      <c r="E430" s="46"/>
      <c r="F430" s="5" t="s">
        <v>890</v>
      </c>
      <c r="G430" s="7"/>
      <c r="H430" s="7"/>
      <c r="I430" s="7"/>
      <c r="J430" s="7"/>
      <c r="K430" s="7"/>
      <c r="L430" s="7"/>
      <c r="M430" s="7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9"/>
    </row>
    <row r="431">
      <c r="A431" s="10">
        <v>2.2301113E7</v>
      </c>
      <c r="B431" s="10" t="s">
        <v>891</v>
      </c>
      <c r="C431" s="13" t="s">
        <v>853</v>
      </c>
      <c r="D431" s="10" t="s">
        <v>36</v>
      </c>
      <c r="E431" s="45"/>
      <c r="F431" s="10" t="s">
        <v>892</v>
      </c>
      <c r="G431" s="12"/>
      <c r="H431" s="12"/>
      <c r="I431" s="12"/>
      <c r="J431" s="12"/>
      <c r="K431" s="12"/>
      <c r="L431" s="12"/>
      <c r="M431" s="12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</row>
    <row r="432">
      <c r="A432" s="5">
        <v>2.2201362E7</v>
      </c>
      <c r="B432" s="5" t="s">
        <v>893</v>
      </c>
      <c r="C432" s="14" t="s">
        <v>853</v>
      </c>
      <c r="D432" s="5" t="s">
        <v>36</v>
      </c>
      <c r="E432" s="46"/>
      <c r="F432" s="5" t="s">
        <v>894</v>
      </c>
      <c r="G432" s="7"/>
      <c r="H432" s="7"/>
      <c r="I432" s="7"/>
      <c r="J432" s="7"/>
      <c r="K432" s="7"/>
      <c r="L432" s="7"/>
      <c r="M432" s="7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/>
    </row>
    <row r="433">
      <c r="A433" s="10">
        <v>2.220121E7</v>
      </c>
      <c r="B433" s="10" t="s">
        <v>895</v>
      </c>
      <c r="C433" s="13" t="s">
        <v>853</v>
      </c>
      <c r="D433" s="10" t="s">
        <v>36</v>
      </c>
      <c r="E433" s="45"/>
      <c r="F433" s="10" t="s">
        <v>896</v>
      </c>
      <c r="G433" s="12"/>
      <c r="H433" s="12"/>
      <c r="I433" s="12"/>
      <c r="J433" s="12"/>
      <c r="K433" s="12"/>
      <c r="L433" s="12"/>
      <c r="M433" s="12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/>
    </row>
    <row r="434">
      <c r="A434" s="5">
        <v>2.2101743E7</v>
      </c>
      <c r="B434" s="5" t="s">
        <v>897</v>
      </c>
      <c r="C434" s="14" t="s">
        <v>853</v>
      </c>
      <c r="D434" s="5" t="s">
        <v>36</v>
      </c>
      <c r="E434" s="46"/>
      <c r="F434" s="5" t="s">
        <v>898</v>
      </c>
      <c r="G434" s="7"/>
      <c r="H434" s="7"/>
      <c r="I434" s="7"/>
      <c r="J434" s="7"/>
      <c r="K434" s="7"/>
      <c r="L434" s="7"/>
      <c r="M434" s="7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</row>
    <row r="435">
      <c r="A435" s="10">
        <v>2.2101278E7</v>
      </c>
      <c r="B435" s="10" t="s">
        <v>899</v>
      </c>
      <c r="C435" s="13" t="s">
        <v>853</v>
      </c>
      <c r="D435" s="10" t="s">
        <v>36</v>
      </c>
      <c r="E435" s="45"/>
      <c r="F435" s="10" t="s">
        <v>900</v>
      </c>
      <c r="G435" s="12"/>
      <c r="H435" s="12"/>
      <c r="I435" s="12"/>
      <c r="J435" s="12"/>
      <c r="K435" s="12"/>
      <c r="L435" s="12"/>
      <c r="M435" s="12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9"/>
    </row>
    <row r="436">
      <c r="A436" s="5">
        <v>2.2101208E7</v>
      </c>
      <c r="B436" s="5" t="s">
        <v>901</v>
      </c>
      <c r="C436" s="14" t="s">
        <v>853</v>
      </c>
      <c r="D436" s="5" t="s">
        <v>36</v>
      </c>
      <c r="E436" s="46"/>
      <c r="F436" s="5" t="s">
        <v>902</v>
      </c>
      <c r="G436" s="7"/>
      <c r="H436" s="7"/>
      <c r="I436" s="7"/>
      <c r="J436" s="7"/>
      <c r="K436" s="7"/>
      <c r="L436" s="7"/>
      <c r="M436" s="7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</row>
    <row r="437">
      <c r="A437" s="10">
        <v>2.2301398E7</v>
      </c>
      <c r="B437" s="10" t="s">
        <v>903</v>
      </c>
      <c r="C437" s="13" t="s">
        <v>853</v>
      </c>
      <c r="D437" s="10" t="s">
        <v>36</v>
      </c>
      <c r="E437" s="45"/>
      <c r="F437" s="10" t="s">
        <v>904</v>
      </c>
      <c r="G437" s="12"/>
      <c r="H437" s="12"/>
      <c r="I437" s="12"/>
      <c r="J437" s="12"/>
      <c r="K437" s="12"/>
      <c r="L437" s="12"/>
      <c r="M437" s="12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9"/>
    </row>
    <row r="438">
      <c r="A438" s="5">
        <v>2.2101311E7</v>
      </c>
      <c r="B438" s="5" t="s">
        <v>905</v>
      </c>
      <c r="C438" s="14" t="s">
        <v>853</v>
      </c>
      <c r="D438" s="5" t="s">
        <v>36</v>
      </c>
      <c r="E438" s="14"/>
      <c r="F438" s="5" t="s">
        <v>906</v>
      </c>
      <c r="G438" s="7"/>
      <c r="H438" s="7"/>
      <c r="I438" s="7"/>
      <c r="J438" s="7"/>
      <c r="K438" s="7"/>
      <c r="L438" s="7"/>
      <c r="M438" s="7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</row>
    <row r="439">
      <c r="A439" s="10">
        <v>2.2201747E7</v>
      </c>
      <c r="B439" s="10" t="s">
        <v>907</v>
      </c>
      <c r="C439" s="13" t="s">
        <v>853</v>
      </c>
      <c r="D439" s="10" t="s">
        <v>36</v>
      </c>
      <c r="E439" s="13"/>
      <c r="F439" s="10" t="s">
        <v>908</v>
      </c>
      <c r="G439" s="12"/>
      <c r="H439" s="12"/>
      <c r="I439" s="12"/>
      <c r="J439" s="12"/>
      <c r="K439" s="12"/>
      <c r="L439" s="12"/>
      <c r="M439" s="12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/>
    </row>
    <row r="440">
      <c r="A440" s="5">
        <v>2.2201034E7</v>
      </c>
      <c r="B440" s="5" t="s">
        <v>909</v>
      </c>
      <c r="C440" s="14" t="s">
        <v>853</v>
      </c>
      <c r="D440" s="5" t="s">
        <v>36</v>
      </c>
      <c r="E440" s="14"/>
      <c r="F440" s="5" t="s">
        <v>910</v>
      </c>
      <c r="G440" s="7"/>
      <c r="H440" s="7"/>
      <c r="I440" s="7"/>
      <c r="J440" s="7"/>
      <c r="K440" s="7"/>
      <c r="L440" s="7"/>
      <c r="M440" s="7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9"/>
    </row>
    <row r="441">
      <c r="A441" s="10">
        <v>2.4141115E7</v>
      </c>
      <c r="B441" s="10" t="s">
        <v>911</v>
      </c>
      <c r="C441" s="13" t="s">
        <v>853</v>
      </c>
      <c r="D441" s="13" t="s">
        <v>36</v>
      </c>
      <c r="E441" s="47"/>
      <c r="F441" s="13" t="s">
        <v>912</v>
      </c>
      <c r="G441" s="12"/>
      <c r="H441" s="12"/>
      <c r="I441" s="12"/>
      <c r="J441" s="12"/>
      <c r="K441" s="12"/>
      <c r="L441" s="12"/>
      <c r="M441" s="12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</row>
    <row r="442">
      <c r="A442" s="5">
        <v>2.2101617E7</v>
      </c>
      <c r="B442" s="5" t="s">
        <v>913</v>
      </c>
      <c r="C442" s="14" t="s">
        <v>853</v>
      </c>
      <c r="D442" s="14" t="s">
        <v>36</v>
      </c>
      <c r="E442" s="48"/>
      <c r="F442" s="14" t="s">
        <v>914</v>
      </c>
      <c r="G442" s="7"/>
      <c r="H442" s="7"/>
      <c r="I442" s="7"/>
      <c r="J442" s="7"/>
      <c r="K442" s="7"/>
      <c r="L442" s="7"/>
      <c r="M442" s="7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9"/>
    </row>
    <row r="443">
      <c r="A443" s="10">
        <v>2.4341276E7</v>
      </c>
      <c r="B443" s="10" t="s">
        <v>915</v>
      </c>
      <c r="C443" s="13" t="s">
        <v>853</v>
      </c>
      <c r="D443" s="13" t="s">
        <v>36</v>
      </c>
      <c r="E443" s="47"/>
      <c r="F443" s="13" t="s">
        <v>916</v>
      </c>
      <c r="G443" s="12"/>
      <c r="H443" s="12"/>
      <c r="I443" s="12"/>
      <c r="J443" s="12"/>
      <c r="K443" s="12"/>
      <c r="L443" s="12"/>
      <c r="M443" s="12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</row>
    <row r="444">
      <c r="A444" s="5">
        <v>2.2101336E7</v>
      </c>
      <c r="B444" s="5" t="s">
        <v>917</v>
      </c>
      <c r="C444" s="14" t="s">
        <v>853</v>
      </c>
      <c r="D444" s="14" t="s">
        <v>36</v>
      </c>
      <c r="E444" s="48"/>
      <c r="F444" s="14" t="s">
        <v>918</v>
      </c>
      <c r="G444" s="7"/>
      <c r="H444" s="7"/>
      <c r="I444" s="7"/>
      <c r="J444" s="7"/>
      <c r="K444" s="7"/>
      <c r="L444" s="7"/>
      <c r="M444" s="7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/>
    </row>
    <row r="445">
      <c r="A445" s="10">
        <v>2.2301412E7</v>
      </c>
      <c r="B445" s="10" t="s">
        <v>919</v>
      </c>
      <c r="C445" s="13" t="s">
        <v>853</v>
      </c>
      <c r="D445" s="13" t="s">
        <v>36</v>
      </c>
      <c r="E445" s="47"/>
      <c r="F445" s="13" t="s">
        <v>920</v>
      </c>
      <c r="G445" s="12"/>
      <c r="H445" s="12"/>
      <c r="I445" s="12"/>
      <c r="J445" s="12"/>
      <c r="K445" s="12"/>
      <c r="L445" s="12"/>
      <c r="M445" s="12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9"/>
    </row>
    <row r="446">
      <c r="A446" s="5">
        <v>2.3203075E7</v>
      </c>
      <c r="B446" s="5" t="s">
        <v>921</v>
      </c>
      <c r="C446" s="14" t="s">
        <v>853</v>
      </c>
      <c r="D446" s="14" t="s">
        <v>36</v>
      </c>
      <c r="E446" s="48"/>
      <c r="F446" s="14" t="s">
        <v>922</v>
      </c>
      <c r="G446" s="7"/>
      <c r="H446" s="7"/>
      <c r="I446" s="7"/>
      <c r="J446" s="7"/>
      <c r="K446" s="7"/>
      <c r="L446" s="7"/>
      <c r="M446" s="7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/>
    </row>
    <row r="447">
      <c r="A447" s="10">
        <v>2.2301692E7</v>
      </c>
      <c r="B447" s="10" t="s">
        <v>923</v>
      </c>
      <c r="C447" s="13" t="s">
        <v>853</v>
      </c>
      <c r="D447" s="13" t="s">
        <v>36</v>
      </c>
      <c r="E447" s="47"/>
      <c r="F447" s="13" t="s">
        <v>924</v>
      </c>
      <c r="G447" s="12"/>
      <c r="H447" s="12"/>
      <c r="I447" s="12"/>
      <c r="J447" s="12"/>
      <c r="K447" s="12"/>
      <c r="L447" s="12"/>
      <c r="M447" s="12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9"/>
    </row>
    <row r="448">
      <c r="A448" s="5">
        <v>2.2301061E7</v>
      </c>
      <c r="B448" s="5" t="s">
        <v>925</v>
      </c>
      <c r="C448" s="14" t="s">
        <v>853</v>
      </c>
      <c r="D448" s="14" t="s">
        <v>36</v>
      </c>
      <c r="E448" s="48"/>
      <c r="F448" s="14" t="s">
        <v>926</v>
      </c>
      <c r="G448" s="7"/>
      <c r="H448" s="7"/>
      <c r="I448" s="7"/>
      <c r="J448" s="7"/>
      <c r="K448" s="7"/>
      <c r="L448" s="7"/>
      <c r="M448" s="7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/>
    </row>
    <row r="449">
      <c r="A449" s="10">
        <v>2.2301269E7</v>
      </c>
      <c r="B449" s="10" t="s">
        <v>927</v>
      </c>
      <c r="C449" s="13" t="s">
        <v>853</v>
      </c>
      <c r="D449" s="13" t="s">
        <v>36</v>
      </c>
      <c r="E449" s="47"/>
      <c r="F449" s="13" t="s">
        <v>928</v>
      </c>
      <c r="G449" s="12"/>
      <c r="H449" s="12"/>
      <c r="I449" s="12"/>
      <c r="J449" s="12"/>
      <c r="K449" s="12"/>
      <c r="L449" s="12"/>
      <c r="M449" s="12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9"/>
    </row>
    <row r="450">
      <c r="A450" s="5">
        <v>2.2201616E7</v>
      </c>
      <c r="B450" s="5" t="s">
        <v>929</v>
      </c>
      <c r="C450" s="14" t="s">
        <v>853</v>
      </c>
      <c r="D450" s="14" t="s">
        <v>36</v>
      </c>
      <c r="E450" s="48"/>
      <c r="F450" s="14" t="s">
        <v>930</v>
      </c>
      <c r="G450" s="7"/>
      <c r="H450" s="7"/>
      <c r="I450" s="7"/>
      <c r="J450" s="7"/>
      <c r="K450" s="7"/>
      <c r="L450" s="7"/>
      <c r="M450" s="7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9"/>
    </row>
    <row r="451">
      <c r="A451" s="10">
        <v>2.2299295E7</v>
      </c>
      <c r="B451" s="10" t="s">
        <v>931</v>
      </c>
      <c r="C451" s="13" t="s">
        <v>853</v>
      </c>
      <c r="D451" s="13" t="s">
        <v>36</v>
      </c>
      <c r="E451" s="47"/>
      <c r="F451" s="13" t="s">
        <v>932</v>
      </c>
      <c r="G451" s="12"/>
      <c r="H451" s="12"/>
      <c r="I451" s="12"/>
      <c r="J451" s="12"/>
      <c r="K451" s="12"/>
      <c r="L451" s="12"/>
      <c r="M451" s="12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/>
    </row>
    <row r="452">
      <c r="A452" s="5">
        <v>2.3301392E7</v>
      </c>
      <c r="B452" s="5" t="s">
        <v>933</v>
      </c>
      <c r="C452" s="14" t="s">
        <v>853</v>
      </c>
      <c r="D452" s="14" t="s">
        <v>36</v>
      </c>
      <c r="E452" s="48"/>
      <c r="F452" s="14" t="s">
        <v>934</v>
      </c>
      <c r="G452" s="7"/>
      <c r="H452" s="7"/>
      <c r="I452" s="7"/>
      <c r="J452" s="7"/>
      <c r="K452" s="7"/>
      <c r="L452" s="7"/>
      <c r="M452" s="7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/>
    </row>
    <row r="453">
      <c r="A453" s="10">
        <v>2.2301175E7</v>
      </c>
      <c r="B453" s="10" t="s">
        <v>935</v>
      </c>
      <c r="C453" s="13" t="s">
        <v>853</v>
      </c>
      <c r="D453" s="13" t="s">
        <v>36</v>
      </c>
      <c r="E453" s="47"/>
      <c r="F453" s="13" t="s">
        <v>936</v>
      </c>
      <c r="G453" s="12"/>
      <c r="H453" s="12"/>
      <c r="I453" s="12"/>
      <c r="J453" s="12"/>
      <c r="K453" s="12"/>
      <c r="L453" s="12"/>
      <c r="M453" s="12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/>
    </row>
    <row r="454">
      <c r="A454" s="5">
        <v>2.4201455E7</v>
      </c>
      <c r="B454" s="5" t="s">
        <v>937</v>
      </c>
      <c r="C454" s="14" t="s">
        <v>853</v>
      </c>
      <c r="D454" s="14" t="s">
        <v>36</v>
      </c>
      <c r="E454" s="48"/>
      <c r="F454" s="14" t="s">
        <v>938</v>
      </c>
      <c r="G454" s="7"/>
      <c r="H454" s="7"/>
      <c r="I454" s="7"/>
      <c r="J454" s="7"/>
      <c r="K454" s="7"/>
      <c r="L454" s="7"/>
      <c r="M454" s="7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/>
    </row>
    <row r="455">
      <c r="A455" s="10">
        <v>2.4101261E7</v>
      </c>
      <c r="B455" s="10" t="s">
        <v>939</v>
      </c>
      <c r="C455" s="13" t="s">
        <v>853</v>
      </c>
      <c r="D455" s="13" t="s">
        <v>36</v>
      </c>
      <c r="E455" s="47"/>
      <c r="F455" s="13" t="s">
        <v>940</v>
      </c>
      <c r="G455" s="12"/>
      <c r="H455" s="12"/>
      <c r="I455" s="12"/>
      <c r="J455" s="12"/>
      <c r="K455" s="12"/>
      <c r="L455" s="12"/>
      <c r="M455" s="12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9"/>
    </row>
    <row r="456">
      <c r="A456" s="5">
        <v>1.000054231E9</v>
      </c>
      <c r="B456" s="5" t="s">
        <v>941</v>
      </c>
      <c r="C456" s="14" t="s">
        <v>853</v>
      </c>
      <c r="D456" s="14" t="s">
        <v>36</v>
      </c>
      <c r="E456" s="48"/>
      <c r="F456" s="14" t="s">
        <v>942</v>
      </c>
      <c r="G456" s="7"/>
      <c r="H456" s="7"/>
      <c r="I456" s="7"/>
      <c r="J456" s="7"/>
      <c r="K456" s="7"/>
      <c r="L456" s="7"/>
      <c r="M456" s="7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/>
    </row>
    <row r="457">
      <c r="A457" s="10">
        <v>1.000058846E9</v>
      </c>
      <c r="B457" s="10" t="s">
        <v>943</v>
      </c>
      <c r="C457" s="13" t="s">
        <v>853</v>
      </c>
      <c r="D457" s="13" t="s">
        <v>45</v>
      </c>
      <c r="E457" s="47"/>
      <c r="F457" s="13" t="s">
        <v>944</v>
      </c>
      <c r="G457" s="12"/>
      <c r="H457" s="12"/>
      <c r="I457" s="12"/>
      <c r="J457" s="12"/>
      <c r="K457" s="12"/>
      <c r="L457" s="12"/>
      <c r="M457" s="12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9"/>
    </row>
    <row r="458">
      <c r="A458" s="5">
        <v>2.4101534E7</v>
      </c>
      <c r="B458" s="5" t="s">
        <v>945</v>
      </c>
      <c r="C458" s="14" t="s">
        <v>853</v>
      </c>
      <c r="D458" s="14" t="s">
        <v>45</v>
      </c>
      <c r="E458" s="48"/>
      <c r="F458" s="14" t="s">
        <v>946</v>
      </c>
      <c r="G458" s="7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9"/>
    </row>
    <row r="459">
      <c r="A459" s="10">
        <v>2.3301632E7</v>
      </c>
      <c r="B459" s="10" t="s">
        <v>947</v>
      </c>
      <c r="C459" s="13" t="s">
        <v>853</v>
      </c>
      <c r="D459" s="13" t="s">
        <v>45</v>
      </c>
      <c r="E459" s="47"/>
      <c r="F459" s="13" t="s">
        <v>948</v>
      </c>
      <c r="G459" s="12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9"/>
    </row>
    <row r="460">
      <c r="A460" s="5">
        <v>2.4141041E7</v>
      </c>
      <c r="B460" s="5" t="s">
        <v>949</v>
      </c>
      <c r="C460" s="14" t="s">
        <v>853</v>
      </c>
      <c r="D460" s="14" t="s">
        <v>45</v>
      </c>
      <c r="E460" s="48"/>
      <c r="F460" s="14" t="s">
        <v>950</v>
      </c>
      <c r="G460" s="7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9"/>
    </row>
    <row r="461">
      <c r="A461" s="10">
        <v>2.3201079E7</v>
      </c>
      <c r="B461" s="10" t="s">
        <v>951</v>
      </c>
      <c r="C461" s="13" t="s">
        <v>853</v>
      </c>
      <c r="D461" s="13" t="s">
        <v>45</v>
      </c>
      <c r="E461" s="47"/>
      <c r="F461" s="13" t="s">
        <v>952</v>
      </c>
      <c r="G461" s="12"/>
      <c r="H461" s="12"/>
      <c r="I461" s="12"/>
      <c r="J461" s="12"/>
      <c r="K461" s="12"/>
      <c r="L461" s="12"/>
      <c r="M461" s="12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9"/>
    </row>
    <row r="462">
      <c r="A462" s="5">
        <v>2.4121018E7</v>
      </c>
      <c r="B462" s="5" t="s">
        <v>953</v>
      </c>
      <c r="C462" s="14" t="s">
        <v>853</v>
      </c>
      <c r="D462" s="14" t="s">
        <v>45</v>
      </c>
      <c r="E462" s="48"/>
      <c r="F462" s="14" t="s">
        <v>954</v>
      </c>
      <c r="G462" s="7"/>
      <c r="H462" s="7"/>
      <c r="I462" s="7"/>
      <c r="J462" s="7"/>
      <c r="K462" s="7"/>
      <c r="L462" s="7"/>
      <c r="M462" s="7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9"/>
    </row>
    <row r="463">
      <c r="A463" s="10">
        <v>1.000054989E9</v>
      </c>
      <c r="B463" s="10" t="s">
        <v>955</v>
      </c>
      <c r="C463" s="13" t="s">
        <v>853</v>
      </c>
      <c r="D463" s="13" t="s">
        <v>45</v>
      </c>
      <c r="E463" s="47"/>
      <c r="F463" s="13" t="s">
        <v>956</v>
      </c>
      <c r="G463" s="12"/>
      <c r="H463" s="12"/>
      <c r="I463" s="12"/>
      <c r="J463" s="12"/>
      <c r="K463" s="12"/>
      <c r="L463" s="12"/>
      <c r="M463" s="12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/>
    </row>
    <row r="464">
      <c r="A464" s="5">
        <v>2.4201123E7</v>
      </c>
      <c r="B464" s="5" t="s">
        <v>957</v>
      </c>
      <c r="C464" s="14" t="s">
        <v>853</v>
      </c>
      <c r="D464" s="14" t="s">
        <v>45</v>
      </c>
      <c r="E464" s="48"/>
      <c r="F464" s="14" t="s">
        <v>958</v>
      </c>
      <c r="G464" s="7"/>
      <c r="H464" s="7"/>
      <c r="I464" s="7"/>
      <c r="J464" s="7"/>
      <c r="K464" s="7"/>
      <c r="L464" s="7"/>
      <c r="M464" s="7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/>
    </row>
    <row r="465">
      <c r="A465" s="10">
        <v>2.4201153E7</v>
      </c>
      <c r="B465" s="10" t="s">
        <v>959</v>
      </c>
      <c r="C465" s="13" t="s">
        <v>853</v>
      </c>
      <c r="D465" s="13" t="s">
        <v>45</v>
      </c>
      <c r="E465" s="47"/>
      <c r="F465" s="13" t="s">
        <v>960</v>
      </c>
      <c r="G465" s="12"/>
      <c r="H465" s="12"/>
      <c r="I465" s="12"/>
      <c r="J465" s="12"/>
      <c r="K465" s="12"/>
      <c r="L465" s="12"/>
      <c r="M465" s="12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9"/>
    </row>
    <row r="466">
      <c r="A466" s="5">
        <v>2.4226205E7</v>
      </c>
      <c r="B466" s="5" t="s">
        <v>961</v>
      </c>
      <c r="C466" s="14" t="s">
        <v>853</v>
      </c>
      <c r="D466" s="14" t="s">
        <v>45</v>
      </c>
      <c r="E466" s="48"/>
      <c r="F466" s="14" t="s">
        <v>962</v>
      </c>
      <c r="G466" s="7"/>
      <c r="H466" s="7"/>
      <c r="I466" s="7"/>
      <c r="J466" s="7"/>
      <c r="K466" s="7"/>
      <c r="L466" s="7"/>
      <c r="M466" s="7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9"/>
    </row>
    <row r="467">
      <c r="A467" s="10">
        <v>1.000055729E9</v>
      </c>
      <c r="B467" s="10" t="s">
        <v>963</v>
      </c>
      <c r="C467" s="13" t="s">
        <v>853</v>
      </c>
      <c r="D467" s="13" t="s">
        <v>45</v>
      </c>
      <c r="E467" s="47"/>
      <c r="F467" s="13" t="s">
        <v>964</v>
      </c>
      <c r="G467" s="12"/>
      <c r="H467" s="12"/>
      <c r="I467" s="12"/>
      <c r="J467" s="12"/>
      <c r="K467" s="12"/>
      <c r="L467" s="12"/>
      <c r="M467" s="12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9"/>
    </row>
    <row r="468">
      <c r="A468" s="5">
        <v>1.000056707E9</v>
      </c>
      <c r="B468" s="5" t="s">
        <v>965</v>
      </c>
      <c r="C468" s="14" t="s">
        <v>853</v>
      </c>
      <c r="D468" s="14" t="s">
        <v>45</v>
      </c>
      <c r="E468" s="48"/>
      <c r="F468" s="14" t="s">
        <v>966</v>
      </c>
      <c r="G468" s="7"/>
      <c r="H468" s="7"/>
      <c r="I468" s="7"/>
      <c r="J468" s="7"/>
      <c r="K468" s="7"/>
      <c r="L468" s="7"/>
      <c r="M468" s="7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/>
    </row>
    <row r="469">
      <c r="A469" s="10">
        <v>2.320119E7</v>
      </c>
      <c r="B469" s="10" t="s">
        <v>967</v>
      </c>
      <c r="C469" s="13" t="s">
        <v>853</v>
      </c>
      <c r="D469" s="13" t="s">
        <v>45</v>
      </c>
      <c r="E469" s="47"/>
      <c r="F469" s="13" t="s">
        <v>968</v>
      </c>
      <c r="G469" s="12"/>
      <c r="H469" s="12"/>
      <c r="I469" s="12"/>
      <c r="J469" s="12"/>
      <c r="K469" s="12"/>
      <c r="L469" s="12"/>
      <c r="M469" s="12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/>
    </row>
    <row r="470">
      <c r="A470" s="5">
        <v>2.4101528E7</v>
      </c>
      <c r="B470" s="5" t="s">
        <v>969</v>
      </c>
      <c r="C470" s="14" t="s">
        <v>853</v>
      </c>
      <c r="D470" s="14" t="s">
        <v>45</v>
      </c>
      <c r="E470" s="48"/>
      <c r="F470" s="14" t="s">
        <v>970</v>
      </c>
      <c r="G470" s="7"/>
      <c r="H470" s="7"/>
      <c r="I470" s="7"/>
      <c r="J470" s="7"/>
      <c r="K470" s="7"/>
      <c r="L470" s="7"/>
      <c r="M470" s="7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9"/>
    </row>
    <row r="471">
      <c r="A471" s="10">
        <v>2.3301128E7</v>
      </c>
      <c r="B471" s="10" t="s">
        <v>971</v>
      </c>
      <c r="C471" s="13" t="s">
        <v>853</v>
      </c>
      <c r="D471" s="13" t="s">
        <v>45</v>
      </c>
      <c r="E471" s="47"/>
      <c r="F471" s="13" t="s">
        <v>972</v>
      </c>
      <c r="G471" s="12"/>
      <c r="H471" s="12"/>
      <c r="I471" s="12"/>
      <c r="J471" s="12"/>
      <c r="K471" s="12"/>
      <c r="L471" s="12"/>
      <c r="M471" s="12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9"/>
    </row>
    <row r="472">
      <c r="A472" s="5">
        <v>2.4201352E7</v>
      </c>
      <c r="B472" s="5" t="s">
        <v>973</v>
      </c>
      <c r="C472" s="14" t="s">
        <v>853</v>
      </c>
      <c r="D472" s="14" t="s">
        <v>45</v>
      </c>
      <c r="E472" s="48"/>
      <c r="F472" s="14" t="s">
        <v>974</v>
      </c>
      <c r="G472" s="7"/>
      <c r="H472" s="7"/>
      <c r="I472" s="7"/>
      <c r="J472" s="7"/>
      <c r="K472" s="7"/>
      <c r="L472" s="7"/>
      <c r="M472" s="7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9"/>
    </row>
    <row r="473">
      <c r="A473" s="10">
        <v>1.000054587E9</v>
      </c>
      <c r="B473" s="10" t="s">
        <v>975</v>
      </c>
      <c r="C473" s="13" t="s">
        <v>853</v>
      </c>
      <c r="D473" s="13" t="s">
        <v>45</v>
      </c>
      <c r="E473" s="47"/>
      <c r="F473" s="13" t="s">
        <v>976</v>
      </c>
      <c r="G473" s="12"/>
      <c r="H473" s="12"/>
      <c r="I473" s="12"/>
      <c r="J473" s="12"/>
      <c r="K473" s="12"/>
      <c r="L473" s="12"/>
      <c r="M473" s="12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9"/>
    </row>
    <row r="474">
      <c r="A474" s="5">
        <v>1.000056915E9</v>
      </c>
      <c r="B474" s="5" t="s">
        <v>977</v>
      </c>
      <c r="C474" s="14" t="s">
        <v>853</v>
      </c>
      <c r="D474" s="14" t="s">
        <v>45</v>
      </c>
      <c r="E474" s="48"/>
      <c r="F474" s="14" t="s">
        <v>978</v>
      </c>
      <c r="G474" s="7"/>
      <c r="H474" s="7"/>
      <c r="I474" s="7"/>
      <c r="J474" s="7"/>
      <c r="K474" s="7"/>
      <c r="L474" s="7"/>
      <c r="M474" s="7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9"/>
    </row>
    <row r="475">
      <c r="A475" s="10">
        <v>1.000056816E9</v>
      </c>
      <c r="B475" s="10" t="s">
        <v>979</v>
      </c>
      <c r="C475" s="13" t="s">
        <v>853</v>
      </c>
      <c r="D475" s="13" t="s">
        <v>45</v>
      </c>
      <c r="E475" s="47"/>
      <c r="F475" s="13" t="s">
        <v>980</v>
      </c>
      <c r="G475" s="12"/>
      <c r="H475" s="12"/>
      <c r="I475" s="12"/>
      <c r="J475" s="12"/>
      <c r="K475" s="12"/>
      <c r="L475" s="12"/>
      <c r="M475" s="12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9"/>
    </row>
    <row r="476">
      <c r="A476" s="5">
        <v>2.2301143E7</v>
      </c>
      <c r="B476" s="5" t="s">
        <v>981</v>
      </c>
      <c r="C476" s="14" t="s">
        <v>853</v>
      </c>
      <c r="D476" s="14" t="s">
        <v>45</v>
      </c>
      <c r="E476" s="48"/>
      <c r="F476" s="14" t="s">
        <v>982</v>
      </c>
      <c r="G476" s="7"/>
      <c r="H476" s="7"/>
      <c r="I476" s="7"/>
      <c r="J476" s="7"/>
      <c r="K476" s="7"/>
      <c r="L476" s="7"/>
      <c r="M476" s="7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9"/>
    </row>
    <row r="477">
      <c r="A477" s="10">
        <v>2.2299107E7</v>
      </c>
      <c r="B477" s="10" t="s">
        <v>983</v>
      </c>
      <c r="C477" s="13" t="s">
        <v>853</v>
      </c>
      <c r="D477" s="13" t="s">
        <v>45</v>
      </c>
      <c r="E477" s="47"/>
      <c r="F477" s="13" t="s">
        <v>984</v>
      </c>
      <c r="G477" s="12"/>
      <c r="H477" s="12"/>
      <c r="I477" s="12"/>
      <c r="J477" s="12"/>
      <c r="K477" s="12"/>
      <c r="L477" s="12"/>
      <c r="M477" s="12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9"/>
    </row>
    <row r="478">
      <c r="A478" s="5">
        <v>2.2201671E7</v>
      </c>
      <c r="B478" s="5" t="s">
        <v>985</v>
      </c>
      <c r="C478" s="14" t="s">
        <v>853</v>
      </c>
      <c r="D478" s="14" t="s">
        <v>45</v>
      </c>
      <c r="E478" s="48"/>
      <c r="F478" s="14" t="s">
        <v>986</v>
      </c>
      <c r="G478" s="7"/>
      <c r="H478" s="7"/>
      <c r="I478" s="7"/>
      <c r="J478" s="7"/>
      <c r="K478" s="7"/>
      <c r="L478" s="7"/>
      <c r="M478" s="7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9"/>
    </row>
    <row r="479">
      <c r="A479" s="10">
        <v>2.2101759E7</v>
      </c>
      <c r="B479" s="10" t="s">
        <v>987</v>
      </c>
      <c r="C479" s="13" t="s">
        <v>853</v>
      </c>
      <c r="D479" s="13" t="s">
        <v>45</v>
      </c>
      <c r="E479" s="47"/>
      <c r="F479" s="13" t="s">
        <v>988</v>
      </c>
      <c r="G479" s="12"/>
      <c r="H479" s="12"/>
      <c r="I479" s="12"/>
      <c r="J479" s="12"/>
      <c r="K479" s="12"/>
      <c r="L479" s="12"/>
      <c r="M479" s="12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9"/>
    </row>
    <row r="480">
      <c r="A480" s="5">
        <v>2.2101755E7</v>
      </c>
      <c r="B480" s="5" t="s">
        <v>989</v>
      </c>
      <c r="C480" s="14" t="s">
        <v>853</v>
      </c>
      <c r="D480" s="14" t="s">
        <v>45</v>
      </c>
      <c r="E480" s="48"/>
      <c r="F480" s="14" t="s">
        <v>990</v>
      </c>
      <c r="G480" s="7"/>
      <c r="H480" s="7"/>
      <c r="I480" s="7"/>
      <c r="J480" s="7"/>
      <c r="K480" s="7"/>
      <c r="L480" s="7"/>
      <c r="M480" s="7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9"/>
    </row>
    <row r="481">
      <c r="A481" s="10">
        <v>2.2101728E7</v>
      </c>
      <c r="B481" s="10" t="s">
        <v>991</v>
      </c>
      <c r="C481" s="13" t="s">
        <v>853</v>
      </c>
      <c r="D481" s="13" t="s">
        <v>45</v>
      </c>
      <c r="E481" s="47"/>
      <c r="F481" s="13" t="s">
        <v>992</v>
      </c>
      <c r="G481" s="12"/>
      <c r="H481" s="12"/>
      <c r="I481" s="12"/>
      <c r="J481" s="12"/>
      <c r="K481" s="12"/>
      <c r="L481" s="12"/>
      <c r="M481" s="12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9"/>
    </row>
    <row r="482">
      <c r="A482" s="5">
        <v>2.2101704E7</v>
      </c>
      <c r="B482" s="5" t="s">
        <v>993</v>
      </c>
      <c r="C482" s="14" t="s">
        <v>853</v>
      </c>
      <c r="D482" s="14" t="s">
        <v>45</v>
      </c>
      <c r="E482" s="48"/>
      <c r="F482" s="14" t="s">
        <v>994</v>
      </c>
      <c r="G482" s="7"/>
      <c r="H482" s="7"/>
      <c r="I482" s="7"/>
      <c r="J482" s="7"/>
      <c r="K482" s="7"/>
      <c r="L482" s="7"/>
      <c r="M482" s="7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9"/>
    </row>
    <row r="483">
      <c r="A483" s="10">
        <v>2.2101273E7</v>
      </c>
      <c r="B483" s="10" t="s">
        <v>995</v>
      </c>
      <c r="C483" s="13" t="s">
        <v>853</v>
      </c>
      <c r="D483" s="13" t="s">
        <v>45</v>
      </c>
      <c r="E483" s="47"/>
      <c r="F483" s="13" t="s">
        <v>996</v>
      </c>
      <c r="G483" s="12"/>
      <c r="H483" s="12"/>
      <c r="I483" s="12"/>
      <c r="J483" s="12"/>
      <c r="K483" s="12"/>
      <c r="L483" s="12"/>
      <c r="M483" s="12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9"/>
    </row>
    <row r="484">
      <c r="A484" s="5">
        <v>2.2101268E7</v>
      </c>
      <c r="B484" s="5" t="s">
        <v>997</v>
      </c>
      <c r="C484" s="14" t="s">
        <v>853</v>
      </c>
      <c r="D484" s="14" t="s">
        <v>45</v>
      </c>
      <c r="E484" s="48"/>
      <c r="F484" s="14" t="s">
        <v>998</v>
      </c>
      <c r="G484" s="7"/>
      <c r="H484" s="7"/>
      <c r="I484" s="7"/>
      <c r="J484" s="7"/>
      <c r="K484" s="7"/>
      <c r="L484" s="7"/>
      <c r="M484" s="7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9"/>
    </row>
    <row r="485">
      <c r="A485" s="10">
        <v>2.2101265E7</v>
      </c>
      <c r="B485" s="10" t="s">
        <v>999</v>
      </c>
      <c r="C485" s="13" t="s">
        <v>853</v>
      </c>
      <c r="D485" s="13" t="s">
        <v>45</v>
      </c>
      <c r="E485" s="47"/>
      <c r="F485" s="13" t="s">
        <v>1000</v>
      </c>
      <c r="G485" s="12"/>
      <c r="H485" s="12"/>
      <c r="I485" s="12"/>
      <c r="J485" s="12"/>
      <c r="K485" s="12"/>
      <c r="L485" s="12"/>
      <c r="M485" s="12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9"/>
    </row>
    <row r="486">
      <c r="A486" s="5">
        <v>2.2101215E7</v>
      </c>
      <c r="B486" s="5" t="s">
        <v>1001</v>
      </c>
      <c r="C486" s="14" t="s">
        <v>853</v>
      </c>
      <c r="D486" s="14" t="s">
        <v>45</v>
      </c>
      <c r="E486" s="48"/>
      <c r="F486" s="14" t="s">
        <v>1002</v>
      </c>
      <c r="G486" s="7"/>
      <c r="H486" s="7"/>
      <c r="I486" s="7"/>
      <c r="J486" s="7"/>
      <c r="K486" s="7"/>
      <c r="L486" s="7"/>
      <c r="M486" s="7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9"/>
    </row>
    <row r="487">
      <c r="A487" s="10">
        <v>2.210118E7</v>
      </c>
      <c r="B487" s="10" t="s">
        <v>1003</v>
      </c>
      <c r="C487" s="13" t="s">
        <v>853</v>
      </c>
      <c r="D487" s="13" t="s">
        <v>45</v>
      </c>
      <c r="E487" s="47"/>
      <c r="F487" s="13" t="s">
        <v>1004</v>
      </c>
      <c r="G487" s="12"/>
      <c r="H487" s="12"/>
      <c r="I487" s="12"/>
      <c r="J487" s="12"/>
      <c r="K487" s="12"/>
      <c r="L487" s="12"/>
      <c r="M487" s="12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9"/>
    </row>
    <row r="488">
      <c r="A488" s="5">
        <v>2.3301553E7</v>
      </c>
      <c r="B488" s="5" t="s">
        <v>1005</v>
      </c>
      <c r="C488" s="14" t="s">
        <v>853</v>
      </c>
      <c r="D488" s="14" t="s">
        <v>45</v>
      </c>
      <c r="E488" s="48"/>
      <c r="F488" s="14" t="s">
        <v>1006</v>
      </c>
      <c r="G488" s="7"/>
      <c r="H488" s="7"/>
      <c r="I488" s="7"/>
      <c r="J488" s="7"/>
      <c r="K488" s="7"/>
      <c r="L488" s="7"/>
      <c r="M488" s="7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9"/>
    </row>
    <row r="489">
      <c r="A489" s="10">
        <v>2.3301475E7</v>
      </c>
      <c r="B489" s="10" t="s">
        <v>1007</v>
      </c>
      <c r="C489" s="13" t="s">
        <v>853</v>
      </c>
      <c r="D489" s="13" t="s">
        <v>45</v>
      </c>
      <c r="E489" s="47"/>
      <c r="F489" s="13" t="s">
        <v>1008</v>
      </c>
      <c r="G489" s="12"/>
      <c r="H489" s="12"/>
      <c r="I489" s="12"/>
      <c r="J489" s="12"/>
      <c r="K489" s="12"/>
      <c r="L489" s="12"/>
      <c r="M489" s="12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9"/>
    </row>
    <row r="490">
      <c r="A490" s="5">
        <v>2.3101417E7</v>
      </c>
      <c r="B490" s="5" t="s">
        <v>1009</v>
      </c>
      <c r="C490" s="14" t="s">
        <v>853</v>
      </c>
      <c r="D490" s="14" t="s">
        <v>45</v>
      </c>
      <c r="E490" s="48"/>
      <c r="F490" s="14" t="s">
        <v>1010</v>
      </c>
      <c r="G490" s="7"/>
      <c r="H490" s="7"/>
      <c r="I490" s="7"/>
      <c r="J490" s="7"/>
      <c r="K490" s="7"/>
      <c r="L490" s="7"/>
      <c r="M490" s="7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9"/>
    </row>
    <row r="491">
      <c r="A491" s="10">
        <v>2.3101156E7</v>
      </c>
      <c r="B491" s="10" t="s">
        <v>1011</v>
      </c>
      <c r="C491" s="13" t="s">
        <v>853</v>
      </c>
      <c r="D491" s="13" t="s">
        <v>45</v>
      </c>
      <c r="E491" s="47"/>
      <c r="F491" s="13" t="s">
        <v>1012</v>
      </c>
      <c r="G491" s="12"/>
      <c r="H491" s="12"/>
      <c r="I491" s="12"/>
      <c r="J491" s="12"/>
      <c r="K491" s="12"/>
      <c r="L491" s="12"/>
      <c r="M491" s="12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9"/>
    </row>
    <row r="492">
      <c r="A492" s="5">
        <v>2.3101067E7</v>
      </c>
      <c r="B492" s="5" t="s">
        <v>1013</v>
      </c>
      <c r="C492" s="14" t="s">
        <v>853</v>
      </c>
      <c r="D492" s="14" t="s">
        <v>45</v>
      </c>
      <c r="E492" s="48"/>
      <c r="F492" s="14" t="s">
        <v>1014</v>
      </c>
      <c r="G492" s="7"/>
      <c r="H492" s="7"/>
      <c r="I492" s="7"/>
      <c r="J492" s="7"/>
      <c r="K492" s="7"/>
      <c r="L492" s="7"/>
      <c r="M492" s="7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9"/>
    </row>
    <row r="493">
      <c r="A493" s="10">
        <v>2.23011E7</v>
      </c>
      <c r="B493" s="10" t="s">
        <v>1015</v>
      </c>
      <c r="C493" s="13" t="s">
        <v>853</v>
      </c>
      <c r="D493" s="13" t="s">
        <v>45</v>
      </c>
      <c r="E493" s="47"/>
      <c r="F493" s="13" t="s">
        <v>1016</v>
      </c>
      <c r="G493" s="12"/>
      <c r="H493" s="12"/>
      <c r="I493" s="12"/>
      <c r="J493" s="12"/>
      <c r="K493" s="12"/>
      <c r="L493" s="12"/>
      <c r="M493" s="12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/>
    </row>
    <row r="494">
      <c r="A494" s="5">
        <v>2.2101344E7</v>
      </c>
      <c r="B494" s="5" t="s">
        <v>1017</v>
      </c>
      <c r="C494" s="14" t="s">
        <v>853</v>
      </c>
      <c r="D494" s="14" t="s">
        <v>45</v>
      </c>
      <c r="E494" s="48"/>
      <c r="F494" s="14" t="s">
        <v>1018</v>
      </c>
      <c r="G494" s="7"/>
      <c r="H494" s="7"/>
      <c r="I494" s="7"/>
      <c r="J494" s="7"/>
      <c r="K494" s="7"/>
      <c r="L494" s="7"/>
      <c r="M494" s="7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9"/>
    </row>
    <row r="495">
      <c r="A495" s="10">
        <v>2.220171E7</v>
      </c>
      <c r="B495" s="10" t="s">
        <v>1019</v>
      </c>
      <c r="C495" s="13" t="s">
        <v>853</v>
      </c>
      <c r="D495" s="13" t="s">
        <v>45</v>
      </c>
      <c r="E495" s="47"/>
      <c r="F495" s="13" t="s">
        <v>1020</v>
      </c>
      <c r="G495" s="12"/>
      <c r="H495" s="12"/>
      <c r="I495" s="12"/>
      <c r="J495" s="12"/>
      <c r="K495" s="12"/>
      <c r="L495" s="12"/>
      <c r="M495" s="12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9"/>
    </row>
    <row r="496">
      <c r="A496" s="5">
        <v>2.220143E7</v>
      </c>
      <c r="B496" s="5" t="s">
        <v>1021</v>
      </c>
      <c r="C496" s="14" t="s">
        <v>853</v>
      </c>
      <c r="D496" s="14" t="s">
        <v>45</v>
      </c>
      <c r="E496" s="48"/>
      <c r="F496" s="14" t="s">
        <v>1022</v>
      </c>
      <c r="G496" s="7"/>
      <c r="H496" s="7"/>
      <c r="I496" s="7"/>
      <c r="J496" s="7"/>
      <c r="K496" s="7"/>
      <c r="L496" s="7"/>
      <c r="M496" s="7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9"/>
    </row>
    <row r="497">
      <c r="A497" s="10">
        <v>2.2201266E7</v>
      </c>
      <c r="B497" s="10" t="s">
        <v>1023</v>
      </c>
      <c r="C497" s="13" t="s">
        <v>853</v>
      </c>
      <c r="D497" s="13" t="s">
        <v>45</v>
      </c>
      <c r="E497" s="47"/>
      <c r="F497" s="13" t="s">
        <v>1024</v>
      </c>
      <c r="G497" s="12"/>
      <c r="H497" s="12"/>
      <c r="I497" s="12"/>
      <c r="J497" s="12"/>
      <c r="K497" s="12"/>
      <c r="L497" s="12"/>
      <c r="M497" s="12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9"/>
    </row>
    <row r="498">
      <c r="A498" s="5">
        <v>2.1201075E7</v>
      </c>
      <c r="B498" s="5" t="s">
        <v>1025</v>
      </c>
      <c r="C498" s="14" t="s">
        <v>853</v>
      </c>
      <c r="D498" s="14" t="s">
        <v>45</v>
      </c>
      <c r="E498" s="48"/>
      <c r="F498" s="14" t="s">
        <v>1026</v>
      </c>
      <c r="G498" s="7"/>
      <c r="H498" s="7"/>
      <c r="I498" s="7"/>
      <c r="J498" s="7"/>
      <c r="K498" s="7"/>
      <c r="L498" s="7"/>
      <c r="M498" s="7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9"/>
    </row>
    <row r="499">
      <c r="A499" s="10">
        <v>2.210154E7</v>
      </c>
      <c r="B499" s="10" t="s">
        <v>1027</v>
      </c>
      <c r="C499" s="13" t="s">
        <v>853</v>
      </c>
      <c r="D499" s="13" t="s">
        <v>45</v>
      </c>
      <c r="E499" s="47"/>
      <c r="F499" s="13" t="s">
        <v>1028</v>
      </c>
      <c r="G499" s="12"/>
      <c r="H499" s="12"/>
      <c r="I499" s="12"/>
      <c r="J499" s="12"/>
      <c r="K499" s="12"/>
      <c r="L499" s="12"/>
      <c r="M499" s="12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9"/>
    </row>
    <row r="500">
      <c r="A500" s="5">
        <v>2.330156E7</v>
      </c>
      <c r="B500" s="5" t="s">
        <v>1029</v>
      </c>
      <c r="C500" s="14" t="s">
        <v>853</v>
      </c>
      <c r="D500" s="14" t="s">
        <v>45</v>
      </c>
      <c r="E500" s="48"/>
      <c r="F500" s="14" t="s">
        <v>1030</v>
      </c>
      <c r="G500" s="7"/>
      <c r="H500" s="7"/>
      <c r="I500" s="7"/>
      <c r="J500" s="7"/>
      <c r="K500" s="7"/>
      <c r="L500" s="7"/>
      <c r="M500" s="7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9"/>
    </row>
    <row r="501">
      <c r="A501" s="10">
        <v>2.2201858E7</v>
      </c>
      <c r="B501" s="10" t="s">
        <v>1031</v>
      </c>
      <c r="C501" s="13" t="s">
        <v>853</v>
      </c>
      <c r="D501" s="13" t="s">
        <v>45</v>
      </c>
      <c r="E501" s="47"/>
      <c r="F501" s="13" t="s">
        <v>1032</v>
      </c>
      <c r="G501" s="12"/>
      <c r="H501" s="12"/>
      <c r="I501" s="12"/>
      <c r="J501" s="12"/>
      <c r="K501" s="12"/>
      <c r="L501" s="12"/>
      <c r="M501" s="12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/>
    </row>
    <row r="502">
      <c r="A502" s="5">
        <v>2.4101654E7</v>
      </c>
      <c r="B502" s="5" t="s">
        <v>1033</v>
      </c>
      <c r="C502" s="14" t="s">
        <v>853</v>
      </c>
      <c r="D502" s="14" t="s">
        <v>45</v>
      </c>
      <c r="E502" s="48"/>
      <c r="F502" s="14" t="s">
        <v>1034</v>
      </c>
      <c r="G502" s="7"/>
      <c r="H502" s="7"/>
      <c r="I502" s="7"/>
      <c r="J502" s="7"/>
      <c r="K502" s="7"/>
      <c r="L502" s="7"/>
      <c r="M502" s="7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9"/>
    </row>
    <row r="503">
      <c r="A503" s="10">
        <v>2.4341187E7</v>
      </c>
      <c r="B503" s="10" t="s">
        <v>1035</v>
      </c>
      <c r="C503" s="13" t="s">
        <v>853</v>
      </c>
      <c r="D503" s="13" t="s">
        <v>45</v>
      </c>
      <c r="E503" s="47"/>
      <c r="F503" s="13" t="s">
        <v>1036</v>
      </c>
      <c r="G503" s="12"/>
      <c r="H503" s="12"/>
      <c r="I503" s="12"/>
      <c r="J503" s="12"/>
      <c r="K503" s="12"/>
      <c r="L503" s="12"/>
      <c r="M503" s="12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9"/>
    </row>
    <row r="504">
      <c r="A504" s="5">
        <v>2.430127E7</v>
      </c>
      <c r="B504" s="5" t="s">
        <v>1037</v>
      </c>
      <c r="C504" s="14" t="s">
        <v>853</v>
      </c>
      <c r="D504" s="14" t="s">
        <v>45</v>
      </c>
      <c r="E504" s="48"/>
      <c r="F504" s="14" t="s">
        <v>1038</v>
      </c>
      <c r="G504" s="7"/>
      <c r="H504" s="7"/>
      <c r="I504" s="7"/>
      <c r="J504" s="7"/>
      <c r="K504" s="7"/>
      <c r="L504" s="7"/>
      <c r="M504" s="7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9"/>
    </row>
    <row r="505">
      <c r="A505" s="10">
        <v>2.220127E7</v>
      </c>
      <c r="B505" s="10" t="s">
        <v>1039</v>
      </c>
      <c r="C505" s="13" t="s">
        <v>853</v>
      </c>
      <c r="D505" s="13" t="s">
        <v>45</v>
      </c>
      <c r="E505" s="47"/>
      <c r="F505" s="13" t="s">
        <v>1040</v>
      </c>
      <c r="G505" s="12"/>
      <c r="H505" s="12"/>
      <c r="I505" s="12"/>
      <c r="J505" s="12"/>
      <c r="K505" s="12"/>
      <c r="L505" s="12"/>
      <c r="M505" s="12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9"/>
    </row>
    <row r="506">
      <c r="A506" s="5">
        <v>2.4301234E7</v>
      </c>
      <c r="B506" s="5" t="s">
        <v>1041</v>
      </c>
      <c r="C506" s="14" t="s">
        <v>853</v>
      </c>
      <c r="D506" s="14" t="s">
        <v>45</v>
      </c>
      <c r="E506" s="48"/>
      <c r="F506" s="14" t="s">
        <v>1042</v>
      </c>
      <c r="G506" s="7"/>
      <c r="H506" s="7"/>
      <c r="I506" s="7"/>
      <c r="J506" s="7"/>
      <c r="K506" s="7"/>
      <c r="L506" s="7"/>
      <c r="M506" s="7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9"/>
    </row>
    <row r="507">
      <c r="A507" s="10">
        <v>2.4341184E7</v>
      </c>
      <c r="B507" s="10" t="s">
        <v>1043</v>
      </c>
      <c r="C507" s="13" t="s">
        <v>853</v>
      </c>
      <c r="D507" s="13" t="s">
        <v>45</v>
      </c>
      <c r="E507" s="47"/>
      <c r="F507" s="13" t="s">
        <v>1044</v>
      </c>
      <c r="G507" s="12"/>
      <c r="H507" s="12"/>
      <c r="I507" s="12"/>
      <c r="J507" s="12"/>
      <c r="K507" s="12"/>
      <c r="L507" s="12"/>
      <c r="M507" s="12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9"/>
    </row>
    <row r="508">
      <c r="A508" s="5">
        <v>2.4110029E7</v>
      </c>
      <c r="B508" s="5" t="s">
        <v>1045</v>
      </c>
      <c r="C508" s="14" t="s">
        <v>853</v>
      </c>
      <c r="D508" s="14" t="s">
        <v>45</v>
      </c>
      <c r="E508" s="48"/>
      <c r="F508" s="14" t="s">
        <v>1046</v>
      </c>
      <c r="G508" s="7"/>
      <c r="H508" s="7"/>
      <c r="I508" s="7"/>
      <c r="J508" s="7"/>
      <c r="K508" s="7"/>
      <c r="L508" s="7"/>
      <c r="M508" s="7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9"/>
    </row>
    <row r="509">
      <c r="A509" s="10">
        <v>2.22993E7</v>
      </c>
      <c r="B509" s="10" t="s">
        <v>1047</v>
      </c>
      <c r="C509" s="13" t="s">
        <v>853</v>
      </c>
      <c r="D509" s="13" t="s">
        <v>45</v>
      </c>
      <c r="E509" s="47"/>
      <c r="F509" s="13" t="s">
        <v>1048</v>
      </c>
      <c r="G509" s="12"/>
      <c r="H509" s="12"/>
      <c r="I509" s="12"/>
      <c r="J509" s="12"/>
      <c r="K509" s="12"/>
      <c r="L509" s="12"/>
      <c r="M509" s="12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9"/>
    </row>
    <row r="510">
      <c r="A510" s="5">
        <v>2.3101351E7</v>
      </c>
      <c r="B510" s="5" t="s">
        <v>1049</v>
      </c>
      <c r="C510" s="14" t="s">
        <v>853</v>
      </c>
      <c r="D510" s="14" t="s">
        <v>45</v>
      </c>
      <c r="E510" s="48"/>
      <c r="F510" s="14" t="s">
        <v>1050</v>
      </c>
      <c r="G510" s="7"/>
      <c r="H510" s="7"/>
      <c r="I510" s="7"/>
      <c r="J510" s="7"/>
      <c r="K510" s="7"/>
      <c r="L510" s="7"/>
      <c r="M510" s="7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9"/>
    </row>
    <row r="511">
      <c r="A511" s="10">
        <v>2.4341158E7</v>
      </c>
      <c r="B511" s="10" t="s">
        <v>1051</v>
      </c>
      <c r="C511" s="13" t="s">
        <v>853</v>
      </c>
      <c r="D511" s="13" t="s">
        <v>45</v>
      </c>
      <c r="E511" s="47"/>
      <c r="F511" s="13" t="s">
        <v>1052</v>
      </c>
      <c r="G511" s="12"/>
      <c r="H511" s="12"/>
      <c r="I511" s="12"/>
      <c r="J511" s="12"/>
      <c r="K511" s="12"/>
      <c r="L511" s="12"/>
      <c r="M511" s="12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9"/>
    </row>
    <row r="512">
      <c r="A512" s="5">
        <v>2.1301392E7</v>
      </c>
      <c r="B512" s="5" t="s">
        <v>1053</v>
      </c>
      <c r="C512" s="14" t="s">
        <v>853</v>
      </c>
      <c r="D512" s="14" t="s">
        <v>45</v>
      </c>
      <c r="E512" s="48"/>
      <c r="F512" s="14" t="s">
        <v>1054</v>
      </c>
      <c r="G512" s="7"/>
      <c r="H512" s="7"/>
      <c r="I512" s="7"/>
      <c r="J512" s="7"/>
      <c r="K512" s="7"/>
      <c r="L512" s="7"/>
      <c r="M512" s="7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9"/>
    </row>
    <row r="513">
      <c r="A513" s="10">
        <v>2.3141016E7</v>
      </c>
      <c r="B513" s="10" t="s">
        <v>1055</v>
      </c>
      <c r="C513" s="13" t="s">
        <v>853</v>
      </c>
      <c r="D513" s="13" t="s">
        <v>45</v>
      </c>
      <c r="E513" s="47"/>
      <c r="F513" s="13" t="s">
        <v>1056</v>
      </c>
      <c r="G513" s="12"/>
      <c r="H513" s="12"/>
      <c r="I513" s="12"/>
      <c r="J513" s="12"/>
      <c r="K513" s="12"/>
      <c r="L513" s="12"/>
      <c r="M513" s="12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9"/>
    </row>
    <row r="514">
      <c r="A514" s="5">
        <v>2.2299193E7</v>
      </c>
      <c r="B514" s="5" t="s">
        <v>1057</v>
      </c>
      <c r="C514" s="14" t="s">
        <v>853</v>
      </c>
      <c r="D514" s="14" t="s">
        <v>45</v>
      </c>
      <c r="E514" s="48"/>
      <c r="F514" s="14" t="s">
        <v>1058</v>
      </c>
      <c r="G514" s="7"/>
      <c r="H514" s="7"/>
      <c r="I514" s="7"/>
      <c r="J514" s="7"/>
      <c r="K514" s="7"/>
      <c r="L514" s="7"/>
      <c r="M514" s="7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9"/>
    </row>
    <row r="515">
      <c r="A515" s="10">
        <v>2.4101613E7</v>
      </c>
      <c r="B515" s="10" t="s">
        <v>1059</v>
      </c>
      <c r="C515" s="13" t="s">
        <v>853</v>
      </c>
      <c r="D515" s="13" t="s">
        <v>45</v>
      </c>
      <c r="E515" s="47"/>
      <c r="F515" s="13" t="s">
        <v>1060</v>
      </c>
      <c r="G515" s="12"/>
      <c r="H515" s="12"/>
      <c r="I515" s="12"/>
      <c r="J515" s="12"/>
      <c r="K515" s="12"/>
      <c r="L515" s="12"/>
      <c r="M515" s="12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9"/>
    </row>
    <row r="516">
      <c r="A516" s="5">
        <v>2.320159E7</v>
      </c>
      <c r="B516" s="5" t="s">
        <v>1061</v>
      </c>
      <c r="C516" s="14" t="s">
        <v>853</v>
      </c>
      <c r="D516" s="14" t="s">
        <v>45</v>
      </c>
      <c r="E516" s="48"/>
      <c r="F516" s="14" t="s">
        <v>1062</v>
      </c>
      <c r="G516" s="7"/>
      <c r="H516" s="7"/>
      <c r="I516" s="7"/>
      <c r="J516" s="7"/>
      <c r="K516" s="7"/>
      <c r="L516" s="7"/>
      <c r="M516" s="7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9"/>
    </row>
    <row r="517">
      <c r="A517" s="10">
        <v>2.3201049E7</v>
      </c>
      <c r="B517" s="10" t="s">
        <v>1063</v>
      </c>
      <c r="C517" s="13" t="s">
        <v>853</v>
      </c>
      <c r="D517" s="13" t="s">
        <v>45</v>
      </c>
      <c r="E517" s="47"/>
      <c r="F517" s="13" t="s">
        <v>1064</v>
      </c>
      <c r="G517" s="12"/>
      <c r="H517" s="12"/>
      <c r="I517" s="12"/>
      <c r="J517" s="12"/>
      <c r="K517" s="12"/>
      <c r="L517" s="12"/>
      <c r="M517" s="12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9"/>
    </row>
    <row r="518">
      <c r="A518" s="5">
        <v>2.4226118E7</v>
      </c>
      <c r="B518" s="5" t="s">
        <v>1065</v>
      </c>
      <c r="C518" s="14" t="s">
        <v>853</v>
      </c>
      <c r="D518" s="14" t="s">
        <v>45</v>
      </c>
      <c r="E518" s="48"/>
      <c r="F518" s="14" t="s">
        <v>1066</v>
      </c>
      <c r="G518" s="7"/>
      <c r="H518" s="7"/>
      <c r="I518" s="7"/>
      <c r="J518" s="7"/>
      <c r="K518" s="7"/>
      <c r="L518" s="7"/>
      <c r="M518" s="7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9"/>
    </row>
    <row r="519">
      <c r="A519" s="10">
        <v>2.4204302E7</v>
      </c>
      <c r="B519" s="10" t="s">
        <v>1067</v>
      </c>
      <c r="C519" s="13" t="s">
        <v>853</v>
      </c>
      <c r="D519" s="13" t="s">
        <v>45</v>
      </c>
      <c r="E519" s="47"/>
      <c r="F519" s="13" t="s">
        <v>1068</v>
      </c>
      <c r="G519" s="12"/>
      <c r="H519" s="12"/>
      <c r="I519" s="12"/>
      <c r="J519" s="12"/>
      <c r="K519" s="12"/>
      <c r="L519" s="12"/>
      <c r="M519" s="12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9"/>
    </row>
    <row r="520">
      <c r="A520" s="5">
        <v>2.3301374E7</v>
      </c>
      <c r="B520" s="5" t="s">
        <v>1069</v>
      </c>
      <c r="C520" s="14" t="s">
        <v>853</v>
      </c>
      <c r="D520" s="14" t="s">
        <v>45</v>
      </c>
      <c r="E520" s="48"/>
      <c r="F520" s="14" t="s">
        <v>1070</v>
      </c>
      <c r="G520" s="7"/>
      <c r="H520" s="7"/>
      <c r="I520" s="7"/>
      <c r="J520" s="7"/>
      <c r="K520" s="7"/>
      <c r="L520" s="7"/>
      <c r="M520" s="7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9"/>
    </row>
    <row r="521">
      <c r="A521" s="10">
        <v>1.000054027E9</v>
      </c>
      <c r="B521" s="10" t="s">
        <v>1071</v>
      </c>
      <c r="C521" s="13" t="s">
        <v>853</v>
      </c>
      <c r="D521" s="13" t="s">
        <v>45</v>
      </c>
      <c r="E521" s="47"/>
      <c r="F521" s="13" t="s">
        <v>1072</v>
      </c>
      <c r="G521" s="12"/>
      <c r="H521" s="12"/>
      <c r="I521" s="12"/>
      <c r="J521" s="12"/>
      <c r="K521" s="12"/>
      <c r="L521" s="12"/>
      <c r="M521" s="12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9"/>
    </row>
    <row r="522">
      <c r="A522" s="5">
        <v>1.000054141E9</v>
      </c>
      <c r="B522" s="5" t="s">
        <v>1073</v>
      </c>
      <c r="C522" s="14" t="s">
        <v>853</v>
      </c>
      <c r="D522" s="14" t="s">
        <v>45</v>
      </c>
      <c r="E522" s="48"/>
      <c r="F522" s="14" t="s">
        <v>1074</v>
      </c>
      <c r="G522" s="7"/>
      <c r="H522" s="7"/>
      <c r="I522" s="7"/>
      <c r="J522" s="7"/>
      <c r="K522" s="7"/>
      <c r="L522" s="7"/>
      <c r="M522" s="7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9"/>
    </row>
    <row r="523">
      <c r="A523" s="10">
        <v>1.000054452E9</v>
      </c>
      <c r="B523" s="10" t="s">
        <v>1075</v>
      </c>
      <c r="C523" s="13" t="s">
        <v>853</v>
      </c>
      <c r="D523" s="13" t="s">
        <v>45</v>
      </c>
      <c r="E523" s="47"/>
      <c r="F523" s="13" t="s">
        <v>1076</v>
      </c>
      <c r="G523" s="12"/>
      <c r="H523" s="12"/>
      <c r="I523" s="12"/>
      <c r="J523" s="12"/>
      <c r="K523" s="12"/>
      <c r="L523" s="12"/>
      <c r="M523" s="12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9"/>
    </row>
    <row r="524">
      <c r="A524" s="5">
        <v>1.000055371E9</v>
      </c>
      <c r="B524" s="5" t="s">
        <v>1077</v>
      </c>
      <c r="C524" s="14" t="s">
        <v>853</v>
      </c>
      <c r="D524" s="14" t="s">
        <v>45</v>
      </c>
      <c r="E524" s="48"/>
      <c r="F524" s="14" t="s">
        <v>1078</v>
      </c>
      <c r="G524" s="7"/>
      <c r="H524" s="7"/>
      <c r="I524" s="7"/>
      <c r="J524" s="7"/>
      <c r="K524" s="7"/>
      <c r="L524" s="7"/>
      <c r="M524" s="7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9"/>
    </row>
    <row r="525">
      <c r="A525" s="10">
        <v>1.000055468E9</v>
      </c>
      <c r="B525" s="10" t="s">
        <v>1079</v>
      </c>
      <c r="C525" s="13" t="s">
        <v>853</v>
      </c>
      <c r="D525" s="13" t="s">
        <v>45</v>
      </c>
      <c r="E525" s="47"/>
      <c r="F525" s="13" t="s">
        <v>1080</v>
      </c>
      <c r="G525" s="12"/>
      <c r="H525" s="12"/>
      <c r="I525" s="12"/>
      <c r="J525" s="12"/>
      <c r="K525" s="12"/>
      <c r="L525" s="12"/>
      <c r="M525" s="12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9"/>
    </row>
    <row r="526">
      <c r="A526" s="5">
        <v>2.334105E7</v>
      </c>
      <c r="B526" s="5" t="s">
        <v>1081</v>
      </c>
      <c r="C526" s="14" t="s">
        <v>853</v>
      </c>
      <c r="D526" s="14" t="s">
        <v>95</v>
      </c>
      <c r="E526" s="48"/>
      <c r="F526" s="14" t="s">
        <v>1082</v>
      </c>
      <c r="G526" s="7"/>
      <c r="H526" s="7"/>
      <c r="I526" s="7"/>
      <c r="J526" s="7"/>
      <c r="K526" s="7"/>
      <c r="L526" s="7"/>
      <c r="M526" s="7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9"/>
    </row>
    <row r="527">
      <c r="A527" s="10">
        <v>2.3341042E7</v>
      </c>
      <c r="B527" s="10" t="s">
        <v>1083</v>
      </c>
      <c r="C527" s="13" t="s">
        <v>853</v>
      </c>
      <c r="D527" s="13" t="s">
        <v>95</v>
      </c>
      <c r="E527" s="47"/>
      <c r="F527" s="13" t="s">
        <v>1084</v>
      </c>
      <c r="G527" s="12"/>
      <c r="H527" s="12"/>
      <c r="I527" s="12"/>
      <c r="J527" s="12"/>
      <c r="K527" s="12"/>
      <c r="L527" s="12"/>
      <c r="M527" s="12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9"/>
    </row>
    <row r="528">
      <c r="A528" s="5">
        <v>2.3304207E7</v>
      </c>
      <c r="B528" s="5" t="s">
        <v>1085</v>
      </c>
      <c r="C528" s="14" t="s">
        <v>853</v>
      </c>
      <c r="D528" s="14" t="s">
        <v>95</v>
      </c>
      <c r="E528" s="48"/>
      <c r="F528" s="14" t="s">
        <v>1086</v>
      </c>
      <c r="G528" s="7"/>
      <c r="H528" s="7"/>
      <c r="I528" s="7"/>
      <c r="J528" s="7"/>
      <c r="K528" s="7"/>
      <c r="L528" s="7"/>
      <c r="M528" s="7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9"/>
    </row>
    <row r="529">
      <c r="A529" s="10">
        <v>2.3301565E7</v>
      </c>
      <c r="B529" s="10" t="s">
        <v>1087</v>
      </c>
      <c r="C529" s="13" t="s">
        <v>853</v>
      </c>
      <c r="D529" s="13" t="s">
        <v>95</v>
      </c>
      <c r="E529" s="47"/>
      <c r="F529" s="13" t="s">
        <v>1088</v>
      </c>
      <c r="G529" s="12"/>
      <c r="H529" s="12"/>
      <c r="I529" s="12"/>
      <c r="J529" s="12"/>
      <c r="K529" s="12"/>
      <c r="L529" s="12"/>
      <c r="M529" s="12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9"/>
    </row>
    <row r="530">
      <c r="A530" s="5">
        <v>2.3301439E7</v>
      </c>
      <c r="B530" s="5" t="s">
        <v>1089</v>
      </c>
      <c r="C530" s="14" t="s">
        <v>853</v>
      </c>
      <c r="D530" s="14" t="s">
        <v>95</v>
      </c>
      <c r="E530" s="48"/>
      <c r="F530" s="14" t="s">
        <v>1090</v>
      </c>
      <c r="G530" s="7"/>
      <c r="H530" s="7"/>
      <c r="I530" s="7"/>
      <c r="J530" s="7"/>
      <c r="K530" s="7"/>
      <c r="L530" s="7"/>
      <c r="M530" s="7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9"/>
    </row>
    <row r="531">
      <c r="A531" s="10">
        <v>2.3301332E7</v>
      </c>
      <c r="B531" s="10" t="s">
        <v>1091</v>
      </c>
      <c r="C531" s="13" t="s">
        <v>853</v>
      </c>
      <c r="D531" s="13" t="s">
        <v>95</v>
      </c>
      <c r="E531" s="47"/>
      <c r="F531" s="13" t="s">
        <v>1092</v>
      </c>
      <c r="G531" s="12"/>
      <c r="H531" s="12"/>
      <c r="I531" s="12"/>
      <c r="J531" s="12"/>
      <c r="K531" s="12"/>
      <c r="L531" s="12"/>
      <c r="M531" s="12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9"/>
    </row>
    <row r="532">
      <c r="A532" s="5">
        <v>2.3301278E7</v>
      </c>
      <c r="B532" s="5" t="s">
        <v>1093</v>
      </c>
      <c r="C532" s="14" t="s">
        <v>853</v>
      </c>
      <c r="D532" s="14" t="s">
        <v>95</v>
      </c>
      <c r="E532" s="48"/>
      <c r="F532" s="14" t="s">
        <v>1094</v>
      </c>
      <c r="G532" s="7"/>
      <c r="H532" s="7"/>
      <c r="I532" s="7"/>
      <c r="J532" s="7"/>
      <c r="K532" s="7"/>
      <c r="L532" s="7"/>
      <c r="M532" s="7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9"/>
    </row>
    <row r="533">
      <c r="A533" s="10">
        <v>2.3301225E7</v>
      </c>
      <c r="B533" s="10" t="s">
        <v>1095</v>
      </c>
      <c r="C533" s="13" t="s">
        <v>853</v>
      </c>
      <c r="D533" s="13" t="s">
        <v>95</v>
      </c>
      <c r="E533" s="47"/>
      <c r="F533" s="13" t="s">
        <v>1096</v>
      </c>
      <c r="G533" s="12"/>
      <c r="H533" s="12"/>
      <c r="I533" s="12"/>
      <c r="J533" s="12"/>
      <c r="K533" s="12"/>
      <c r="L533" s="12"/>
      <c r="M533" s="12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9"/>
    </row>
    <row r="534">
      <c r="A534" s="5">
        <v>2.3301198E7</v>
      </c>
      <c r="B534" s="5" t="s">
        <v>1097</v>
      </c>
      <c r="C534" s="14" t="s">
        <v>853</v>
      </c>
      <c r="D534" s="14" t="s">
        <v>95</v>
      </c>
      <c r="E534" s="48"/>
      <c r="F534" s="14" t="s">
        <v>1098</v>
      </c>
      <c r="G534" s="7"/>
      <c r="H534" s="7"/>
      <c r="I534" s="7"/>
      <c r="J534" s="7"/>
      <c r="K534" s="7"/>
      <c r="L534" s="7"/>
      <c r="M534" s="7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9"/>
    </row>
    <row r="535">
      <c r="A535" s="10">
        <v>2.3301196E7</v>
      </c>
      <c r="B535" s="10" t="s">
        <v>1099</v>
      </c>
      <c r="C535" s="13" t="s">
        <v>853</v>
      </c>
      <c r="D535" s="13" t="s">
        <v>95</v>
      </c>
      <c r="E535" s="47"/>
      <c r="F535" s="13" t="s">
        <v>1100</v>
      </c>
      <c r="G535" s="12"/>
      <c r="H535" s="12"/>
      <c r="I535" s="12"/>
      <c r="J535" s="12"/>
      <c r="K535" s="12"/>
      <c r="L535" s="12"/>
      <c r="M535" s="12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9"/>
    </row>
    <row r="536">
      <c r="A536" s="5">
        <v>2.3301155E7</v>
      </c>
      <c r="B536" s="5" t="s">
        <v>1101</v>
      </c>
      <c r="C536" s="14" t="s">
        <v>853</v>
      </c>
      <c r="D536" s="14" t="s">
        <v>95</v>
      </c>
      <c r="E536" s="48"/>
      <c r="F536" s="14" t="s">
        <v>1102</v>
      </c>
      <c r="G536" s="7"/>
      <c r="H536" s="7"/>
      <c r="I536" s="7"/>
      <c r="J536" s="7"/>
      <c r="K536" s="7"/>
      <c r="L536" s="7"/>
      <c r="M536" s="7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9"/>
    </row>
    <row r="537">
      <c r="A537" s="10">
        <v>2.3301149E7</v>
      </c>
      <c r="B537" s="10" t="s">
        <v>1103</v>
      </c>
      <c r="C537" s="13" t="s">
        <v>853</v>
      </c>
      <c r="D537" s="13" t="s">
        <v>95</v>
      </c>
      <c r="E537" s="47"/>
      <c r="F537" s="13" t="s">
        <v>1104</v>
      </c>
      <c r="G537" s="12"/>
      <c r="H537" s="12"/>
      <c r="I537" s="12"/>
      <c r="J537" s="12"/>
      <c r="K537" s="12"/>
      <c r="L537" s="12"/>
      <c r="M537" s="12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9"/>
    </row>
    <row r="538">
      <c r="A538" s="5">
        <v>2.3301076E7</v>
      </c>
      <c r="B538" s="5" t="s">
        <v>1105</v>
      </c>
      <c r="C538" s="14" t="s">
        <v>853</v>
      </c>
      <c r="D538" s="14" t="s">
        <v>95</v>
      </c>
      <c r="E538" s="48"/>
      <c r="F538" s="14" t="s">
        <v>1106</v>
      </c>
      <c r="G538" s="7"/>
      <c r="H538" s="7"/>
      <c r="I538" s="7"/>
      <c r="J538" s="7"/>
      <c r="K538" s="7"/>
      <c r="L538" s="7"/>
      <c r="M538" s="7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9"/>
    </row>
    <row r="539">
      <c r="A539" s="10">
        <v>2.3301054E7</v>
      </c>
      <c r="B539" s="10" t="s">
        <v>1107</v>
      </c>
      <c r="C539" s="13" t="s">
        <v>853</v>
      </c>
      <c r="D539" s="13" t="s">
        <v>95</v>
      </c>
      <c r="E539" s="47"/>
      <c r="F539" s="13" t="s">
        <v>1108</v>
      </c>
      <c r="G539" s="12"/>
      <c r="H539" s="12"/>
      <c r="I539" s="12"/>
      <c r="J539" s="12"/>
      <c r="K539" s="12"/>
      <c r="L539" s="12"/>
      <c r="M539" s="12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9"/>
    </row>
    <row r="540">
      <c r="A540" s="5">
        <v>2.324103E7</v>
      </c>
      <c r="B540" s="5" t="s">
        <v>1109</v>
      </c>
      <c r="C540" s="14" t="s">
        <v>853</v>
      </c>
      <c r="D540" s="14" t="s">
        <v>95</v>
      </c>
      <c r="E540" s="48"/>
      <c r="F540" s="14" t="s">
        <v>1110</v>
      </c>
      <c r="G540" s="7"/>
      <c r="H540" s="7"/>
      <c r="I540" s="7"/>
      <c r="J540" s="7"/>
      <c r="K540" s="7"/>
      <c r="L540" s="7"/>
      <c r="M540" s="7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9"/>
    </row>
    <row r="541">
      <c r="A541" s="10">
        <v>2.324101E7</v>
      </c>
      <c r="B541" s="10" t="s">
        <v>1111</v>
      </c>
      <c r="C541" s="13" t="s">
        <v>853</v>
      </c>
      <c r="D541" s="13" t="s">
        <v>95</v>
      </c>
      <c r="E541" s="47"/>
      <c r="F541" s="13" t="s">
        <v>1112</v>
      </c>
      <c r="G541" s="12"/>
      <c r="H541" s="12"/>
      <c r="I541" s="12"/>
      <c r="J541" s="12"/>
      <c r="K541" s="12"/>
      <c r="L541" s="12"/>
      <c r="M541" s="12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9"/>
    </row>
    <row r="542">
      <c r="A542" s="5">
        <v>2.3241007E7</v>
      </c>
      <c r="B542" s="5" t="s">
        <v>1113</v>
      </c>
      <c r="C542" s="14" t="s">
        <v>853</v>
      </c>
      <c r="D542" s="14" t="s">
        <v>95</v>
      </c>
      <c r="E542" s="48"/>
      <c r="F542" s="14" t="s">
        <v>1114</v>
      </c>
      <c r="G542" s="7"/>
      <c r="H542" s="7"/>
      <c r="I542" s="7"/>
      <c r="J542" s="7"/>
      <c r="K542" s="7"/>
      <c r="L542" s="7"/>
      <c r="M542" s="7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9"/>
    </row>
    <row r="543">
      <c r="A543" s="10">
        <v>2.3215018E7</v>
      </c>
      <c r="B543" s="10" t="s">
        <v>1115</v>
      </c>
      <c r="C543" s="13" t="s">
        <v>853</v>
      </c>
      <c r="D543" s="13" t="s">
        <v>95</v>
      </c>
      <c r="E543" s="47"/>
      <c r="F543" s="13" t="s">
        <v>1116</v>
      </c>
      <c r="G543" s="12"/>
      <c r="H543" s="12"/>
      <c r="I543" s="12"/>
      <c r="J543" s="12"/>
      <c r="K543" s="12"/>
      <c r="L543" s="12"/>
      <c r="M543" s="12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9"/>
    </row>
    <row r="544">
      <c r="A544" s="5">
        <v>2.3203064E7</v>
      </c>
      <c r="B544" s="5" t="s">
        <v>1117</v>
      </c>
      <c r="C544" s="14" t="s">
        <v>853</v>
      </c>
      <c r="D544" s="14" t="s">
        <v>95</v>
      </c>
      <c r="E544" s="48"/>
      <c r="F544" s="14" t="s">
        <v>1118</v>
      </c>
      <c r="G544" s="7"/>
      <c r="H544" s="7"/>
      <c r="I544" s="7"/>
      <c r="J544" s="7"/>
      <c r="K544" s="7"/>
      <c r="L544" s="7"/>
      <c r="M544" s="7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9"/>
    </row>
    <row r="545">
      <c r="A545" s="10">
        <v>2.3201642E7</v>
      </c>
      <c r="B545" s="10" t="s">
        <v>1119</v>
      </c>
      <c r="C545" s="13" t="s">
        <v>853</v>
      </c>
      <c r="D545" s="13" t="s">
        <v>95</v>
      </c>
      <c r="E545" s="47"/>
      <c r="F545" s="13" t="s">
        <v>1120</v>
      </c>
      <c r="G545" s="12"/>
      <c r="H545" s="12"/>
      <c r="I545" s="12"/>
      <c r="J545" s="12"/>
      <c r="K545" s="12"/>
      <c r="L545" s="12"/>
      <c r="M545" s="12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9"/>
    </row>
    <row r="546">
      <c r="A546" s="5">
        <v>2.3201607E7</v>
      </c>
      <c r="B546" s="5" t="s">
        <v>1121</v>
      </c>
      <c r="C546" s="14" t="s">
        <v>853</v>
      </c>
      <c r="D546" s="14" t="s">
        <v>95</v>
      </c>
      <c r="E546" s="48"/>
      <c r="F546" s="14" t="s">
        <v>1122</v>
      </c>
      <c r="G546" s="7"/>
      <c r="H546" s="7"/>
      <c r="I546" s="7"/>
      <c r="J546" s="7"/>
      <c r="K546" s="7"/>
      <c r="L546" s="7"/>
      <c r="M546" s="7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9"/>
    </row>
    <row r="547">
      <c r="A547" s="10">
        <v>2.3201595E7</v>
      </c>
      <c r="B547" s="10" t="s">
        <v>1123</v>
      </c>
      <c r="C547" s="13" t="s">
        <v>853</v>
      </c>
      <c r="D547" s="13" t="s">
        <v>95</v>
      </c>
      <c r="E547" s="47"/>
      <c r="F547" s="13" t="s">
        <v>1124</v>
      </c>
      <c r="G547" s="12"/>
      <c r="H547" s="12"/>
      <c r="I547" s="12"/>
      <c r="J547" s="12"/>
      <c r="K547" s="12"/>
      <c r="L547" s="12"/>
      <c r="M547" s="12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9"/>
    </row>
    <row r="548">
      <c r="A548" s="5">
        <v>2.3201593E7</v>
      </c>
      <c r="B548" s="5" t="s">
        <v>1125</v>
      </c>
      <c r="C548" s="14" t="s">
        <v>853</v>
      </c>
      <c r="D548" s="14" t="s">
        <v>95</v>
      </c>
      <c r="E548" s="48"/>
      <c r="F548" s="14" t="s">
        <v>1126</v>
      </c>
      <c r="G548" s="7"/>
      <c r="H548" s="7"/>
      <c r="I548" s="7"/>
      <c r="J548" s="7"/>
      <c r="K548" s="7"/>
      <c r="L548" s="7"/>
      <c r="M548" s="7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9"/>
    </row>
    <row r="549">
      <c r="A549" s="10">
        <v>2.320157E7</v>
      </c>
      <c r="B549" s="10" t="s">
        <v>1127</v>
      </c>
      <c r="C549" s="13" t="s">
        <v>853</v>
      </c>
      <c r="D549" s="13" t="s">
        <v>95</v>
      </c>
      <c r="E549" s="47"/>
      <c r="F549" s="13" t="s">
        <v>1128</v>
      </c>
      <c r="G549" s="12"/>
      <c r="H549" s="12"/>
      <c r="I549" s="12"/>
      <c r="J549" s="12"/>
      <c r="K549" s="12"/>
      <c r="L549" s="12"/>
      <c r="M549" s="12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9"/>
    </row>
    <row r="550">
      <c r="A550" s="5">
        <v>2.3201568E7</v>
      </c>
      <c r="B550" s="5" t="s">
        <v>1129</v>
      </c>
      <c r="C550" s="14" t="s">
        <v>853</v>
      </c>
      <c r="D550" s="14" t="s">
        <v>95</v>
      </c>
      <c r="E550" s="48"/>
      <c r="F550" s="14" t="s">
        <v>1130</v>
      </c>
      <c r="G550" s="7"/>
      <c r="H550" s="7"/>
      <c r="I550" s="7"/>
      <c r="J550" s="7"/>
      <c r="K550" s="7"/>
      <c r="L550" s="7"/>
      <c r="M550" s="7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9"/>
    </row>
    <row r="551">
      <c r="A551" s="10">
        <v>2.3201518E7</v>
      </c>
      <c r="B551" s="10" t="s">
        <v>1131</v>
      </c>
      <c r="C551" s="13" t="s">
        <v>853</v>
      </c>
      <c r="D551" s="13" t="s">
        <v>95</v>
      </c>
      <c r="E551" s="47"/>
      <c r="F551" s="13" t="s">
        <v>1132</v>
      </c>
      <c r="G551" s="12"/>
      <c r="H551" s="12"/>
      <c r="I551" s="12"/>
      <c r="J551" s="12"/>
      <c r="K551" s="12"/>
      <c r="L551" s="12"/>
      <c r="M551" s="12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9"/>
    </row>
    <row r="552">
      <c r="A552" s="5">
        <v>2.3201395E7</v>
      </c>
      <c r="B552" s="5" t="s">
        <v>1133</v>
      </c>
      <c r="C552" s="14" t="s">
        <v>853</v>
      </c>
      <c r="D552" s="14" t="s">
        <v>95</v>
      </c>
      <c r="E552" s="48"/>
      <c r="F552" s="14" t="s">
        <v>1134</v>
      </c>
      <c r="G552" s="7"/>
      <c r="H552" s="7"/>
      <c r="I552" s="7"/>
      <c r="J552" s="7"/>
      <c r="K552" s="7"/>
      <c r="L552" s="7"/>
      <c r="M552" s="7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9"/>
    </row>
    <row r="553">
      <c r="A553" s="10">
        <v>2.3201179E7</v>
      </c>
      <c r="B553" s="10" t="s">
        <v>1135</v>
      </c>
      <c r="C553" s="13" t="s">
        <v>853</v>
      </c>
      <c r="D553" s="13" t="s">
        <v>95</v>
      </c>
      <c r="E553" s="47"/>
      <c r="F553" s="13" t="s">
        <v>1136</v>
      </c>
      <c r="G553" s="12"/>
      <c r="H553" s="12"/>
      <c r="I553" s="12"/>
      <c r="J553" s="12"/>
      <c r="K553" s="12"/>
      <c r="L553" s="12"/>
      <c r="M553" s="12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9"/>
    </row>
    <row r="554">
      <c r="A554" s="5">
        <v>2.3201164E7</v>
      </c>
      <c r="B554" s="5" t="s">
        <v>1137</v>
      </c>
      <c r="C554" s="14" t="s">
        <v>853</v>
      </c>
      <c r="D554" s="14" t="s">
        <v>95</v>
      </c>
      <c r="E554" s="48"/>
      <c r="F554" s="14" t="s">
        <v>1138</v>
      </c>
      <c r="G554" s="7"/>
      <c r="H554" s="7"/>
      <c r="I554" s="7"/>
      <c r="J554" s="7"/>
      <c r="K554" s="7"/>
      <c r="L554" s="7"/>
      <c r="M554" s="7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9"/>
    </row>
    <row r="555">
      <c r="A555" s="10">
        <v>2.3201162E7</v>
      </c>
      <c r="B555" s="10" t="s">
        <v>1139</v>
      </c>
      <c r="C555" s="13" t="s">
        <v>853</v>
      </c>
      <c r="D555" s="13" t="s">
        <v>95</v>
      </c>
      <c r="E555" s="47"/>
      <c r="F555" s="13" t="s">
        <v>1140</v>
      </c>
      <c r="G555" s="12"/>
      <c r="H555" s="12"/>
      <c r="I555" s="12"/>
      <c r="J555" s="12"/>
      <c r="K555" s="12"/>
      <c r="L555" s="12"/>
      <c r="M555" s="12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9"/>
    </row>
    <row r="556">
      <c r="A556" s="5">
        <v>2.3201151E7</v>
      </c>
      <c r="B556" s="5" t="s">
        <v>1141</v>
      </c>
      <c r="C556" s="14" t="s">
        <v>853</v>
      </c>
      <c r="D556" s="14" t="s">
        <v>95</v>
      </c>
      <c r="E556" s="48"/>
      <c r="F556" s="14" t="s">
        <v>1142</v>
      </c>
      <c r="G556" s="7"/>
      <c r="H556" s="7"/>
      <c r="I556" s="7"/>
      <c r="J556" s="7"/>
      <c r="K556" s="7"/>
      <c r="L556" s="7"/>
      <c r="M556" s="7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9"/>
    </row>
    <row r="557">
      <c r="A557" s="10">
        <v>2.3201145E7</v>
      </c>
      <c r="B557" s="10" t="s">
        <v>1143</v>
      </c>
      <c r="C557" s="13" t="s">
        <v>853</v>
      </c>
      <c r="D557" s="13" t="s">
        <v>95</v>
      </c>
      <c r="E557" s="47"/>
      <c r="F557" s="13" t="s">
        <v>1144</v>
      </c>
      <c r="G557" s="12"/>
      <c r="H557" s="12"/>
      <c r="I557" s="12"/>
      <c r="J557" s="12"/>
      <c r="K557" s="12"/>
      <c r="L557" s="12"/>
      <c r="M557" s="12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9"/>
    </row>
    <row r="558">
      <c r="A558" s="5">
        <v>2.3201023E7</v>
      </c>
      <c r="B558" s="5" t="s">
        <v>1145</v>
      </c>
      <c r="C558" s="14" t="s">
        <v>853</v>
      </c>
      <c r="D558" s="14" t="s">
        <v>95</v>
      </c>
      <c r="E558" s="48"/>
      <c r="F558" s="14" t="s">
        <v>1146</v>
      </c>
      <c r="G558" s="7"/>
      <c r="H558" s="7"/>
      <c r="I558" s="7"/>
      <c r="J558" s="7"/>
      <c r="K558" s="7"/>
      <c r="L558" s="7"/>
      <c r="M558" s="7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9"/>
    </row>
    <row r="559">
      <c r="A559" s="10">
        <v>2.320101E7</v>
      </c>
      <c r="B559" s="10" t="s">
        <v>1147</v>
      </c>
      <c r="C559" s="13" t="s">
        <v>853</v>
      </c>
      <c r="D559" s="13" t="s">
        <v>95</v>
      </c>
      <c r="E559" s="47"/>
      <c r="F559" s="13" t="s">
        <v>1148</v>
      </c>
      <c r="G559" s="12"/>
      <c r="H559" s="12"/>
      <c r="I559" s="12"/>
      <c r="J559" s="12"/>
      <c r="K559" s="12"/>
      <c r="L559" s="12"/>
      <c r="M559" s="12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9"/>
    </row>
    <row r="560">
      <c r="A560" s="5">
        <v>2.314101E7</v>
      </c>
      <c r="B560" s="5" t="s">
        <v>1149</v>
      </c>
      <c r="C560" s="14" t="s">
        <v>853</v>
      </c>
      <c r="D560" s="14" t="s">
        <v>95</v>
      </c>
      <c r="E560" s="48"/>
      <c r="F560" s="14" t="s">
        <v>1150</v>
      </c>
      <c r="G560" s="7"/>
      <c r="H560" s="7"/>
      <c r="I560" s="7"/>
      <c r="J560" s="7"/>
      <c r="K560" s="7"/>
      <c r="L560" s="7"/>
      <c r="M560" s="7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9"/>
    </row>
    <row r="561">
      <c r="A561" s="10">
        <v>2.3126048E7</v>
      </c>
      <c r="B561" s="10" t="s">
        <v>1151</v>
      </c>
      <c r="C561" s="13" t="s">
        <v>853</v>
      </c>
      <c r="D561" s="13" t="s">
        <v>95</v>
      </c>
      <c r="E561" s="47"/>
      <c r="F561" s="13" t="s">
        <v>1152</v>
      </c>
      <c r="G561" s="12"/>
      <c r="H561" s="12"/>
      <c r="I561" s="12"/>
      <c r="J561" s="12"/>
      <c r="K561" s="12"/>
      <c r="L561" s="12"/>
      <c r="M561" s="12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9"/>
    </row>
    <row r="562">
      <c r="A562" s="5">
        <v>2.3121093E7</v>
      </c>
      <c r="B562" s="5" t="s">
        <v>1153</v>
      </c>
      <c r="C562" s="14" t="s">
        <v>853</v>
      </c>
      <c r="D562" s="14" t="s">
        <v>95</v>
      </c>
      <c r="E562" s="48"/>
      <c r="F562" s="14" t="s">
        <v>1154</v>
      </c>
      <c r="G562" s="7"/>
      <c r="H562" s="7"/>
      <c r="I562" s="7"/>
      <c r="J562" s="7"/>
      <c r="K562" s="7"/>
      <c r="L562" s="7"/>
      <c r="M562" s="7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9"/>
    </row>
    <row r="563">
      <c r="A563" s="10">
        <v>2.3111002E7</v>
      </c>
      <c r="B563" s="10" t="s">
        <v>1155</v>
      </c>
      <c r="C563" s="13" t="s">
        <v>853</v>
      </c>
      <c r="D563" s="13" t="s">
        <v>95</v>
      </c>
      <c r="E563" s="47"/>
      <c r="F563" s="13" t="s">
        <v>1156</v>
      </c>
      <c r="G563" s="12"/>
      <c r="H563" s="12"/>
      <c r="I563" s="12"/>
      <c r="J563" s="12"/>
      <c r="K563" s="12"/>
      <c r="L563" s="12"/>
      <c r="M563" s="12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9"/>
    </row>
    <row r="564">
      <c r="A564" s="5">
        <v>2.3101518E7</v>
      </c>
      <c r="B564" s="5" t="s">
        <v>1157</v>
      </c>
      <c r="C564" s="14" t="s">
        <v>853</v>
      </c>
      <c r="D564" s="14" t="s">
        <v>95</v>
      </c>
      <c r="E564" s="48"/>
      <c r="F564" s="14" t="s">
        <v>1158</v>
      </c>
      <c r="G564" s="7"/>
      <c r="H564" s="7"/>
      <c r="I564" s="7"/>
      <c r="J564" s="7"/>
      <c r="K564" s="7"/>
      <c r="L564" s="7"/>
      <c r="M564" s="7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9"/>
    </row>
    <row r="565">
      <c r="A565" s="10">
        <v>2.31015E7</v>
      </c>
      <c r="B565" s="10" t="s">
        <v>1159</v>
      </c>
      <c r="C565" s="13" t="s">
        <v>853</v>
      </c>
      <c r="D565" s="13" t="s">
        <v>95</v>
      </c>
      <c r="E565" s="47"/>
      <c r="F565" s="13" t="s">
        <v>1160</v>
      </c>
      <c r="G565" s="12"/>
      <c r="H565" s="12"/>
      <c r="I565" s="12"/>
      <c r="J565" s="12"/>
      <c r="K565" s="12"/>
      <c r="L565" s="12"/>
      <c r="M565" s="12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9"/>
    </row>
    <row r="566">
      <c r="A566" s="5">
        <v>2.3101492E7</v>
      </c>
      <c r="B566" s="5" t="s">
        <v>1161</v>
      </c>
      <c r="C566" s="14" t="s">
        <v>853</v>
      </c>
      <c r="D566" s="14" t="s">
        <v>95</v>
      </c>
      <c r="E566" s="48"/>
      <c r="F566" s="14" t="s">
        <v>1162</v>
      </c>
      <c r="G566" s="7"/>
      <c r="H566" s="7"/>
      <c r="I566" s="7"/>
      <c r="J566" s="7"/>
      <c r="K566" s="7"/>
      <c r="L566" s="7"/>
      <c r="M566" s="7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9"/>
    </row>
    <row r="567">
      <c r="A567" s="10">
        <v>2.3101491E7</v>
      </c>
      <c r="B567" s="10" t="s">
        <v>1163</v>
      </c>
      <c r="C567" s="13" t="s">
        <v>853</v>
      </c>
      <c r="D567" s="13" t="s">
        <v>95</v>
      </c>
      <c r="E567" s="47"/>
      <c r="F567" s="13" t="s">
        <v>1164</v>
      </c>
      <c r="G567" s="12"/>
      <c r="H567" s="12"/>
      <c r="I567" s="12"/>
      <c r="J567" s="12"/>
      <c r="K567" s="12"/>
      <c r="L567" s="12"/>
      <c r="M567" s="12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9"/>
    </row>
    <row r="568">
      <c r="A568" s="5">
        <v>2.3101475E7</v>
      </c>
      <c r="B568" s="5" t="s">
        <v>1165</v>
      </c>
      <c r="C568" s="14" t="s">
        <v>853</v>
      </c>
      <c r="D568" s="14" t="s">
        <v>95</v>
      </c>
      <c r="E568" s="48"/>
      <c r="F568" s="14" t="s">
        <v>1166</v>
      </c>
      <c r="G568" s="7"/>
      <c r="H568" s="7"/>
      <c r="I568" s="7"/>
      <c r="J568" s="7"/>
      <c r="K568" s="7"/>
      <c r="L568" s="7"/>
      <c r="M568" s="7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9"/>
    </row>
    <row r="569">
      <c r="A569" s="10">
        <v>2.3101466E7</v>
      </c>
      <c r="B569" s="10" t="s">
        <v>1167</v>
      </c>
      <c r="C569" s="13" t="s">
        <v>853</v>
      </c>
      <c r="D569" s="13" t="s">
        <v>95</v>
      </c>
      <c r="E569" s="47"/>
      <c r="F569" s="13" t="s">
        <v>1168</v>
      </c>
      <c r="G569" s="12"/>
      <c r="H569" s="12"/>
      <c r="I569" s="12"/>
      <c r="J569" s="12"/>
      <c r="K569" s="12"/>
      <c r="L569" s="12"/>
      <c r="M569" s="12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9"/>
    </row>
    <row r="570">
      <c r="A570" s="5">
        <v>2.3101445E7</v>
      </c>
      <c r="B570" s="5" t="s">
        <v>1169</v>
      </c>
      <c r="C570" s="14" t="s">
        <v>853</v>
      </c>
      <c r="D570" s="14" t="s">
        <v>95</v>
      </c>
      <c r="E570" s="48"/>
      <c r="F570" s="14" t="s">
        <v>1170</v>
      </c>
      <c r="G570" s="7"/>
      <c r="H570" s="7"/>
      <c r="I570" s="7"/>
      <c r="J570" s="7"/>
      <c r="K570" s="7"/>
      <c r="L570" s="7"/>
      <c r="M570" s="7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9"/>
    </row>
    <row r="571">
      <c r="A571" s="10">
        <v>2.3101398E7</v>
      </c>
      <c r="B571" s="10" t="s">
        <v>1171</v>
      </c>
      <c r="C571" s="13" t="s">
        <v>853</v>
      </c>
      <c r="D571" s="13" t="s">
        <v>95</v>
      </c>
      <c r="E571" s="47"/>
      <c r="F571" s="13" t="s">
        <v>1172</v>
      </c>
      <c r="G571" s="12"/>
      <c r="H571" s="12"/>
      <c r="I571" s="12"/>
      <c r="J571" s="12"/>
      <c r="K571" s="12"/>
      <c r="L571" s="12"/>
      <c r="M571" s="12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9"/>
    </row>
    <row r="572">
      <c r="A572" s="5">
        <v>2.3101395E7</v>
      </c>
      <c r="B572" s="5" t="s">
        <v>1173</v>
      </c>
      <c r="C572" s="14" t="s">
        <v>853</v>
      </c>
      <c r="D572" s="14" t="s">
        <v>95</v>
      </c>
      <c r="E572" s="48"/>
      <c r="F572" s="14" t="s">
        <v>1174</v>
      </c>
      <c r="G572" s="7"/>
      <c r="H572" s="7"/>
      <c r="I572" s="7"/>
      <c r="J572" s="7"/>
      <c r="K572" s="7"/>
      <c r="L572" s="7"/>
      <c r="M572" s="7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9"/>
    </row>
    <row r="573">
      <c r="A573" s="10">
        <v>2.3101366E7</v>
      </c>
      <c r="B573" s="10" t="s">
        <v>1175</v>
      </c>
      <c r="C573" s="13" t="s">
        <v>853</v>
      </c>
      <c r="D573" s="13" t="s">
        <v>95</v>
      </c>
      <c r="E573" s="47"/>
      <c r="F573" s="13" t="s">
        <v>1176</v>
      </c>
      <c r="G573" s="12"/>
      <c r="H573" s="12"/>
      <c r="I573" s="12"/>
      <c r="J573" s="12"/>
      <c r="K573" s="12"/>
      <c r="L573" s="12"/>
      <c r="M573" s="12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9"/>
    </row>
    <row r="574">
      <c r="A574" s="5">
        <v>2.310136E7</v>
      </c>
      <c r="B574" s="5" t="s">
        <v>1177</v>
      </c>
      <c r="C574" s="14" t="s">
        <v>853</v>
      </c>
      <c r="D574" s="14" t="s">
        <v>95</v>
      </c>
      <c r="E574" s="48"/>
      <c r="F574" s="14" t="s">
        <v>1178</v>
      </c>
      <c r="G574" s="7"/>
      <c r="H574" s="7"/>
      <c r="I574" s="7"/>
      <c r="J574" s="7"/>
      <c r="K574" s="7"/>
      <c r="L574" s="7"/>
      <c r="M574" s="7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9"/>
    </row>
    <row r="575">
      <c r="A575" s="10">
        <v>2.3101357E7</v>
      </c>
      <c r="B575" s="10" t="s">
        <v>1179</v>
      </c>
      <c r="C575" s="13" t="s">
        <v>853</v>
      </c>
      <c r="D575" s="13" t="s">
        <v>95</v>
      </c>
      <c r="E575" s="47"/>
      <c r="F575" s="13" t="s">
        <v>1180</v>
      </c>
      <c r="G575" s="12"/>
      <c r="H575" s="12"/>
      <c r="I575" s="12"/>
      <c r="J575" s="12"/>
      <c r="K575" s="12"/>
      <c r="L575" s="12"/>
      <c r="M575" s="12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9"/>
    </row>
    <row r="576">
      <c r="A576" s="5">
        <v>2.3101322E7</v>
      </c>
      <c r="B576" s="5" t="s">
        <v>1181</v>
      </c>
      <c r="C576" s="14" t="s">
        <v>853</v>
      </c>
      <c r="D576" s="14" t="s">
        <v>95</v>
      </c>
      <c r="E576" s="48"/>
      <c r="F576" s="14" t="s">
        <v>1182</v>
      </c>
      <c r="G576" s="7"/>
      <c r="H576" s="7"/>
      <c r="I576" s="7"/>
      <c r="J576" s="7"/>
      <c r="K576" s="7"/>
      <c r="L576" s="7"/>
      <c r="M576" s="7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9"/>
    </row>
    <row r="577">
      <c r="A577" s="10">
        <v>2.3101319E7</v>
      </c>
      <c r="B577" s="10" t="s">
        <v>1183</v>
      </c>
      <c r="C577" s="13" t="s">
        <v>853</v>
      </c>
      <c r="D577" s="13" t="s">
        <v>95</v>
      </c>
      <c r="E577" s="47"/>
      <c r="F577" s="13" t="s">
        <v>1184</v>
      </c>
      <c r="G577" s="12"/>
      <c r="H577" s="12"/>
      <c r="I577" s="12"/>
      <c r="J577" s="12"/>
      <c r="K577" s="12"/>
      <c r="L577" s="12"/>
      <c r="M577" s="12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9"/>
    </row>
    <row r="578">
      <c r="A578" s="5">
        <v>2.3101316E7</v>
      </c>
      <c r="B578" s="5" t="s">
        <v>1185</v>
      </c>
      <c r="C578" s="14" t="s">
        <v>853</v>
      </c>
      <c r="D578" s="14" t="s">
        <v>95</v>
      </c>
      <c r="E578" s="48"/>
      <c r="F578" s="14" t="s">
        <v>1186</v>
      </c>
      <c r="G578" s="7"/>
      <c r="H578" s="7"/>
      <c r="I578" s="7"/>
      <c r="J578" s="7"/>
      <c r="K578" s="7"/>
      <c r="L578" s="7"/>
      <c r="M578" s="7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9"/>
    </row>
    <row r="579">
      <c r="A579" s="10">
        <v>2.3101295E7</v>
      </c>
      <c r="B579" s="10" t="s">
        <v>1187</v>
      </c>
      <c r="C579" s="13" t="s">
        <v>853</v>
      </c>
      <c r="D579" s="13" t="s">
        <v>95</v>
      </c>
      <c r="E579" s="47"/>
      <c r="F579" s="13" t="s">
        <v>1188</v>
      </c>
      <c r="G579" s="12"/>
      <c r="H579" s="12"/>
      <c r="I579" s="12"/>
      <c r="J579" s="12"/>
      <c r="K579" s="12"/>
      <c r="L579" s="12"/>
      <c r="M579" s="12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9"/>
    </row>
    <row r="580">
      <c r="A580" s="5">
        <v>2.3101292E7</v>
      </c>
      <c r="B580" s="5" t="s">
        <v>1189</v>
      </c>
      <c r="C580" s="14" t="s">
        <v>853</v>
      </c>
      <c r="D580" s="14" t="s">
        <v>95</v>
      </c>
      <c r="E580" s="48"/>
      <c r="F580" s="14" t="s">
        <v>1190</v>
      </c>
      <c r="G580" s="7"/>
      <c r="H580" s="7"/>
      <c r="I580" s="7"/>
      <c r="J580" s="7"/>
      <c r="K580" s="7"/>
      <c r="L580" s="7"/>
      <c r="M580" s="7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9"/>
    </row>
    <row r="581">
      <c r="A581" s="10">
        <v>2.3101255E7</v>
      </c>
      <c r="B581" s="10" t="s">
        <v>1191</v>
      </c>
      <c r="C581" s="13" t="s">
        <v>853</v>
      </c>
      <c r="D581" s="13" t="s">
        <v>95</v>
      </c>
      <c r="E581" s="47"/>
      <c r="F581" s="13" t="s">
        <v>1192</v>
      </c>
      <c r="G581" s="12"/>
      <c r="H581" s="12"/>
      <c r="I581" s="12"/>
      <c r="J581" s="12"/>
      <c r="K581" s="12"/>
      <c r="L581" s="12"/>
      <c r="M581" s="12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9"/>
    </row>
    <row r="582">
      <c r="A582" s="5">
        <v>2.3101219E7</v>
      </c>
      <c r="B582" s="5" t="s">
        <v>1193</v>
      </c>
      <c r="C582" s="14" t="s">
        <v>853</v>
      </c>
      <c r="D582" s="14" t="s">
        <v>95</v>
      </c>
      <c r="E582" s="48"/>
      <c r="F582" s="14" t="s">
        <v>1194</v>
      </c>
      <c r="G582" s="7"/>
      <c r="H582" s="7"/>
      <c r="I582" s="7"/>
      <c r="J582" s="7"/>
      <c r="K582" s="7"/>
      <c r="L582" s="7"/>
      <c r="M582" s="7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9"/>
    </row>
    <row r="583">
      <c r="A583" s="10">
        <v>2.3101198E7</v>
      </c>
      <c r="B583" s="10" t="s">
        <v>1195</v>
      </c>
      <c r="C583" s="13" t="s">
        <v>853</v>
      </c>
      <c r="D583" s="13" t="s">
        <v>95</v>
      </c>
      <c r="E583" s="47"/>
      <c r="F583" s="13" t="s">
        <v>1196</v>
      </c>
      <c r="G583" s="12"/>
      <c r="H583" s="12"/>
      <c r="I583" s="12"/>
      <c r="J583" s="12"/>
      <c r="K583" s="12"/>
      <c r="L583" s="12"/>
      <c r="M583" s="12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9"/>
    </row>
    <row r="584">
      <c r="A584" s="5">
        <v>2.3101104E7</v>
      </c>
      <c r="B584" s="5" t="s">
        <v>1197</v>
      </c>
      <c r="C584" s="14" t="s">
        <v>853</v>
      </c>
      <c r="D584" s="14" t="s">
        <v>95</v>
      </c>
      <c r="E584" s="48"/>
      <c r="F584" s="14" t="s">
        <v>1198</v>
      </c>
      <c r="G584" s="7"/>
      <c r="H584" s="7"/>
      <c r="I584" s="7"/>
      <c r="J584" s="7"/>
      <c r="K584" s="7"/>
      <c r="L584" s="7"/>
      <c r="M584" s="7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9"/>
    </row>
    <row r="585">
      <c r="A585" s="10">
        <v>2.3101096E7</v>
      </c>
      <c r="B585" s="10" t="s">
        <v>1199</v>
      </c>
      <c r="C585" s="13" t="s">
        <v>853</v>
      </c>
      <c r="D585" s="13" t="s">
        <v>95</v>
      </c>
      <c r="E585" s="47"/>
      <c r="F585" s="13" t="s">
        <v>1200</v>
      </c>
      <c r="G585" s="12"/>
      <c r="H585" s="12"/>
      <c r="I585" s="12"/>
      <c r="J585" s="12"/>
      <c r="K585" s="12"/>
      <c r="L585" s="12"/>
      <c r="M585" s="12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9"/>
    </row>
    <row r="586">
      <c r="A586" s="5">
        <v>2.3101015E7</v>
      </c>
      <c r="B586" s="5" t="s">
        <v>1201</v>
      </c>
      <c r="C586" s="14" t="s">
        <v>853</v>
      </c>
      <c r="D586" s="14" t="s">
        <v>95</v>
      </c>
      <c r="E586" s="48"/>
      <c r="F586" s="14" t="s">
        <v>1202</v>
      </c>
      <c r="G586" s="7"/>
      <c r="H586" s="7"/>
      <c r="I586" s="7"/>
      <c r="J586" s="7"/>
      <c r="K586" s="7"/>
      <c r="L586" s="7"/>
      <c r="M586" s="7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9"/>
    </row>
    <row r="587">
      <c r="A587" s="10">
        <v>2.234101E7</v>
      </c>
      <c r="B587" s="10" t="s">
        <v>1203</v>
      </c>
      <c r="C587" s="13" t="s">
        <v>853</v>
      </c>
      <c r="D587" s="13" t="s">
        <v>95</v>
      </c>
      <c r="E587" s="47"/>
      <c r="F587" s="13" t="s">
        <v>1204</v>
      </c>
      <c r="G587" s="12"/>
      <c r="H587" s="12"/>
      <c r="I587" s="12"/>
      <c r="J587" s="12"/>
      <c r="K587" s="12"/>
      <c r="L587" s="12"/>
      <c r="M587" s="12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9"/>
    </row>
    <row r="588">
      <c r="A588" s="5">
        <v>2.2341009E7</v>
      </c>
      <c r="B588" s="5" t="s">
        <v>1205</v>
      </c>
      <c r="C588" s="14" t="s">
        <v>853</v>
      </c>
      <c r="D588" s="14" t="s">
        <v>95</v>
      </c>
      <c r="E588" s="48"/>
      <c r="F588" s="14" t="s">
        <v>1206</v>
      </c>
      <c r="G588" s="7"/>
      <c r="H588" s="7"/>
      <c r="I588" s="7"/>
      <c r="J588" s="7"/>
      <c r="K588" s="7"/>
      <c r="L588" s="7"/>
      <c r="M588" s="7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9"/>
    </row>
    <row r="589">
      <c r="A589" s="10">
        <v>2.2303035E7</v>
      </c>
      <c r="B589" s="10" t="s">
        <v>1207</v>
      </c>
      <c r="C589" s="13" t="s">
        <v>853</v>
      </c>
      <c r="D589" s="13" t="s">
        <v>95</v>
      </c>
      <c r="E589" s="47"/>
      <c r="F589" s="13" t="s">
        <v>1208</v>
      </c>
      <c r="G589" s="12"/>
      <c r="H589" s="12"/>
      <c r="I589" s="12"/>
      <c r="J589" s="12"/>
      <c r="K589" s="12"/>
      <c r="L589" s="12"/>
      <c r="M589" s="12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9"/>
    </row>
    <row r="590">
      <c r="A590" s="5">
        <v>2.2301782E7</v>
      </c>
      <c r="B590" s="5" t="s">
        <v>1209</v>
      </c>
      <c r="C590" s="14" t="s">
        <v>853</v>
      </c>
      <c r="D590" s="14" t="s">
        <v>95</v>
      </c>
      <c r="E590" s="48"/>
      <c r="F590" s="14" t="s">
        <v>1210</v>
      </c>
      <c r="G590" s="7"/>
      <c r="H590" s="7"/>
      <c r="I590" s="7"/>
      <c r="J590" s="7"/>
      <c r="K590" s="7"/>
      <c r="L590" s="7"/>
      <c r="M590" s="7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9"/>
    </row>
    <row r="591">
      <c r="A591" s="10">
        <v>2.2301769E7</v>
      </c>
      <c r="B591" s="10" t="s">
        <v>1211</v>
      </c>
      <c r="C591" s="13" t="s">
        <v>853</v>
      </c>
      <c r="D591" s="13" t="s">
        <v>95</v>
      </c>
      <c r="E591" s="47"/>
      <c r="F591" s="13" t="s">
        <v>1212</v>
      </c>
      <c r="G591" s="12"/>
      <c r="H591" s="12"/>
      <c r="I591" s="12"/>
      <c r="J591" s="12"/>
      <c r="K591" s="12"/>
      <c r="L591" s="12"/>
      <c r="M591" s="12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9"/>
    </row>
    <row r="592">
      <c r="A592" s="5">
        <v>2.2301765E7</v>
      </c>
      <c r="B592" s="5" t="s">
        <v>1213</v>
      </c>
      <c r="C592" s="14" t="s">
        <v>853</v>
      </c>
      <c r="D592" s="14" t="s">
        <v>95</v>
      </c>
      <c r="E592" s="48"/>
      <c r="F592" s="14" t="s">
        <v>1214</v>
      </c>
      <c r="G592" s="7"/>
      <c r="H592" s="7"/>
      <c r="I592" s="7"/>
      <c r="J592" s="7"/>
      <c r="K592" s="7"/>
      <c r="L592" s="7"/>
      <c r="M592" s="7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9"/>
    </row>
    <row r="593">
      <c r="A593" s="10">
        <v>2.2301661E7</v>
      </c>
      <c r="B593" s="10" t="s">
        <v>1215</v>
      </c>
      <c r="C593" s="13" t="s">
        <v>853</v>
      </c>
      <c r="D593" s="13" t="s">
        <v>95</v>
      </c>
      <c r="E593" s="47"/>
      <c r="F593" s="13" t="s">
        <v>1216</v>
      </c>
      <c r="G593" s="12"/>
      <c r="H593" s="12"/>
      <c r="I593" s="12"/>
      <c r="J593" s="12"/>
      <c r="K593" s="12"/>
      <c r="L593" s="12"/>
      <c r="M593" s="12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9"/>
    </row>
    <row r="594">
      <c r="A594" s="5">
        <v>2.2301654E7</v>
      </c>
      <c r="B594" s="5" t="s">
        <v>1217</v>
      </c>
      <c r="C594" s="14" t="s">
        <v>853</v>
      </c>
      <c r="D594" s="14" t="s">
        <v>95</v>
      </c>
      <c r="E594" s="48"/>
      <c r="F594" s="14" t="s">
        <v>1218</v>
      </c>
      <c r="G594" s="7"/>
      <c r="H594" s="7"/>
      <c r="I594" s="7"/>
      <c r="J594" s="7"/>
      <c r="K594" s="7"/>
      <c r="L594" s="7"/>
      <c r="M594" s="7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9"/>
    </row>
    <row r="595">
      <c r="A595" s="10">
        <v>2.2301597E7</v>
      </c>
      <c r="B595" s="10" t="s">
        <v>1219</v>
      </c>
      <c r="C595" s="13" t="s">
        <v>853</v>
      </c>
      <c r="D595" s="13" t="s">
        <v>95</v>
      </c>
      <c r="E595" s="47"/>
      <c r="F595" s="13" t="s">
        <v>1220</v>
      </c>
      <c r="G595" s="12"/>
      <c r="H595" s="12"/>
      <c r="I595" s="12"/>
      <c r="J595" s="12"/>
      <c r="K595" s="12"/>
      <c r="L595" s="12"/>
      <c r="M595" s="12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9"/>
    </row>
    <row r="596">
      <c r="A596" s="5">
        <v>2.2301573E7</v>
      </c>
      <c r="B596" s="5" t="s">
        <v>1221</v>
      </c>
      <c r="C596" s="14" t="s">
        <v>853</v>
      </c>
      <c r="D596" s="14" t="s">
        <v>95</v>
      </c>
      <c r="E596" s="48"/>
      <c r="F596" s="14" t="s">
        <v>1222</v>
      </c>
      <c r="G596" s="7"/>
      <c r="H596" s="7"/>
      <c r="I596" s="7"/>
      <c r="J596" s="7"/>
      <c r="K596" s="7"/>
      <c r="L596" s="7"/>
      <c r="M596" s="7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9"/>
    </row>
    <row r="597">
      <c r="A597" s="10">
        <v>2.2301568E7</v>
      </c>
      <c r="B597" s="10" t="s">
        <v>1223</v>
      </c>
      <c r="C597" s="13" t="s">
        <v>853</v>
      </c>
      <c r="D597" s="13" t="s">
        <v>95</v>
      </c>
      <c r="E597" s="47"/>
      <c r="F597" s="13" t="s">
        <v>1224</v>
      </c>
      <c r="G597" s="12"/>
      <c r="H597" s="12"/>
      <c r="I597" s="12"/>
      <c r="J597" s="12"/>
      <c r="K597" s="12"/>
      <c r="L597" s="12"/>
      <c r="M597" s="12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9"/>
    </row>
    <row r="598">
      <c r="A598" s="5">
        <v>2.2301562E7</v>
      </c>
      <c r="B598" s="5" t="s">
        <v>1225</v>
      </c>
      <c r="C598" s="14" t="s">
        <v>853</v>
      </c>
      <c r="D598" s="14" t="s">
        <v>95</v>
      </c>
      <c r="E598" s="48"/>
      <c r="F598" s="14" t="s">
        <v>1226</v>
      </c>
      <c r="G598" s="7"/>
      <c r="H598" s="7"/>
      <c r="I598" s="7"/>
      <c r="J598" s="7"/>
      <c r="K598" s="7"/>
      <c r="L598" s="7"/>
      <c r="M598" s="7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9"/>
    </row>
    <row r="599">
      <c r="A599" s="10">
        <v>2.2301559E7</v>
      </c>
      <c r="B599" s="10" t="s">
        <v>1227</v>
      </c>
      <c r="C599" s="13" t="s">
        <v>853</v>
      </c>
      <c r="D599" s="13" t="s">
        <v>95</v>
      </c>
      <c r="E599" s="47"/>
      <c r="F599" s="13" t="s">
        <v>1228</v>
      </c>
      <c r="G599" s="12"/>
      <c r="H599" s="12"/>
      <c r="I599" s="12"/>
      <c r="J599" s="12"/>
      <c r="K599" s="12"/>
      <c r="L599" s="12"/>
      <c r="M599" s="12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9"/>
    </row>
    <row r="600">
      <c r="A600" s="5">
        <v>2.2301557E7</v>
      </c>
      <c r="B600" s="5" t="s">
        <v>1229</v>
      </c>
      <c r="C600" s="14" t="s">
        <v>853</v>
      </c>
      <c r="D600" s="14" t="s">
        <v>95</v>
      </c>
      <c r="E600" s="48"/>
      <c r="F600" s="14" t="s">
        <v>1230</v>
      </c>
      <c r="G600" s="7"/>
      <c r="H600" s="7"/>
      <c r="I600" s="7"/>
      <c r="J600" s="7"/>
      <c r="K600" s="7"/>
      <c r="L600" s="7"/>
      <c r="M600" s="7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9"/>
    </row>
    <row r="601">
      <c r="A601" s="10">
        <v>2.2301548E7</v>
      </c>
      <c r="B601" s="10" t="s">
        <v>1231</v>
      </c>
      <c r="C601" s="13" t="s">
        <v>853</v>
      </c>
      <c r="D601" s="13" t="s">
        <v>95</v>
      </c>
      <c r="E601" s="47"/>
      <c r="F601" s="13" t="s">
        <v>1232</v>
      </c>
      <c r="G601" s="12"/>
      <c r="H601" s="12"/>
      <c r="I601" s="12"/>
      <c r="J601" s="12"/>
      <c r="K601" s="12"/>
      <c r="L601" s="12"/>
      <c r="M601" s="12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9"/>
    </row>
    <row r="602">
      <c r="A602" s="5">
        <v>2.2301543E7</v>
      </c>
      <c r="B602" s="5" t="s">
        <v>1233</v>
      </c>
      <c r="C602" s="14" t="s">
        <v>853</v>
      </c>
      <c r="D602" s="14" t="s">
        <v>95</v>
      </c>
      <c r="E602" s="48"/>
      <c r="F602" s="14" t="s">
        <v>1234</v>
      </c>
      <c r="G602" s="7"/>
      <c r="H602" s="7"/>
      <c r="I602" s="7"/>
      <c r="J602" s="7"/>
      <c r="K602" s="7"/>
      <c r="L602" s="7"/>
      <c r="M602" s="7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9"/>
    </row>
    <row r="603">
      <c r="A603" s="10">
        <v>2.2301524E7</v>
      </c>
      <c r="B603" s="10" t="s">
        <v>1235</v>
      </c>
      <c r="C603" s="13" t="s">
        <v>853</v>
      </c>
      <c r="D603" s="13" t="s">
        <v>95</v>
      </c>
      <c r="E603" s="47"/>
      <c r="F603" s="13" t="s">
        <v>1236</v>
      </c>
      <c r="G603" s="12"/>
      <c r="H603" s="12"/>
      <c r="I603" s="12"/>
      <c r="J603" s="12"/>
      <c r="K603" s="12"/>
      <c r="L603" s="12"/>
      <c r="M603" s="12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9"/>
    </row>
    <row r="604">
      <c r="A604" s="5">
        <v>2.230151E7</v>
      </c>
      <c r="B604" s="5" t="s">
        <v>1237</v>
      </c>
      <c r="C604" s="14" t="s">
        <v>853</v>
      </c>
      <c r="D604" s="14" t="s">
        <v>95</v>
      </c>
      <c r="E604" s="48"/>
      <c r="F604" s="14" t="s">
        <v>1238</v>
      </c>
      <c r="G604" s="7"/>
      <c r="H604" s="7"/>
      <c r="I604" s="7"/>
      <c r="J604" s="7"/>
      <c r="K604" s="7"/>
      <c r="L604" s="7"/>
      <c r="M604" s="7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9"/>
    </row>
    <row r="605">
      <c r="A605" s="10">
        <v>2.2301498E7</v>
      </c>
      <c r="B605" s="10" t="s">
        <v>1239</v>
      </c>
      <c r="C605" s="13" t="s">
        <v>853</v>
      </c>
      <c r="D605" s="13" t="s">
        <v>95</v>
      </c>
      <c r="E605" s="47"/>
      <c r="F605" s="13" t="s">
        <v>1240</v>
      </c>
      <c r="G605" s="12"/>
      <c r="H605" s="12"/>
      <c r="I605" s="12"/>
      <c r="J605" s="12"/>
      <c r="K605" s="12"/>
      <c r="L605" s="12"/>
      <c r="M605" s="12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9"/>
    </row>
    <row r="606">
      <c r="A606" s="5">
        <v>2.230149E7</v>
      </c>
      <c r="B606" s="5" t="s">
        <v>1241</v>
      </c>
      <c r="C606" s="14" t="s">
        <v>853</v>
      </c>
      <c r="D606" s="14" t="s">
        <v>95</v>
      </c>
      <c r="E606" s="48"/>
      <c r="F606" s="14" t="s">
        <v>1242</v>
      </c>
      <c r="G606" s="7"/>
      <c r="H606" s="7"/>
      <c r="I606" s="7"/>
      <c r="J606" s="7"/>
      <c r="K606" s="7"/>
      <c r="L606" s="7"/>
      <c r="M606" s="7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9"/>
    </row>
    <row r="607">
      <c r="A607" s="10">
        <v>2.2301456E7</v>
      </c>
      <c r="B607" s="10" t="s">
        <v>1243</v>
      </c>
      <c r="C607" s="13" t="s">
        <v>853</v>
      </c>
      <c r="D607" s="13" t="s">
        <v>95</v>
      </c>
      <c r="E607" s="47"/>
      <c r="F607" s="13" t="s">
        <v>1244</v>
      </c>
      <c r="G607" s="12"/>
      <c r="H607" s="12"/>
      <c r="I607" s="12"/>
      <c r="J607" s="12"/>
      <c r="K607" s="12"/>
      <c r="L607" s="12"/>
      <c r="M607" s="12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9"/>
    </row>
    <row r="608">
      <c r="A608" s="5">
        <v>2.2301428E7</v>
      </c>
      <c r="B608" s="5" t="s">
        <v>1245</v>
      </c>
      <c r="C608" s="14" t="s">
        <v>853</v>
      </c>
      <c r="D608" s="14" t="s">
        <v>95</v>
      </c>
      <c r="E608" s="48"/>
      <c r="F608" s="14" t="s">
        <v>1246</v>
      </c>
      <c r="G608" s="7"/>
      <c r="H608" s="7"/>
      <c r="I608" s="7"/>
      <c r="J608" s="7"/>
      <c r="K608" s="7"/>
      <c r="L608" s="7"/>
      <c r="M608" s="7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9"/>
    </row>
    <row r="609">
      <c r="A609" s="10">
        <v>2.2301424E7</v>
      </c>
      <c r="B609" s="10" t="s">
        <v>1247</v>
      </c>
      <c r="C609" s="13" t="s">
        <v>853</v>
      </c>
      <c r="D609" s="13" t="s">
        <v>95</v>
      </c>
      <c r="E609" s="47"/>
      <c r="F609" s="13" t="s">
        <v>1248</v>
      </c>
      <c r="G609" s="12"/>
      <c r="H609" s="12"/>
      <c r="I609" s="12"/>
      <c r="J609" s="12"/>
      <c r="K609" s="12"/>
      <c r="L609" s="12"/>
      <c r="M609" s="12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9"/>
    </row>
    <row r="610">
      <c r="A610" s="5">
        <v>2.2301397E7</v>
      </c>
      <c r="B610" s="5" t="s">
        <v>1249</v>
      </c>
      <c r="C610" s="14" t="s">
        <v>853</v>
      </c>
      <c r="D610" s="14" t="s">
        <v>95</v>
      </c>
      <c r="E610" s="48"/>
      <c r="F610" s="14" t="s">
        <v>1250</v>
      </c>
      <c r="G610" s="7"/>
      <c r="H610" s="7"/>
      <c r="I610" s="7"/>
      <c r="J610" s="7"/>
      <c r="K610" s="7"/>
      <c r="L610" s="7"/>
      <c r="M610" s="7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9"/>
    </row>
    <row r="611">
      <c r="A611" s="10">
        <v>2.2301383E7</v>
      </c>
      <c r="B611" s="10" t="s">
        <v>1251</v>
      </c>
      <c r="C611" s="13" t="s">
        <v>853</v>
      </c>
      <c r="D611" s="13" t="s">
        <v>95</v>
      </c>
      <c r="E611" s="47"/>
      <c r="F611" s="13" t="s">
        <v>1252</v>
      </c>
      <c r="G611" s="12"/>
      <c r="H611" s="12"/>
      <c r="I611" s="12"/>
      <c r="J611" s="12"/>
      <c r="K611" s="12"/>
      <c r="L611" s="12"/>
      <c r="M611" s="12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9"/>
    </row>
    <row r="612">
      <c r="A612" s="5">
        <v>2.2301374E7</v>
      </c>
      <c r="B612" s="5" t="s">
        <v>1253</v>
      </c>
      <c r="C612" s="14" t="s">
        <v>853</v>
      </c>
      <c r="D612" s="14" t="s">
        <v>95</v>
      </c>
      <c r="E612" s="48"/>
      <c r="F612" s="14" t="s">
        <v>1254</v>
      </c>
      <c r="G612" s="7"/>
      <c r="H612" s="7"/>
      <c r="I612" s="7"/>
      <c r="J612" s="7"/>
      <c r="K612" s="7"/>
      <c r="L612" s="7"/>
      <c r="M612" s="7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9"/>
    </row>
    <row r="613">
      <c r="A613" s="10">
        <v>2.2301368E7</v>
      </c>
      <c r="B613" s="10" t="s">
        <v>1255</v>
      </c>
      <c r="C613" s="13" t="s">
        <v>853</v>
      </c>
      <c r="D613" s="13" t="s">
        <v>95</v>
      </c>
      <c r="E613" s="47"/>
      <c r="F613" s="13" t="s">
        <v>1256</v>
      </c>
      <c r="G613" s="12"/>
      <c r="H613" s="12"/>
      <c r="I613" s="12"/>
      <c r="J613" s="12"/>
      <c r="K613" s="12"/>
      <c r="L613" s="12"/>
      <c r="M613" s="12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9"/>
    </row>
    <row r="614">
      <c r="A614" s="5">
        <v>2.2301364E7</v>
      </c>
      <c r="B614" s="5" t="s">
        <v>1257</v>
      </c>
      <c r="C614" s="14" t="s">
        <v>853</v>
      </c>
      <c r="D614" s="14" t="s">
        <v>95</v>
      </c>
      <c r="E614" s="48"/>
      <c r="F614" s="14" t="s">
        <v>1258</v>
      </c>
      <c r="G614" s="7"/>
      <c r="H614" s="7"/>
      <c r="I614" s="7"/>
      <c r="J614" s="7"/>
      <c r="K614" s="7"/>
      <c r="L614" s="7"/>
      <c r="M614" s="7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9"/>
    </row>
    <row r="615">
      <c r="A615" s="10">
        <v>2.2301358E7</v>
      </c>
      <c r="B615" s="10" t="s">
        <v>1259</v>
      </c>
      <c r="C615" s="13" t="s">
        <v>853</v>
      </c>
      <c r="D615" s="13" t="s">
        <v>95</v>
      </c>
      <c r="E615" s="47"/>
      <c r="F615" s="13" t="s">
        <v>1260</v>
      </c>
      <c r="G615" s="12"/>
      <c r="H615" s="12"/>
      <c r="I615" s="12"/>
      <c r="J615" s="12"/>
      <c r="K615" s="12"/>
      <c r="L615" s="12"/>
      <c r="M615" s="12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9"/>
    </row>
    <row r="616">
      <c r="A616" s="5">
        <v>2.2301356E7</v>
      </c>
      <c r="B616" s="5" t="s">
        <v>1261</v>
      </c>
      <c r="C616" s="14" t="s">
        <v>853</v>
      </c>
      <c r="D616" s="14" t="s">
        <v>95</v>
      </c>
      <c r="E616" s="48"/>
      <c r="F616" s="14" t="s">
        <v>1262</v>
      </c>
      <c r="G616" s="7"/>
      <c r="H616" s="7"/>
      <c r="I616" s="7"/>
      <c r="J616" s="7"/>
      <c r="K616" s="7"/>
      <c r="L616" s="7"/>
      <c r="M616" s="7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9"/>
    </row>
    <row r="617">
      <c r="A617" s="10">
        <v>2.2301336E7</v>
      </c>
      <c r="B617" s="10" t="s">
        <v>1263</v>
      </c>
      <c r="C617" s="13" t="s">
        <v>853</v>
      </c>
      <c r="D617" s="13" t="s">
        <v>95</v>
      </c>
      <c r="E617" s="47"/>
      <c r="F617" s="13" t="s">
        <v>1264</v>
      </c>
      <c r="G617" s="12"/>
      <c r="H617" s="12"/>
      <c r="I617" s="12"/>
      <c r="J617" s="12"/>
      <c r="K617" s="12"/>
      <c r="L617" s="12"/>
      <c r="M617" s="12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9"/>
    </row>
    <row r="618">
      <c r="A618" s="5">
        <v>2.230133E7</v>
      </c>
      <c r="B618" s="5" t="s">
        <v>1265</v>
      </c>
      <c r="C618" s="14" t="s">
        <v>853</v>
      </c>
      <c r="D618" s="14" t="s">
        <v>95</v>
      </c>
      <c r="E618" s="48"/>
      <c r="F618" s="14" t="s">
        <v>1266</v>
      </c>
      <c r="G618" s="7"/>
      <c r="H618" s="7"/>
      <c r="I618" s="7"/>
      <c r="J618" s="7"/>
      <c r="K618" s="7"/>
      <c r="L618" s="7"/>
      <c r="M618" s="7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9"/>
    </row>
    <row r="619">
      <c r="A619" s="10">
        <v>2.2301327E7</v>
      </c>
      <c r="B619" s="10" t="s">
        <v>1267</v>
      </c>
      <c r="C619" s="13" t="s">
        <v>853</v>
      </c>
      <c r="D619" s="13" t="s">
        <v>95</v>
      </c>
      <c r="E619" s="47"/>
      <c r="F619" s="13" t="s">
        <v>1268</v>
      </c>
      <c r="G619" s="12"/>
      <c r="H619" s="12"/>
      <c r="I619" s="12"/>
      <c r="J619" s="12"/>
      <c r="K619" s="12"/>
      <c r="L619" s="12"/>
      <c r="M619" s="12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9"/>
    </row>
    <row r="620">
      <c r="A620" s="5">
        <v>2.2301299E7</v>
      </c>
      <c r="B620" s="5" t="s">
        <v>1269</v>
      </c>
      <c r="C620" s="14" t="s">
        <v>853</v>
      </c>
      <c r="D620" s="14" t="s">
        <v>95</v>
      </c>
      <c r="E620" s="48"/>
      <c r="F620" s="14" t="s">
        <v>1270</v>
      </c>
      <c r="G620" s="7"/>
      <c r="H620" s="7"/>
      <c r="I620" s="7"/>
      <c r="J620" s="7"/>
      <c r="K620" s="7"/>
      <c r="L620" s="7"/>
      <c r="M620" s="7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9"/>
    </row>
    <row r="621">
      <c r="A621" s="10">
        <v>2.2301298E7</v>
      </c>
      <c r="B621" s="10" t="s">
        <v>1271</v>
      </c>
      <c r="C621" s="13" t="s">
        <v>853</v>
      </c>
      <c r="D621" s="13" t="s">
        <v>95</v>
      </c>
      <c r="E621" s="47"/>
      <c r="F621" s="13" t="s">
        <v>1272</v>
      </c>
      <c r="G621" s="12"/>
      <c r="H621" s="12"/>
      <c r="I621" s="12"/>
      <c r="J621" s="12"/>
      <c r="K621" s="12"/>
      <c r="L621" s="12"/>
      <c r="M621" s="12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9"/>
    </row>
    <row r="622">
      <c r="A622" s="5">
        <v>2.2301274E7</v>
      </c>
      <c r="B622" s="5" t="s">
        <v>1273</v>
      </c>
      <c r="C622" s="14" t="s">
        <v>853</v>
      </c>
      <c r="D622" s="14" t="s">
        <v>95</v>
      </c>
      <c r="E622" s="48"/>
      <c r="F622" s="14" t="s">
        <v>1274</v>
      </c>
      <c r="G622" s="7"/>
      <c r="H622" s="7"/>
      <c r="I622" s="7"/>
      <c r="J622" s="7"/>
      <c r="K622" s="7"/>
      <c r="L622" s="7"/>
      <c r="M622" s="7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9"/>
    </row>
    <row r="623">
      <c r="A623" s="10">
        <v>2.2301264E7</v>
      </c>
      <c r="B623" s="10" t="s">
        <v>1275</v>
      </c>
      <c r="C623" s="13" t="s">
        <v>853</v>
      </c>
      <c r="D623" s="13" t="s">
        <v>95</v>
      </c>
      <c r="E623" s="47"/>
      <c r="F623" s="13" t="s">
        <v>1276</v>
      </c>
      <c r="G623" s="12"/>
      <c r="H623" s="12"/>
      <c r="I623" s="12"/>
      <c r="J623" s="12"/>
      <c r="K623" s="12"/>
      <c r="L623" s="12"/>
      <c r="M623" s="12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9"/>
    </row>
    <row r="624">
      <c r="A624" s="5">
        <v>2.2301258E7</v>
      </c>
      <c r="B624" s="5" t="s">
        <v>1277</v>
      </c>
      <c r="C624" s="14" t="s">
        <v>853</v>
      </c>
      <c r="D624" s="14" t="s">
        <v>95</v>
      </c>
      <c r="E624" s="48"/>
      <c r="F624" s="14" t="s">
        <v>1278</v>
      </c>
      <c r="G624" s="7"/>
      <c r="H624" s="7"/>
      <c r="I624" s="7"/>
      <c r="J624" s="7"/>
      <c r="K624" s="7"/>
      <c r="L624" s="7"/>
      <c r="M624" s="7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9"/>
    </row>
    <row r="625">
      <c r="A625" s="10">
        <v>2.2301243E7</v>
      </c>
      <c r="B625" s="10" t="s">
        <v>1279</v>
      </c>
      <c r="C625" s="13" t="s">
        <v>853</v>
      </c>
      <c r="D625" s="13" t="s">
        <v>95</v>
      </c>
      <c r="E625" s="47"/>
      <c r="F625" s="13" t="s">
        <v>1280</v>
      </c>
      <c r="G625" s="12"/>
      <c r="H625" s="12"/>
      <c r="I625" s="12"/>
      <c r="J625" s="12"/>
      <c r="K625" s="12"/>
      <c r="L625" s="12"/>
      <c r="M625" s="12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9"/>
    </row>
    <row r="626">
      <c r="A626" s="5">
        <v>2.2301239E7</v>
      </c>
      <c r="B626" s="5" t="s">
        <v>1281</v>
      </c>
      <c r="C626" s="14" t="s">
        <v>853</v>
      </c>
      <c r="D626" s="14" t="s">
        <v>95</v>
      </c>
      <c r="E626" s="48"/>
      <c r="F626" s="14" t="s">
        <v>1282</v>
      </c>
      <c r="G626" s="7"/>
      <c r="H626" s="7"/>
      <c r="I626" s="7"/>
      <c r="J626" s="7"/>
      <c r="K626" s="7"/>
      <c r="L626" s="7"/>
      <c r="M626" s="7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9"/>
    </row>
    <row r="627">
      <c r="A627" s="10">
        <v>2.2301219E7</v>
      </c>
      <c r="B627" s="10" t="s">
        <v>1283</v>
      </c>
      <c r="C627" s="13" t="s">
        <v>853</v>
      </c>
      <c r="D627" s="13" t="s">
        <v>95</v>
      </c>
      <c r="E627" s="47"/>
      <c r="F627" s="13" t="s">
        <v>1284</v>
      </c>
      <c r="G627" s="12"/>
      <c r="H627" s="12"/>
      <c r="I627" s="12"/>
      <c r="J627" s="12"/>
      <c r="K627" s="12"/>
      <c r="L627" s="12"/>
      <c r="M627" s="12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9"/>
    </row>
    <row r="628">
      <c r="A628" s="5">
        <v>2.2301186E7</v>
      </c>
      <c r="B628" s="5" t="s">
        <v>1285</v>
      </c>
      <c r="C628" s="14" t="s">
        <v>853</v>
      </c>
      <c r="D628" s="14" t="s">
        <v>95</v>
      </c>
      <c r="E628" s="48"/>
      <c r="F628" s="14" t="s">
        <v>1286</v>
      </c>
      <c r="G628" s="7"/>
      <c r="H628" s="7"/>
      <c r="I628" s="7"/>
      <c r="J628" s="7"/>
      <c r="K628" s="7"/>
      <c r="L628" s="7"/>
      <c r="M628" s="7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9"/>
    </row>
    <row r="629">
      <c r="A629" s="10">
        <v>2.2301119E7</v>
      </c>
      <c r="B629" s="10" t="s">
        <v>1287</v>
      </c>
      <c r="C629" s="13" t="s">
        <v>853</v>
      </c>
      <c r="D629" s="13" t="s">
        <v>95</v>
      </c>
      <c r="E629" s="47"/>
      <c r="F629" s="13" t="s">
        <v>1288</v>
      </c>
      <c r="G629" s="12"/>
      <c r="H629" s="12"/>
      <c r="I629" s="12"/>
      <c r="J629" s="12"/>
      <c r="K629" s="12"/>
      <c r="L629" s="12"/>
      <c r="M629" s="12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9"/>
    </row>
    <row r="630">
      <c r="A630" s="5">
        <v>2.2301052E7</v>
      </c>
      <c r="B630" s="5" t="s">
        <v>1289</v>
      </c>
      <c r="C630" s="14" t="s">
        <v>853</v>
      </c>
      <c r="D630" s="14" t="s">
        <v>95</v>
      </c>
      <c r="E630" s="48"/>
      <c r="F630" s="14" t="s">
        <v>1290</v>
      </c>
      <c r="G630" s="7"/>
      <c r="H630" s="7"/>
      <c r="I630" s="7"/>
      <c r="J630" s="7"/>
      <c r="K630" s="7"/>
      <c r="L630" s="7"/>
      <c r="M630" s="7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9"/>
    </row>
    <row r="631">
      <c r="A631" s="10">
        <v>2.2301049E7</v>
      </c>
      <c r="B631" s="10" t="s">
        <v>1291</v>
      </c>
      <c r="C631" s="13" t="s">
        <v>853</v>
      </c>
      <c r="D631" s="13" t="s">
        <v>95</v>
      </c>
      <c r="E631" s="47"/>
      <c r="F631" s="13" t="s">
        <v>1292</v>
      </c>
      <c r="G631" s="12"/>
      <c r="H631" s="12"/>
      <c r="I631" s="12"/>
      <c r="J631" s="12"/>
      <c r="K631" s="12"/>
      <c r="L631" s="12"/>
      <c r="M631" s="12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9"/>
    </row>
    <row r="632">
      <c r="A632" s="5">
        <v>2.2301045E7</v>
      </c>
      <c r="B632" s="5" t="s">
        <v>1293</v>
      </c>
      <c r="C632" s="14" t="s">
        <v>853</v>
      </c>
      <c r="D632" s="14" t="s">
        <v>95</v>
      </c>
      <c r="E632" s="48"/>
      <c r="F632" s="14" t="s">
        <v>1294</v>
      </c>
      <c r="G632" s="7"/>
      <c r="H632" s="7"/>
      <c r="I632" s="7"/>
      <c r="J632" s="7"/>
      <c r="K632" s="7"/>
      <c r="L632" s="7"/>
      <c r="M632" s="7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9"/>
    </row>
    <row r="633">
      <c r="A633" s="10">
        <v>2.230104E7</v>
      </c>
      <c r="B633" s="10" t="s">
        <v>1295</v>
      </c>
      <c r="C633" s="13" t="s">
        <v>853</v>
      </c>
      <c r="D633" s="13" t="s">
        <v>95</v>
      </c>
      <c r="E633" s="47"/>
      <c r="F633" s="13" t="s">
        <v>1296</v>
      </c>
      <c r="G633" s="12"/>
      <c r="H633" s="12"/>
      <c r="I633" s="12"/>
      <c r="J633" s="12"/>
      <c r="K633" s="12"/>
      <c r="L633" s="12"/>
      <c r="M633" s="12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9"/>
    </row>
    <row r="634">
      <c r="A634" s="5">
        <v>2.2301017E7</v>
      </c>
      <c r="B634" s="5" t="s">
        <v>1297</v>
      </c>
      <c r="C634" s="14" t="s">
        <v>853</v>
      </c>
      <c r="D634" s="14" t="s">
        <v>95</v>
      </c>
      <c r="E634" s="48"/>
      <c r="F634" s="14" t="s">
        <v>1298</v>
      </c>
      <c r="G634" s="7"/>
      <c r="H634" s="7"/>
      <c r="I634" s="7"/>
      <c r="J634" s="7"/>
      <c r="K634" s="7"/>
      <c r="L634" s="7"/>
      <c r="M634" s="7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9"/>
    </row>
    <row r="635">
      <c r="A635" s="10">
        <v>2.2301015E7</v>
      </c>
      <c r="B635" s="10" t="s">
        <v>1299</v>
      </c>
      <c r="C635" s="13" t="s">
        <v>853</v>
      </c>
      <c r="D635" s="13" t="s">
        <v>95</v>
      </c>
      <c r="E635" s="47"/>
      <c r="F635" s="13" t="s">
        <v>1300</v>
      </c>
      <c r="G635" s="12"/>
      <c r="H635" s="12"/>
      <c r="I635" s="12"/>
      <c r="J635" s="12"/>
      <c r="K635" s="12"/>
      <c r="L635" s="12"/>
      <c r="M635" s="12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9"/>
    </row>
    <row r="636">
      <c r="A636" s="5">
        <v>2.2299539E7</v>
      </c>
      <c r="B636" s="5" t="s">
        <v>1301</v>
      </c>
      <c r="C636" s="14" t="s">
        <v>853</v>
      </c>
      <c r="D636" s="14" t="s">
        <v>95</v>
      </c>
      <c r="E636" s="48"/>
      <c r="F636" s="14" t="s">
        <v>1302</v>
      </c>
      <c r="G636" s="7"/>
      <c r="H636" s="7"/>
      <c r="I636" s="7"/>
      <c r="J636" s="7"/>
      <c r="K636" s="7"/>
      <c r="L636" s="7"/>
      <c r="M636" s="7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9"/>
    </row>
    <row r="637">
      <c r="A637" s="10">
        <v>2.2299507E7</v>
      </c>
      <c r="B637" s="10" t="s">
        <v>1303</v>
      </c>
      <c r="C637" s="13" t="s">
        <v>853</v>
      </c>
      <c r="D637" s="13" t="s">
        <v>95</v>
      </c>
      <c r="E637" s="47"/>
      <c r="F637" s="13" t="s">
        <v>1304</v>
      </c>
      <c r="G637" s="12"/>
      <c r="H637" s="12"/>
      <c r="I637" s="12"/>
      <c r="J637" s="12"/>
      <c r="K637" s="12"/>
      <c r="L637" s="12"/>
      <c r="M637" s="12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9"/>
    </row>
    <row r="638">
      <c r="A638" s="5">
        <v>2.2299504E7</v>
      </c>
      <c r="B638" s="5" t="s">
        <v>1305</v>
      </c>
      <c r="C638" s="14" t="s">
        <v>853</v>
      </c>
      <c r="D638" s="14" t="s">
        <v>95</v>
      </c>
      <c r="E638" s="48"/>
      <c r="F638" s="14" t="s">
        <v>1306</v>
      </c>
      <c r="G638" s="7"/>
      <c r="H638" s="7"/>
      <c r="I638" s="7"/>
      <c r="J638" s="7"/>
      <c r="K638" s="7"/>
      <c r="L638" s="7"/>
      <c r="M638" s="7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9"/>
    </row>
    <row r="639">
      <c r="A639" s="10">
        <v>2.2299453E7</v>
      </c>
      <c r="B639" s="10" t="s">
        <v>1307</v>
      </c>
      <c r="C639" s="13" t="s">
        <v>853</v>
      </c>
      <c r="D639" s="13" t="s">
        <v>95</v>
      </c>
      <c r="E639" s="47"/>
      <c r="F639" s="13" t="s">
        <v>1308</v>
      </c>
      <c r="G639" s="12"/>
      <c r="H639" s="12"/>
      <c r="I639" s="12"/>
      <c r="J639" s="12"/>
      <c r="K639" s="12"/>
      <c r="L639" s="12"/>
      <c r="M639" s="12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9"/>
    </row>
    <row r="640">
      <c r="A640" s="5">
        <v>2.2299433E7</v>
      </c>
      <c r="B640" s="5" t="s">
        <v>1309</v>
      </c>
      <c r="C640" s="14" t="s">
        <v>853</v>
      </c>
      <c r="D640" s="14" t="s">
        <v>95</v>
      </c>
      <c r="E640" s="48"/>
      <c r="F640" s="14" t="s">
        <v>1310</v>
      </c>
      <c r="G640" s="7"/>
      <c r="H640" s="7"/>
      <c r="I640" s="7"/>
      <c r="J640" s="7"/>
      <c r="K640" s="7"/>
      <c r="L640" s="7"/>
      <c r="M640" s="7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9"/>
    </row>
    <row r="641">
      <c r="A641" s="10">
        <v>2.2299423E7</v>
      </c>
      <c r="B641" s="10" t="s">
        <v>1311</v>
      </c>
      <c r="C641" s="13" t="s">
        <v>853</v>
      </c>
      <c r="D641" s="13" t="s">
        <v>95</v>
      </c>
      <c r="E641" s="47"/>
      <c r="F641" s="13" t="s">
        <v>1312</v>
      </c>
      <c r="G641" s="12"/>
      <c r="H641" s="12"/>
      <c r="I641" s="12"/>
      <c r="J641" s="12"/>
      <c r="K641" s="12"/>
      <c r="L641" s="12"/>
      <c r="M641" s="12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9"/>
    </row>
    <row r="642">
      <c r="A642" s="5">
        <v>2.2299402E7</v>
      </c>
      <c r="B642" s="5" t="s">
        <v>1313</v>
      </c>
      <c r="C642" s="14" t="s">
        <v>853</v>
      </c>
      <c r="D642" s="14" t="s">
        <v>95</v>
      </c>
      <c r="E642" s="48"/>
      <c r="F642" s="14" t="s">
        <v>1314</v>
      </c>
      <c r="G642" s="7"/>
      <c r="H642" s="7"/>
      <c r="I642" s="7"/>
      <c r="J642" s="7"/>
      <c r="K642" s="7"/>
      <c r="L642" s="7"/>
      <c r="M642" s="7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9"/>
    </row>
    <row r="643">
      <c r="A643" s="10">
        <v>2.2299394E7</v>
      </c>
      <c r="B643" s="10" t="s">
        <v>1315</v>
      </c>
      <c r="C643" s="13" t="s">
        <v>853</v>
      </c>
      <c r="D643" s="13" t="s">
        <v>95</v>
      </c>
      <c r="E643" s="47"/>
      <c r="F643" s="13" t="s">
        <v>1316</v>
      </c>
      <c r="G643" s="12"/>
      <c r="H643" s="12"/>
      <c r="I643" s="12"/>
      <c r="J643" s="12"/>
      <c r="K643" s="12"/>
      <c r="L643" s="12"/>
      <c r="M643" s="12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9"/>
    </row>
    <row r="644">
      <c r="A644" s="5">
        <v>2.2299361E7</v>
      </c>
      <c r="B644" s="5" t="s">
        <v>1317</v>
      </c>
      <c r="C644" s="14" t="s">
        <v>853</v>
      </c>
      <c r="D644" s="14" t="s">
        <v>95</v>
      </c>
      <c r="E644" s="48"/>
      <c r="F644" s="14" t="s">
        <v>1318</v>
      </c>
      <c r="G644" s="7"/>
      <c r="H644" s="7"/>
      <c r="I644" s="7"/>
      <c r="J644" s="7"/>
      <c r="K644" s="7"/>
      <c r="L644" s="7"/>
      <c r="M644" s="7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9"/>
    </row>
    <row r="645">
      <c r="A645" s="10">
        <v>2.229936E7</v>
      </c>
      <c r="B645" s="10" t="s">
        <v>1319</v>
      </c>
      <c r="C645" s="13" t="s">
        <v>853</v>
      </c>
      <c r="D645" s="13" t="s">
        <v>95</v>
      </c>
      <c r="E645" s="47"/>
      <c r="F645" s="13" t="s">
        <v>1320</v>
      </c>
      <c r="G645" s="12"/>
      <c r="H645" s="12"/>
      <c r="I645" s="12"/>
      <c r="J645" s="12"/>
      <c r="K645" s="12"/>
      <c r="L645" s="12"/>
      <c r="M645" s="12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9"/>
    </row>
    <row r="646">
      <c r="A646" s="5">
        <v>2.2299338E7</v>
      </c>
      <c r="B646" s="5" t="s">
        <v>1321</v>
      </c>
      <c r="C646" s="14" t="s">
        <v>853</v>
      </c>
      <c r="D646" s="14" t="s">
        <v>95</v>
      </c>
      <c r="E646" s="48"/>
      <c r="F646" s="14" t="s">
        <v>1322</v>
      </c>
      <c r="G646" s="7"/>
      <c r="H646" s="7"/>
      <c r="I646" s="7"/>
      <c r="J646" s="7"/>
      <c r="K646" s="7"/>
      <c r="L646" s="7"/>
      <c r="M646" s="7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9"/>
    </row>
    <row r="647">
      <c r="A647" s="10">
        <v>2.2299314E7</v>
      </c>
      <c r="B647" s="10" t="s">
        <v>1323</v>
      </c>
      <c r="C647" s="13" t="s">
        <v>853</v>
      </c>
      <c r="D647" s="13" t="s">
        <v>95</v>
      </c>
      <c r="E647" s="47"/>
      <c r="F647" s="13" t="s">
        <v>1324</v>
      </c>
      <c r="G647" s="12"/>
      <c r="H647" s="12"/>
      <c r="I647" s="12"/>
      <c r="J647" s="12"/>
      <c r="K647" s="12"/>
      <c r="L647" s="12"/>
      <c r="M647" s="12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9"/>
    </row>
    <row r="648">
      <c r="A648" s="5">
        <v>2.2299274E7</v>
      </c>
      <c r="B648" s="5" t="s">
        <v>1325</v>
      </c>
      <c r="C648" s="14" t="s">
        <v>853</v>
      </c>
      <c r="D648" s="14" t="s">
        <v>95</v>
      </c>
      <c r="E648" s="48"/>
      <c r="F648" s="14" t="s">
        <v>1326</v>
      </c>
      <c r="G648" s="7"/>
      <c r="H648" s="7"/>
      <c r="I648" s="7"/>
      <c r="J648" s="7"/>
      <c r="K648" s="7"/>
      <c r="L648" s="7"/>
      <c r="M648" s="7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9"/>
    </row>
    <row r="649">
      <c r="A649" s="10">
        <v>2.2299269E7</v>
      </c>
      <c r="B649" s="10" t="s">
        <v>1327</v>
      </c>
      <c r="C649" s="13" t="s">
        <v>853</v>
      </c>
      <c r="D649" s="13" t="s">
        <v>95</v>
      </c>
      <c r="E649" s="47"/>
      <c r="F649" s="13" t="s">
        <v>1328</v>
      </c>
      <c r="G649" s="12"/>
      <c r="H649" s="12"/>
      <c r="I649" s="12"/>
      <c r="J649" s="12"/>
      <c r="K649" s="12"/>
      <c r="L649" s="12"/>
      <c r="M649" s="12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9"/>
    </row>
    <row r="650">
      <c r="A650" s="5">
        <v>2.2299265E7</v>
      </c>
      <c r="B650" s="5" t="s">
        <v>1329</v>
      </c>
      <c r="C650" s="14" t="s">
        <v>853</v>
      </c>
      <c r="D650" s="14" t="s">
        <v>95</v>
      </c>
      <c r="E650" s="48"/>
      <c r="F650" s="14" t="s">
        <v>1330</v>
      </c>
      <c r="G650" s="7"/>
      <c r="H650" s="7"/>
      <c r="I650" s="7"/>
      <c r="J650" s="7"/>
      <c r="K650" s="7"/>
      <c r="L650" s="7"/>
      <c r="M650" s="7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9"/>
    </row>
    <row r="651">
      <c r="A651" s="10">
        <v>2.2299244E7</v>
      </c>
      <c r="B651" s="10" t="s">
        <v>1331</v>
      </c>
      <c r="C651" s="13" t="s">
        <v>853</v>
      </c>
      <c r="D651" s="13" t="s">
        <v>95</v>
      </c>
      <c r="E651" s="47"/>
      <c r="F651" s="13" t="s">
        <v>1332</v>
      </c>
      <c r="G651" s="12"/>
      <c r="H651" s="12"/>
      <c r="I651" s="12"/>
      <c r="J651" s="12"/>
      <c r="K651" s="12"/>
      <c r="L651" s="12"/>
      <c r="M651" s="12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9"/>
    </row>
    <row r="652">
      <c r="A652" s="5">
        <v>2.2299241E7</v>
      </c>
      <c r="B652" s="5" t="s">
        <v>1333</v>
      </c>
      <c r="C652" s="14" t="s">
        <v>853</v>
      </c>
      <c r="D652" s="14" t="s">
        <v>95</v>
      </c>
      <c r="E652" s="48"/>
      <c r="F652" s="14" t="s">
        <v>1334</v>
      </c>
      <c r="G652" s="7"/>
      <c r="H652" s="7"/>
      <c r="I652" s="7"/>
      <c r="J652" s="7"/>
      <c r="K652" s="7"/>
      <c r="L652" s="7"/>
      <c r="M652" s="7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9"/>
    </row>
    <row r="653">
      <c r="A653" s="10">
        <v>2.2299227E7</v>
      </c>
      <c r="B653" s="10" t="s">
        <v>1335</v>
      </c>
      <c r="C653" s="13" t="s">
        <v>853</v>
      </c>
      <c r="D653" s="13" t="s">
        <v>95</v>
      </c>
      <c r="E653" s="47"/>
      <c r="F653" s="13" t="s">
        <v>1336</v>
      </c>
      <c r="G653" s="12"/>
      <c r="H653" s="12"/>
      <c r="I653" s="12"/>
      <c r="J653" s="12"/>
      <c r="K653" s="12"/>
      <c r="L653" s="12"/>
      <c r="M653" s="12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9"/>
    </row>
    <row r="654">
      <c r="A654" s="5">
        <v>2.2299205E7</v>
      </c>
      <c r="B654" s="5" t="s">
        <v>1337</v>
      </c>
      <c r="C654" s="14" t="s">
        <v>853</v>
      </c>
      <c r="D654" s="14" t="s">
        <v>95</v>
      </c>
      <c r="E654" s="48"/>
      <c r="F654" s="14" t="s">
        <v>1338</v>
      </c>
      <c r="G654" s="7"/>
      <c r="H654" s="7"/>
      <c r="I654" s="7"/>
      <c r="J654" s="7"/>
      <c r="K654" s="7"/>
      <c r="L654" s="7"/>
      <c r="M654" s="7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9"/>
    </row>
    <row r="655">
      <c r="A655" s="10">
        <v>2.229911E7</v>
      </c>
      <c r="B655" s="10" t="s">
        <v>1339</v>
      </c>
      <c r="C655" s="13" t="s">
        <v>853</v>
      </c>
      <c r="D655" s="13" t="s">
        <v>95</v>
      </c>
      <c r="E655" s="47"/>
      <c r="F655" s="13" t="s">
        <v>1340</v>
      </c>
      <c r="G655" s="12"/>
      <c r="H655" s="12"/>
      <c r="I655" s="12"/>
      <c r="J655" s="12"/>
      <c r="K655" s="12"/>
      <c r="L655" s="12"/>
      <c r="M655" s="12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9"/>
    </row>
    <row r="656">
      <c r="A656" s="5">
        <v>2.2299097E7</v>
      </c>
      <c r="B656" s="5" t="s">
        <v>1341</v>
      </c>
      <c r="C656" s="14" t="s">
        <v>853</v>
      </c>
      <c r="D656" s="14" t="s">
        <v>95</v>
      </c>
      <c r="E656" s="48"/>
      <c r="F656" s="14" t="s">
        <v>1342</v>
      </c>
      <c r="G656" s="7"/>
      <c r="H656" s="7"/>
      <c r="I656" s="7"/>
      <c r="J656" s="7"/>
      <c r="K656" s="7"/>
      <c r="L656" s="7"/>
      <c r="M656" s="7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9"/>
    </row>
    <row r="657">
      <c r="A657" s="10">
        <v>2.2299064E7</v>
      </c>
      <c r="B657" s="10" t="s">
        <v>1343</v>
      </c>
      <c r="C657" s="13" t="s">
        <v>853</v>
      </c>
      <c r="D657" s="13" t="s">
        <v>95</v>
      </c>
      <c r="E657" s="47"/>
      <c r="F657" s="13" t="s">
        <v>1344</v>
      </c>
      <c r="G657" s="12"/>
      <c r="H657" s="12"/>
      <c r="I657" s="12"/>
      <c r="J657" s="12"/>
      <c r="K657" s="12"/>
      <c r="L657" s="12"/>
      <c r="M657" s="12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9"/>
    </row>
    <row r="658">
      <c r="A658" s="5">
        <v>2.2299009E7</v>
      </c>
      <c r="B658" s="5" t="s">
        <v>1345</v>
      </c>
      <c r="C658" s="14" t="s">
        <v>853</v>
      </c>
      <c r="D658" s="14" t="s">
        <v>95</v>
      </c>
      <c r="E658" s="48"/>
      <c r="F658" s="14" t="s">
        <v>1346</v>
      </c>
      <c r="G658" s="7"/>
      <c r="H658" s="7"/>
      <c r="I658" s="7"/>
      <c r="J658" s="7"/>
      <c r="K658" s="7"/>
      <c r="L658" s="7"/>
      <c r="M658" s="7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9"/>
    </row>
    <row r="659">
      <c r="A659" s="10">
        <v>2.224111E7</v>
      </c>
      <c r="B659" s="10" t="s">
        <v>1347</v>
      </c>
      <c r="C659" s="13" t="s">
        <v>853</v>
      </c>
      <c r="D659" s="13" t="s">
        <v>95</v>
      </c>
      <c r="E659" s="47"/>
      <c r="F659" s="13" t="s">
        <v>1348</v>
      </c>
      <c r="G659" s="12"/>
      <c r="H659" s="12"/>
      <c r="I659" s="12"/>
      <c r="J659" s="12"/>
      <c r="K659" s="12"/>
      <c r="L659" s="12"/>
      <c r="M659" s="12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9"/>
    </row>
    <row r="660">
      <c r="A660" s="5">
        <v>2.2241105E7</v>
      </c>
      <c r="B660" s="5" t="s">
        <v>1349</v>
      </c>
      <c r="C660" s="14" t="s">
        <v>853</v>
      </c>
      <c r="D660" s="14" t="s">
        <v>95</v>
      </c>
      <c r="E660" s="48"/>
      <c r="F660" s="14" t="s">
        <v>1350</v>
      </c>
      <c r="G660" s="7"/>
      <c r="H660" s="7"/>
      <c r="I660" s="7"/>
      <c r="J660" s="7"/>
      <c r="K660" s="7"/>
      <c r="L660" s="7"/>
      <c r="M660" s="7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9"/>
    </row>
    <row r="661">
      <c r="A661" s="10">
        <v>2.2241061E7</v>
      </c>
      <c r="B661" s="10" t="s">
        <v>1351</v>
      </c>
      <c r="C661" s="13" t="s">
        <v>853</v>
      </c>
      <c r="D661" s="13" t="s">
        <v>95</v>
      </c>
      <c r="E661" s="47"/>
      <c r="F661" s="13" t="s">
        <v>1352</v>
      </c>
      <c r="G661" s="12"/>
      <c r="H661" s="12"/>
      <c r="I661" s="12"/>
      <c r="J661" s="12"/>
      <c r="K661" s="12"/>
      <c r="L661" s="12"/>
      <c r="M661" s="12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9"/>
    </row>
    <row r="662">
      <c r="A662" s="5">
        <v>2.2241052E7</v>
      </c>
      <c r="B662" s="5" t="s">
        <v>1353</v>
      </c>
      <c r="C662" s="14" t="s">
        <v>853</v>
      </c>
      <c r="D662" s="14" t="s">
        <v>95</v>
      </c>
      <c r="E662" s="48"/>
      <c r="F662" s="14" t="s">
        <v>1354</v>
      </c>
      <c r="G662" s="7"/>
      <c r="H662" s="7"/>
      <c r="I662" s="7"/>
      <c r="J662" s="7"/>
      <c r="K662" s="7"/>
      <c r="L662" s="7"/>
      <c r="M662" s="7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9"/>
    </row>
    <row r="663">
      <c r="A663" s="10">
        <v>2.2241025E7</v>
      </c>
      <c r="B663" s="10" t="s">
        <v>1355</v>
      </c>
      <c r="C663" s="13" t="s">
        <v>853</v>
      </c>
      <c r="D663" s="13" t="s">
        <v>95</v>
      </c>
      <c r="E663" s="47"/>
      <c r="F663" s="13" t="s">
        <v>1356</v>
      </c>
      <c r="G663" s="12"/>
      <c r="H663" s="12"/>
      <c r="I663" s="12"/>
      <c r="J663" s="12"/>
      <c r="K663" s="12"/>
      <c r="L663" s="12"/>
      <c r="M663" s="12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9"/>
    </row>
    <row r="664">
      <c r="A664" s="5">
        <v>2.2241016E7</v>
      </c>
      <c r="B664" s="5" t="s">
        <v>1357</v>
      </c>
      <c r="C664" s="14" t="s">
        <v>853</v>
      </c>
      <c r="D664" s="14" t="s">
        <v>95</v>
      </c>
      <c r="E664" s="48"/>
      <c r="F664" s="14" t="s">
        <v>1358</v>
      </c>
      <c r="G664" s="7"/>
      <c r="H664" s="7"/>
      <c r="I664" s="7"/>
      <c r="J664" s="7"/>
      <c r="K664" s="7"/>
      <c r="L664" s="7"/>
      <c r="M664" s="7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9"/>
    </row>
    <row r="665">
      <c r="A665" s="10">
        <v>2.2226082E7</v>
      </c>
      <c r="B665" s="10" t="s">
        <v>1359</v>
      </c>
      <c r="C665" s="13" t="s">
        <v>853</v>
      </c>
      <c r="D665" s="13" t="s">
        <v>95</v>
      </c>
      <c r="E665" s="47"/>
      <c r="F665" s="13" t="s">
        <v>1360</v>
      </c>
      <c r="G665" s="12"/>
      <c r="H665" s="12"/>
      <c r="I665" s="12"/>
      <c r="J665" s="12"/>
      <c r="K665" s="12"/>
      <c r="L665" s="12"/>
      <c r="M665" s="12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9"/>
    </row>
    <row r="666">
      <c r="A666" s="5">
        <v>2.2221159E7</v>
      </c>
      <c r="B666" s="5" t="s">
        <v>1361</v>
      </c>
      <c r="C666" s="14" t="s">
        <v>853</v>
      </c>
      <c r="D666" s="14" t="s">
        <v>95</v>
      </c>
      <c r="E666" s="48"/>
      <c r="F666" s="14" t="s">
        <v>1362</v>
      </c>
      <c r="G666" s="7"/>
      <c r="H666" s="7"/>
      <c r="I666" s="7"/>
      <c r="J666" s="7"/>
      <c r="K666" s="7"/>
      <c r="L666" s="7"/>
      <c r="M666" s="7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9"/>
    </row>
    <row r="667">
      <c r="A667" s="10">
        <v>2.2201911E7</v>
      </c>
      <c r="B667" s="10" t="s">
        <v>1363</v>
      </c>
      <c r="C667" s="13" t="s">
        <v>853</v>
      </c>
      <c r="D667" s="13" t="s">
        <v>95</v>
      </c>
      <c r="E667" s="47"/>
      <c r="F667" s="13" t="s">
        <v>1364</v>
      </c>
      <c r="G667" s="12"/>
      <c r="H667" s="12"/>
      <c r="I667" s="12"/>
      <c r="J667" s="12"/>
      <c r="K667" s="12"/>
      <c r="L667" s="12"/>
      <c r="M667" s="12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9"/>
    </row>
    <row r="668">
      <c r="A668" s="5">
        <v>2.2201891E7</v>
      </c>
      <c r="B668" s="5" t="s">
        <v>1365</v>
      </c>
      <c r="C668" s="14" t="s">
        <v>853</v>
      </c>
      <c r="D668" s="14" t="s">
        <v>95</v>
      </c>
      <c r="E668" s="48"/>
      <c r="F668" s="14" t="s">
        <v>1366</v>
      </c>
      <c r="G668" s="7"/>
      <c r="H668" s="7"/>
      <c r="I668" s="7"/>
      <c r="J668" s="7"/>
      <c r="K668" s="7"/>
      <c r="L668" s="7"/>
      <c r="M668" s="7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9"/>
    </row>
    <row r="669">
      <c r="A669" s="10">
        <v>2.2201861E7</v>
      </c>
      <c r="B669" s="10" t="s">
        <v>1367</v>
      </c>
      <c r="C669" s="13" t="s">
        <v>853</v>
      </c>
      <c r="D669" s="13" t="s">
        <v>95</v>
      </c>
      <c r="E669" s="47"/>
      <c r="F669" s="13" t="s">
        <v>1368</v>
      </c>
      <c r="G669" s="12"/>
      <c r="H669" s="12"/>
      <c r="I669" s="12"/>
      <c r="J669" s="12"/>
      <c r="K669" s="12"/>
      <c r="L669" s="12"/>
      <c r="M669" s="12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9"/>
    </row>
    <row r="670">
      <c r="A670" s="5">
        <v>2.2201796E7</v>
      </c>
      <c r="B670" s="5" t="s">
        <v>1369</v>
      </c>
      <c r="C670" s="14" t="s">
        <v>853</v>
      </c>
      <c r="D670" s="14" t="s">
        <v>95</v>
      </c>
      <c r="E670" s="48"/>
      <c r="F670" s="14" t="s">
        <v>1370</v>
      </c>
      <c r="G670" s="7"/>
      <c r="H670" s="7"/>
      <c r="I670" s="7"/>
      <c r="J670" s="7"/>
      <c r="K670" s="7"/>
      <c r="L670" s="7"/>
      <c r="M670" s="7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9"/>
    </row>
    <row r="671">
      <c r="A671" s="10">
        <v>2.2201778E7</v>
      </c>
      <c r="B671" s="10" t="s">
        <v>1371</v>
      </c>
      <c r="C671" s="13" t="s">
        <v>853</v>
      </c>
      <c r="D671" s="13" t="s">
        <v>95</v>
      </c>
      <c r="E671" s="47"/>
      <c r="F671" s="13" t="s">
        <v>1372</v>
      </c>
      <c r="G671" s="12"/>
      <c r="H671" s="12"/>
      <c r="I671" s="12"/>
      <c r="J671" s="12"/>
      <c r="K671" s="12"/>
      <c r="L671" s="12"/>
      <c r="M671" s="12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9"/>
    </row>
    <row r="672">
      <c r="A672" s="5">
        <v>2.2201773E7</v>
      </c>
      <c r="B672" s="5" t="s">
        <v>1373</v>
      </c>
      <c r="C672" s="14" t="s">
        <v>853</v>
      </c>
      <c r="D672" s="14" t="s">
        <v>95</v>
      </c>
      <c r="E672" s="48"/>
      <c r="F672" s="14" t="s">
        <v>1374</v>
      </c>
      <c r="G672" s="7"/>
      <c r="H672" s="7"/>
      <c r="I672" s="7"/>
      <c r="J672" s="7"/>
      <c r="K672" s="7"/>
      <c r="L672" s="7"/>
      <c r="M672" s="7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9"/>
    </row>
    <row r="673">
      <c r="A673" s="10">
        <v>2.2201755E7</v>
      </c>
      <c r="B673" s="10" t="s">
        <v>1375</v>
      </c>
      <c r="C673" s="13" t="s">
        <v>853</v>
      </c>
      <c r="D673" s="13" t="s">
        <v>95</v>
      </c>
      <c r="E673" s="47"/>
      <c r="F673" s="13" t="s">
        <v>1376</v>
      </c>
      <c r="G673" s="12"/>
      <c r="H673" s="12"/>
      <c r="I673" s="12"/>
      <c r="J673" s="12"/>
      <c r="K673" s="12"/>
      <c r="L673" s="12"/>
      <c r="M673" s="12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9"/>
    </row>
    <row r="674">
      <c r="A674" s="5">
        <v>2.2201722E7</v>
      </c>
      <c r="B674" s="5" t="s">
        <v>1377</v>
      </c>
      <c r="C674" s="14" t="s">
        <v>853</v>
      </c>
      <c r="D674" s="14" t="s">
        <v>95</v>
      </c>
      <c r="E674" s="48"/>
      <c r="F674" s="14" t="s">
        <v>1378</v>
      </c>
      <c r="G674" s="7"/>
      <c r="H674" s="7"/>
      <c r="I674" s="7"/>
      <c r="J674" s="7"/>
      <c r="K674" s="7"/>
      <c r="L674" s="7"/>
      <c r="M674" s="7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9"/>
    </row>
    <row r="675">
      <c r="A675" s="10">
        <v>2.2201719E7</v>
      </c>
      <c r="B675" s="10" t="s">
        <v>1379</v>
      </c>
      <c r="C675" s="13" t="s">
        <v>853</v>
      </c>
      <c r="D675" s="13" t="s">
        <v>95</v>
      </c>
      <c r="E675" s="47"/>
      <c r="F675" s="13" t="s">
        <v>1380</v>
      </c>
      <c r="G675" s="12"/>
      <c r="H675" s="12"/>
      <c r="I675" s="12"/>
      <c r="J675" s="12"/>
      <c r="K675" s="12"/>
      <c r="L675" s="12"/>
      <c r="M675" s="12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9"/>
    </row>
    <row r="676">
      <c r="A676" s="5">
        <v>2.2201681E7</v>
      </c>
      <c r="B676" s="5" t="s">
        <v>1381</v>
      </c>
      <c r="C676" s="14" t="s">
        <v>853</v>
      </c>
      <c r="D676" s="14" t="s">
        <v>95</v>
      </c>
      <c r="E676" s="48"/>
      <c r="F676" s="14" t="s">
        <v>1382</v>
      </c>
      <c r="G676" s="7"/>
      <c r="H676" s="7"/>
      <c r="I676" s="7"/>
      <c r="J676" s="7"/>
      <c r="K676" s="7"/>
      <c r="L676" s="7"/>
      <c r="M676" s="7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9"/>
    </row>
    <row r="677">
      <c r="A677" s="10">
        <v>2.2201675E7</v>
      </c>
      <c r="B677" s="10" t="s">
        <v>1383</v>
      </c>
      <c r="C677" s="13" t="s">
        <v>853</v>
      </c>
      <c r="D677" s="13" t="s">
        <v>95</v>
      </c>
      <c r="E677" s="47"/>
      <c r="F677" s="13" t="s">
        <v>1384</v>
      </c>
      <c r="G677" s="12"/>
      <c r="H677" s="12"/>
      <c r="I677" s="12"/>
      <c r="J677" s="12"/>
      <c r="K677" s="12"/>
      <c r="L677" s="12"/>
      <c r="M677" s="12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9"/>
    </row>
    <row r="678">
      <c r="A678" s="5">
        <v>2.2201661E7</v>
      </c>
      <c r="B678" s="5" t="s">
        <v>1385</v>
      </c>
      <c r="C678" s="14" t="s">
        <v>853</v>
      </c>
      <c r="D678" s="14" t="s">
        <v>95</v>
      </c>
      <c r="E678" s="48"/>
      <c r="F678" s="14" t="s">
        <v>1386</v>
      </c>
      <c r="G678" s="7"/>
      <c r="H678" s="7"/>
      <c r="I678" s="7"/>
      <c r="J678" s="7"/>
      <c r="K678" s="7"/>
      <c r="L678" s="7"/>
      <c r="M678" s="7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9"/>
    </row>
    <row r="679">
      <c r="A679" s="10">
        <v>2.2201611E7</v>
      </c>
      <c r="B679" s="10" t="s">
        <v>1387</v>
      </c>
      <c r="C679" s="13" t="s">
        <v>853</v>
      </c>
      <c r="D679" s="13" t="s">
        <v>95</v>
      </c>
      <c r="E679" s="47"/>
      <c r="F679" s="13" t="s">
        <v>1388</v>
      </c>
      <c r="G679" s="12"/>
      <c r="H679" s="12"/>
      <c r="I679" s="12"/>
      <c r="J679" s="12"/>
      <c r="K679" s="12"/>
      <c r="L679" s="12"/>
      <c r="M679" s="12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9"/>
    </row>
    <row r="680">
      <c r="A680" s="5">
        <v>2.2201481E7</v>
      </c>
      <c r="B680" s="5" t="s">
        <v>1389</v>
      </c>
      <c r="C680" s="14" t="s">
        <v>853</v>
      </c>
      <c r="D680" s="14" t="s">
        <v>95</v>
      </c>
      <c r="E680" s="48"/>
      <c r="F680" s="14" t="s">
        <v>1390</v>
      </c>
      <c r="G680" s="7"/>
      <c r="H680" s="7"/>
      <c r="I680" s="7"/>
      <c r="J680" s="7"/>
      <c r="K680" s="7"/>
      <c r="L680" s="7"/>
      <c r="M680" s="7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9"/>
    </row>
    <row r="681">
      <c r="A681" s="10">
        <v>2.2201474E7</v>
      </c>
      <c r="B681" s="10" t="s">
        <v>1391</v>
      </c>
      <c r="C681" s="13" t="s">
        <v>853</v>
      </c>
      <c r="D681" s="13" t="s">
        <v>95</v>
      </c>
      <c r="E681" s="47"/>
      <c r="F681" s="13" t="s">
        <v>1392</v>
      </c>
      <c r="G681" s="12"/>
      <c r="H681" s="12"/>
      <c r="I681" s="12"/>
      <c r="J681" s="12"/>
      <c r="K681" s="12"/>
      <c r="L681" s="12"/>
      <c r="M681" s="12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9"/>
    </row>
    <row r="682">
      <c r="A682" s="5">
        <v>2.2201415E7</v>
      </c>
      <c r="B682" s="5" t="s">
        <v>1393</v>
      </c>
      <c r="C682" s="14" t="s">
        <v>853</v>
      </c>
      <c r="D682" s="14" t="s">
        <v>95</v>
      </c>
      <c r="E682" s="48"/>
      <c r="F682" s="14" t="s">
        <v>1394</v>
      </c>
      <c r="G682" s="7"/>
      <c r="H682" s="7"/>
      <c r="I682" s="7"/>
      <c r="J682" s="7"/>
      <c r="K682" s="7"/>
      <c r="L682" s="7"/>
      <c r="M682" s="7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9"/>
    </row>
    <row r="683">
      <c r="A683" s="10">
        <v>2.2201405E7</v>
      </c>
      <c r="B683" s="10" t="s">
        <v>1395</v>
      </c>
      <c r="C683" s="13" t="s">
        <v>853</v>
      </c>
      <c r="D683" s="13" t="s">
        <v>95</v>
      </c>
      <c r="E683" s="47"/>
      <c r="F683" s="13" t="s">
        <v>1396</v>
      </c>
      <c r="G683" s="12"/>
      <c r="H683" s="12"/>
      <c r="I683" s="12"/>
      <c r="J683" s="12"/>
      <c r="K683" s="12"/>
      <c r="L683" s="12"/>
      <c r="M683" s="12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9"/>
    </row>
    <row r="684">
      <c r="A684" s="5">
        <v>2.2201361E7</v>
      </c>
      <c r="B684" s="5" t="s">
        <v>1397</v>
      </c>
      <c r="C684" s="14" t="s">
        <v>853</v>
      </c>
      <c r="D684" s="14" t="s">
        <v>95</v>
      </c>
      <c r="E684" s="48"/>
      <c r="F684" s="14" t="s">
        <v>1398</v>
      </c>
      <c r="G684" s="7"/>
      <c r="H684" s="7"/>
      <c r="I684" s="7"/>
      <c r="J684" s="7"/>
      <c r="K684" s="7"/>
      <c r="L684" s="7"/>
      <c r="M684" s="7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9"/>
    </row>
    <row r="685">
      <c r="A685" s="10">
        <v>2.2201277E7</v>
      </c>
      <c r="B685" s="10" t="s">
        <v>1399</v>
      </c>
      <c r="C685" s="13" t="s">
        <v>853</v>
      </c>
      <c r="D685" s="13" t="s">
        <v>95</v>
      </c>
      <c r="E685" s="47"/>
      <c r="F685" s="13" t="s">
        <v>1400</v>
      </c>
      <c r="G685" s="12"/>
      <c r="H685" s="12"/>
      <c r="I685" s="12"/>
      <c r="J685" s="12"/>
      <c r="K685" s="12"/>
      <c r="L685" s="12"/>
      <c r="M685" s="12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9"/>
    </row>
    <row r="686">
      <c r="A686" s="5">
        <v>2.2201256E7</v>
      </c>
      <c r="B686" s="5" t="s">
        <v>1401</v>
      </c>
      <c r="C686" s="14" t="s">
        <v>853</v>
      </c>
      <c r="D686" s="14" t="s">
        <v>95</v>
      </c>
      <c r="E686" s="48"/>
      <c r="F686" s="14" t="s">
        <v>1402</v>
      </c>
      <c r="G686" s="7"/>
      <c r="H686" s="7"/>
      <c r="I686" s="7"/>
      <c r="J686" s="7"/>
      <c r="K686" s="7"/>
      <c r="L686" s="7"/>
      <c r="M686" s="7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9"/>
    </row>
    <row r="687">
      <c r="A687" s="10">
        <v>2.2201212E7</v>
      </c>
      <c r="B687" s="10" t="s">
        <v>1403</v>
      </c>
      <c r="C687" s="13" t="s">
        <v>853</v>
      </c>
      <c r="D687" s="13" t="s">
        <v>95</v>
      </c>
      <c r="E687" s="47"/>
      <c r="F687" s="13" t="s">
        <v>1404</v>
      </c>
      <c r="G687" s="12"/>
      <c r="H687" s="12"/>
      <c r="I687" s="12"/>
      <c r="J687" s="12"/>
      <c r="K687" s="12"/>
      <c r="L687" s="12"/>
      <c r="M687" s="12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9"/>
    </row>
    <row r="688">
      <c r="A688" s="5">
        <v>2.22012E7</v>
      </c>
      <c r="B688" s="5" t="s">
        <v>1405</v>
      </c>
      <c r="C688" s="14" t="s">
        <v>853</v>
      </c>
      <c r="D688" s="14" t="s">
        <v>95</v>
      </c>
      <c r="E688" s="48"/>
      <c r="F688" s="14" t="s">
        <v>1406</v>
      </c>
      <c r="G688" s="7"/>
      <c r="H688" s="7"/>
      <c r="I688" s="7"/>
      <c r="J688" s="7"/>
      <c r="K688" s="7"/>
      <c r="L688" s="7"/>
      <c r="M688" s="7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9"/>
    </row>
    <row r="689">
      <c r="A689" s="10">
        <v>2.2201182E7</v>
      </c>
      <c r="B689" s="10" t="s">
        <v>1407</v>
      </c>
      <c r="C689" s="13" t="s">
        <v>853</v>
      </c>
      <c r="D689" s="13" t="s">
        <v>95</v>
      </c>
      <c r="E689" s="47"/>
      <c r="F689" s="13" t="s">
        <v>1408</v>
      </c>
      <c r="G689" s="12"/>
      <c r="H689" s="12"/>
      <c r="I689" s="12"/>
      <c r="J689" s="12"/>
      <c r="K689" s="12"/>
      <c r="L689" s="12"/>
      <c r="M689" s="12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9"/>
    </row>
    <row r="690">
      <c r="A690" s="5">
        <v>2.220113E7</v>
      </c>
      <c r="B690" s="5" t="s">
        <v>1409</v>
      </c>
      <c r="C690" s="14" t="s">
        <v>853</v>
      </c>
      <c r="D690" s="14" t="s">
        <v>95</v>
      </c>
      <c r="E690" s="48"/>
      <c r="F690" s="14" t="s">
        <v>1410</v>
      </c>
      <c r="G690" s="7"/>
      <c r="H690" s="7"/>
      <c r="I690" s="7"/>
      <c r="J690" s="7"/>
      <c r="K690" s="7"/>
      <c r="L690" s="7"/>
      <c r="M690" s="7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9"/>
    </row>
    <row r="691">
      <c r="A691" s="10">
        <v>2.2201105E7</v>
      </c>
      <c r="B691" s="10" t="s">
        <v>1411</v>
      </c>
      <c r="C691" s="13" t="s">
        <v>853</v>
      </c>
      <c r="D691" s="13" t="s">
        <v>95</v>
      </c>
      <c r="E691" s="47"/>
      <c r="F691" s="13" t="s">
        <v>1412</v>
      </c>
      <c r="G691" s="12"/>
      <c r="H691" s="12"/>
      <c r="I691" s="12"/>
      <c r="J691" s="12"/>
      <c r="K691" s="12"/>
      <c r="L691" s="12"/>
      <c r="M691" s="12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9"/>
    </row>
    <row r="692">
      <c r="A692" s="5">
        <v>2.2201082E7</v>
      </c>
      <c r="B692" s="5" t="s">
        <v>1413</v>
      </c>
      <c r="C692" s="14" t="s">
        <v>853</v>
      </c>
      <c r="D692" s="14" t="s">
        <v>95</v>
      </c>
      <c r="E692" s="48"/>
      <c r="F692" s="14" t="s">
        <v>1414</v>
      </c>
      <c r="G692" s="7"/>
      <c r="H692" s="7"/>
      <c r="I692" s="7"/>
      <c r="J692" s="7"/>
      <c r="K692" s="7"/>
      <c r="L692" s="7"/>
      <c r="M692" s="7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9"/>
    </row>
    <row r="693">
      <c r="A693" s="10">
        <v>2.2201077E7</v>
      </c>
      <c r="B693" s="10" t="s">
        <v>1415</v>
      </c>
      <c r="C693" s="13" t="s">
        <v>853</v>
      </c>
      <c r="D693" s="13" t="s">
        <v>95</v>
      </c>
      <c r="E693" s="47"/>
      <c r="F693" s="13" t="s">
        <v>1416</v>
      </c>
      <c r="G693" s="12"/>
      <c r="H693" s="12"/>
      <c r="I693" s="12"/>
      <c r="J693" s="12"/>
      <c r="K693" s="12"/>
      <c r="L693" s="12"/>
      <c r="M693" s="12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9"/>
    </row>
    <row r="694">
      <c r="A694" s="5">
        <v>2.2201022E7</v>
      </c>
      <c r="B694" s="5" t="s">
        <v>1417</v>
      </c>
      <c r="C694" s="14" t="s">
        <v>853</v>
      </c>
      <c r="D694" s="14" t="s">
        <v>95</v>
      </c>
      <c r="E694" s="48"/>
      <c r="F694" s="14" t="s">
        <v>1418</v>
      </c>
      <c r="G694" s="7"/>
      <c r="H694" s="7"/>
      <c r="I694" s="7"/>
      <c r="J694" s="7"/>
      <c r="K694" s="7"/>
      <c r="L694" s="7"/>
      <c r="M694" s="7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9"/>
    </row>
    <row r="695">
      <c r="A695" s="10">
        <v>2.2141003E7</v>
      </c>
      <c r="B695" s="10" t="s">
        <v>1419</v>
      </c>
      <c r="C695" s="13" t="s">
        <v>853</v>
      </c>
      <c r="D695" s="13" t="s">
        <v>95</v>
      </c>
      <c r="E695" s="47"/>
      <c r="F695" s="13" t="s">
        <v>1420</v>
      </c>
      <c r="G695" s="12"/>
      <c r="H695" s="12"/>
      <c r="I695" s="12"/>
      <c r="J695" s="12"/>
      <c r="K695" s="12"/>
      <c r="L695" s="12"/>
      <c r="M695" s="12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9"/>
    </row>
    <row r="696">
      <c r="A696" s="5">
        <v>2.2101893E7</v>
      </c>
      <c r="B696" s="5" t="s">
        <v>1421</v>
      </c>
      <c r="C696" s="14" t="s">
        <v>853</v>
      </c>
      <c r="D696" s="14" t="s">
        <v>95</v>
      </c>
      <c r="E696" s="48"/>
      <c r="F696" s="14" t="s">
        <v>1422</v>
      </c>
      <c r="G696" s="7"/>
      <c r="H696" s="7"/>
      <c r="I696" s="7"/>
      <c r="J696" s="7"/>
      <c r="K696" s="7"/>
      <c r="L696" s="7"/>
      <c r="M696" s="7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9"/>
    </row>
    <row r="697">
      <c r="A697" s="10">
        <v>2.2101888E7</v>
      </c>
      <c r="B697" s="10" t="s">
        <v>1423</v>
      </c>
      <c r="C697" s="13" t="s">
        <v>853</v>
      </c>
      <c r="D697" s="13" t="s">
        <v>95</v>
      </c>
      <c r="E697" s="47"/>
      <c r="F697" s="13" t="s">
        <v>1424</v>
      </c>
      <c r="G697" s="12"/>
      <c r="H697" s="12"/>
      <c r="I697" s="12"/>
      <c r="J697" s="12"/>
      <c r="K697" s="12"/>
      <c r="L697" s="12"/>
      <c r="M697" s="12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9"/>
    </row>
    <row r="698">
      <c r="A698" s="5">
        <v>2.2101883E7</v>
      </c>
      <c r="B698" s="5" t="s">
        <v>1425</v>
      </c>
      <c r="C698" s="14" t="s">
        <v>853</v>
      </c>
      <c r="D698" s="14" t="s">
        <v>95</v>
      </c>
      <c r="E698" s="48"/>
      <c r="F698" s="14" t="s">
        <v>1426</v>
      </c>
      <c r="G698" s="7"/>
      <c r="H698" s="7"/>
      <c r="I698" s="7"/>
      <c r="J698" s="7"/>
      <c r="K698" s="7"/>
      <c r="L698" s="7"/>
      <c r="M698" s="7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9"/>
    </row>
    <row r="699">
      <c r="A699" s="10">
        <v>2.2101876E7</v>
      </c>
      <c r="B699" s="10" t="s">
        <v>1427</v>
      </c>
      <c r="C699" s="13" t="s">
        <v>853</v>
      </c>
      <c r="D699" s="13" t="s">
        <v>95</v>
      </c>
      <c r="E699" s="47"/>
      <c r="F699" s="13" t="s">
        <v>1428</v>
      </c>
      <c r="G699" s="12"/>
      <c r="H699" s="12"/>
      <c r="I699" s="12"/>
      <c r="J699" s="12"/>
      <c r="K699" s="12"/>
      <c r="L699" s="12"/>
      <c r="M699" s="12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9"/>
    </row>
    <row r="700">
      <c r="A700" s="5">
        <v>2.2101844E7</v>
      </c>
      <c r="B700" s="5" t="s">
        <v>1429</v>
      </c>
      <c r="C700" s="14" t="s">
        <v>853</v>
      </c>
      <c r="D700" s="14" t="s">
        <v>95</v>
      </c>
      <c r="E700" s="48"/>
      <c r="F700" s="14" t="s">
        <v>1430</v>
      </c>
      <c r="G700" s="7"/>
      <c r="H700" s="7"/>
      <c r="I700" s="7"/>
      <c r="J700" s="7"/>
      <c r="K700" s="7"/>
      <c r="L700" s="7"/>
      <c r="M700" s="7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9"/>
    </row>
    <row r="701">
      <c r="A701" s="10">
        <v>2.2101826E7</v>
      </c>
      <c r="B701" s="10" t="s">
        <v>1431</v>
      </c>
      <c r="C701" s="13" t="s">
        <v>853</v>
      </c>
      <c r="D701" s="13" t="s">
        <v>95</v>
      </c>
      <c r="E701" s="47"/>
      <c r="F701" s="13" t="s">
        <v>1432</v>
      </c>
      <c r="G701" s="12"/>
      <c r="H701" s="12"/>
      <c r="I701" s="12"/>
      <c r="J701" s="12"/>
      <c r="K701" s="12"/>
      <c r="L701" s="12"/>
      <c r="M701" s="12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9"/>
    </row>
    <row r="702">
      <c r="A702" s="5">
        <v>2.2101824E7</v>
      </c>
      <c r="B702" s="5" t="s">
        <v>1433</v>
      </c>
      <c r="C702" s="14" t="s">
        <v>853</v>
      </c>
      <c r="D702" s="14" t="s">
        <v>95</v>
      </c>
      <c r="E702" s="48"/>
      <c r="F702" s="14" t="s">
        <v>1434</v>
      </c>
      <c r="G702" s="7"/>
      <c r="H702" s="7"/>
      <c r="I702" s="7"/>
      <c r="J702" s="7"/>
      <c r="K702" s="7"/>
      <c r="L702" s="7"/>
      <c r="M702" s="7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9"/>
    </row>
    <row r="703">
      <c r="A703" s="10">
        <v>2.2101821E7</v>
      </c>
      <c r="B703" s="10" t="s">
        <v>1435</v>
      </c>
      <c r="C703" s="13" t="s">
        <v>853</v>
      </c>
      <c r="D703" s="13" t="s">
        <v>95</v>
      </c>
      <c r="E703" s="47"/>
      <c r="F703" s="13" t="s">
        <v>1436</v>
      </c>
      <c r="G703" s="12"/>
      <c r="H703" s="12"/>
      <c r="I703" s="12"/>
      <c r="J703" s="12"/>
      <c r="K703" s="12"/>
      <c r="L703" s="12"/>
      <c r="M703" s="12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9"/>
    </row>
    <row r="704">
      <c r="A704" s="5">
        <v>2.2101809E7</v>
      </c>
      <c r="B704" s="5" t="s">
        <v>1437</v>
      </c>
      <c r="C704" s="14" t="s">
        <v>853</v>
      </c>
      <c r="D704" s="14" t="s">
        <v>95</v>
      </c>
      <c r="E704" s="48"/>
      <c r="F704" s="14" t="s">
        <v>1438</v>
      </c>
      <c r="G704" s="7"/>
      <c r="H704" s="7"/>
      <c r="I704" s="7"/>
      <c r="J704" s="7"/>
      <c r="K704" s="7"/>
      <c r="L704" s="7"/>
      <c r="M704" s="7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9"/>
    </row>
    <row r="705">
      <c r="A705" s="10">
        <v>2.2101806E7</v>
      </c>
      <c r="B705" s="10" t="s">
        <v>1439</v>
      </c>
      <c r="C705" s="13" t="s">
        <v>853</v>
      </c>
      <c r="D705" s="13" t="s">
        <v>95</v>
      </c>
      <c r="E705" s="47"/>
      <c r="F705" s="13" t="s">
        <v>1440</v>
      </c>
      <c r="G705" s="12"/>
      <c r="H705" s="12"/>
      <c r="I705" s="12"/>
      <c r="J705" s="12"/>
      <c r="K705" s="12"/>
      <c r="L705" s="12"/>
      <c r="M705" s="12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9"/>
    </row>
    <row r="706">
      <c r="A706" s="5">
        <v>2.2101789E7</v>
      </c>
      <c r="B706" s="5" t="s">
        <v>1441</v>
      </c>
      <c r="C706" s="14" t="s">
        <v>853</v>
      </c>
      <c r="D706" s="14" t="s">
        <v>95</v>
      </c>
      <c r="E706" s="48"/>
      <c r="F706" s="14" t="s">
        <v>1442</v>
      </c>
      <c r="G706" s="7"/>
      <c r="H706" s="7"/>
      <c r="I706" s="7"/>
      <c r="J706" s="7"/>
      <c r="K706" s="7"/>
      <c r="L706" s="7"/>
      <c r="M706" s="7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9"/>
    </row>
    <row r="707">
      <c r="A707" s="10">
        <v>2.2101783E7</v>
      </c>
      <c r="B707" s="10" t="s">
        <v>1443</v>
      </c>
      <c r="C707" s="13" t="s">
        <v>853</v>
      </c>
      <c r="D707" s="13" t="s">
        <v>95</v>
      </c>
      <c r="E707" s="47"/>
      <c r="F707" s="13" t="s">
        <v>1444</v>
      </c>
      <c r="G707" s="12"/>
      <c r="H707" s="12"/>
      <c r="I707" s="12"/>
      <c r="J707" s="12"/>
      <c r="K707" s="12"/>
      <c r="L707" s="12"/>
      <c r="M707" s="12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9"/>
    </row>
    <row r="708">
      <c r="A708" s="5">
        <v>2.210178E7</v>
      </c>
      <c r="B708" s="5" t="s">
        <v>1445</v>
      </c>
      <c r="C708" s="14" t="s">
        <v>853</v>
      </c>
      <c r="D708" s="14" t="s">
        <v>95</v>
      </c>
      <c r="E708" s="48"/>
      <c r="F708" s="14" t="s">
        <v>1446</v>
      </c>
      <c r="G708" s="7"/>
      <c r="H708" s="7"/>
      <c r="I708" s="7"/>
      <c r="J708" s="7"/>
      <c r="K708" s="7"/>
      <c r="L708" s="7"/>
      <c r="M708" s="7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9"/>
    </row>
    <row r="709">
      <c r="A709" s="10">
        <v>2.2101778E7</v>
      </c>
      <c r="B709" s="10" t="s">
        <v>1447</v>
      </c>
      <c r="C709" s="13" t="s">
        <v>853</v>
      </c>
      <c r="D709" s="13" t="s">
        <v>95</v>
      </c>
      <c r="E709" s="47"/>
      <c r="F709" s="13" t="s">
        <v>1448</v>
      </c>
      <c r="G709" s="12"/>
      <c r="H709" s="12"/>
      <c r="I709" s="12"/>
      <c r="J709" s="12"/>
      <c r="K709" s="12"/>
      <c r="L709" s="12"/>
      <c r="M709" s="12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9"/>
    </row>
    <row r="710">
      <c r="A710" s="5">
        <v>2.2101768E7</v>
      </c>
      <c r="B710" s="5" t="s">
        <v>1449</v>
      </c>
      <c r="C710" s="14" t="s">
        <v>853</v>
      </c>
      <c r="D710" s="14" t="s">
        <v>95</v>
      </c>
      <c r="E710" s="48"/>
      <c r="F710" s="14" t="s">
        <v>1450</v>
      </c>
      <c r="G710" s="7"/>
      <c r="H710" s="7"/>
      <c r="I710" s="7"/>
      <c r="J710" s="7"/>
      <c r="K710" s="7"/>
      <c r="L710" s="7"/>
      <c r="M710" s="7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9"/>
    </row>
    <row r="711">
      <c r="A711" s="10">
        <v>2.2101761E7</v>
      </c>
      <c r="B711" s="10" t="s">
        <v>1451</v>
      </c>
      <c r="C711" s="13" t="s">
        <v>853</v>
      </c>
      <c r="D711" s="13" t="s">
        <v>95</v>
      </c>
      <c r="E711" s="47"/>
      <c r="F711" s="13" t="s">
        <v>1452</v>
      </c>
      <c r="G711" s="12"/>
      <c r="H711" s="12"/>
      <c r="I711" s="12"/>
      <c r="J711" s="12"/>
      <c r="K711" s="12"/>
      <c r="L711" s="12"/>
      <c r="M711" s="12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9"/>
    </row>
    <row r="712">
      <c r="A712" s="5">
        <v>2.2101749E7</v>
      </c>
      <c r="B712" s="5" t="s">
        <v>1453</v>
      </c>
      <c r="C712" s="14" t="s">
        <v>853</v>
      </c>
      <c r="D712" s="14" t="s">
        <v>95</v>
      </c>
      <c r="E712" s="48"/>
      <c r="F712" s="14" t="s">
        <v>1454</v>
      </c>
      <c r="G712" s="7"/>
      <c r="H712" s="7"/>
      <c r="I712" s="7"/>
      <c r="J712" s="7"/>
      <c r="K712" s="7"/>
      <c r="L712" s="7"/>
      <c r="M712" s="7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9"/>
    </row>
    <row r="713">
      <c r="A713" s="10">
        <v>2.2101713E7</v>
      </c>
      <c r="B713" s="10" t="s">
        <v>1455</v>
      </c>
      <c r="C713" s="13" t="s">
        <v>853</v>
      </c>
      <c r="D713" s="13" t="s">
        <v>95</v>
      </c>
      <c r="E713" s="47"/>
      <c r="F713" s="13" t="s">
        <v>1456</v>
      </c>
      <c r="G713" s="12"/>
      <c r="H713" s="12"/>
      <c r="I713" s="12"/>
      <c r="J713" s="12"/>
      <c r="K713" s="12"/>
      <c r="L713" s="12"/>
      <c r="M713" s="12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9"/>
    </row>
    <row r="714">
      <c r="A714" s="5">
        <v>2.210171E7</v>
      </c>
      <c r="B714" s="5" t="s">
        <v>1457</v>
      </c>
      <c r="C714" s="14" t="s">
        <v>853</v>
      </c>
      <c r="D714" s="14" t="s">
        <v>95</v>
      </c>
      <c r="E714" s="48"/>
      <c r="F714" s="14" t="s">
        <v>1458</v>
      </c>
      <c r="G714" s="7"/>
      <c r="H714" s="7"/>
      <c r="I714" s="7"/>
      <c r="J714" s="7"/>
      <c r="K714" s="7"/>
      <c r="L714" s="7"/>
      <c r="M714" s="7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9"/>
    </row>
    <row r="715">
      <c r="A715" s="10">
        <v>2.2101675E7</v>
      </c>
      <c r="B715" s="10" t="s">
        <v>1459</v>
      </c>
      <c r="C715" s="13" t="s">
        <v>853</v>
      </c>
      <c r="D715" s="13" t="s">
        <v>95</v>
      </c>
      <c r="E715" s="47"/>
      <c r="F715" s="13" t="s">
        <v>1460</v>
      </c>
      <c r="G715" s="12"/>
      <c r="H715" s="12"/>
      <c r="I715" s="12"/>
      <c r="J715" s="12"/>
      <c r="K715" s="12"/>
      <c r="L715" s="12"/>
      <c r="M715" s="12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9"/>
    </row>
    <row r="716">
      <c r="A716" s="5">
        <v>2.2101672E7</v>
      </c>
      <c r="B716" s="5" t="s">
        <v>1461</v>
      </c>
      <c r="C716" s="14" t="s">
        <v>853</v>
      </c>
      <c r="D716" s="14" t="s">
        <v>95</v>
      </c>
      <c r="E716" s="48"/>
      <c r="F716" s="14" t="s">
        <v>1462</v>
      </c>
      <c r="G716" s="7"/>
      <c r="H716" s="7"/>
      <c r="I716" s="7"/>
      <c r="J716" s="7"/>
      <c r="K716" s="7"/>
      <c r="L716" s="7"/>
      <c r="M716" s="7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9"/>
    </row>
    <row r="717">
      <c r="A717" s="10">
        <v>2.2101662E7</v>
      </c>
      <c r="B717" s="10" t="s">
        <v>1463</v>
      </c>
      <c r="C717" s="13" t="s">
        <v>853</v>
      </c>
      <c r="D717" s="13" t="s">
        <v>95</v>
      </c>
      <c r="E717" s="47"/>
      <c r="F717" s="13" t="s">
        <v>1464</v>
      </c>
      <c r="G717" s="12"/>
      <c r="H717" s="12"/>
      <c r="I717" s="12"/>
      <c r="J717" s="12"/>
      <c r="K717" s="12"/>
      <c r="L717" s="12"/>
      <c r="M717" s="12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9"/>
    </row>
    <row r="718">
      <c r="A718" s="5">
        <v>2.2101659E7</v>
      </c>
      <c r="B718" s="5" t="s">
        <v>1465</v>
      </c>
      <c r="C718" s="14" t="s">
        <v>853</v>
      </c>
      <c r="D718" s="14" t="s">
        <v>95</v>
      </c>
      <c r="E718" s="48"/>
      <c r="F718" s="14" t="s">
        <v>1466</v>
      </c>
      <c r="G718" s="7"/>
      <c r="H718" s="7"/>
      <c r="I718" s="7"/>
      <c r="J718" s="7"/>
      <c r="K718" s="7"/>
      <c r="L718" s="7"/>
      <c r="M718" s="7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9"/>
    </row>
    <row r="719">
      <c r="A719" s="10">
        <v>2.210165E7</v>
      </c>
      <c r="B719" s="10" t="s">
        <v>1467</v>
      </c>
      <c r="C719" s="13" t="s">
        <v>853</v>
      </c>
      <c r="D719" s="13" t="s">
        <v>95</v>
      </c>
      <c r="E719" s="47"/>
      <c r="F719" s="13" t="s">
        <v>1468</v>
      </c>
      <c r="G719" s="12"/>
      <c r="H719" s="12"/>
      <c r="I719" s="12"/>
      <c r="J719" s="12"/>
      <c r="K719" s="12"/>
      <c r="L719" s="12"/>
      <c r="M719" s="12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9"/>
    </row>
    <row r="720">
      <c r="A720" s="5">
        <v>2.2101633E7</v>
      </c>
      <c r="B720" s="5" t="s">
        <v>1469</v>
      </c>
      <c r="C720" s="14" t="s">
        <v>853</v>
      </c>
      <c r="D720" s="14" t="s">
        <v>95</v>
      </c>
      <c r="E720" s="48"/>
      <c r="F720" s="14" t="s">
        <v>1470</v>
      </c>
      <c r="G720" s="7"/>
      <c r="H720" s="7"/>
      <c r="I720" s="7"/>
      <c r="J720" s="7"/>
      <c r="K720" s="7"/>
      <c r="L720" s="7"/>
      <c r="M720" s="7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9"/>
    </row>
    <row r="721">
      <c r="A721" s="10">
        <v>2.2101627E7</v>
      </c>
      <c r="B721" s="10" t="s">
        <v>1471</v>
      </c>
      <c r="C721" s="13" t="s">
        <v>853</v>
      </c>
      <c r="D721" s="13" t="s">
        <v>95</v>
      </c>
      <c r="E721" s="47"/>
      <c r="F721" s="13" t="s">
        <v>1472</v>
      </c>
      <c r="G721" s="12"/>
      <c r="H721" s="12"/>
      <c r="I721" s="12"/>
      <c r="J721" s="12"/>
      <c r="K721" s="12"/>
      <c r="L721" s="12"/>
      <c r="M721" s="12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9"/>
    </row>
    <row r="722">
      <c r="A722" s="5">
        <v>2.2101624E7</v>
      </c>
      <c r="B722" s="5" t="s">
        <v>1473</v>
      </c>
      <c r="C722" s="14" t="s">
        <v>853</v>
      </c>
      <c r="D722" s="14" t="s">
        <v>95</v>
      </c>
      <c r="E722" s="48"/>
      <c r="F722" s="14" t="s">
        <v>1474</v>
      </c>
      <c r="G722" s="7"/>
      <c r="H722" s="7"/>
      <c r="I722" s="7"/>
      <c r="J722" s="7"/>
      <c r="K722" s="7"/>
      <c r="L722" s="7"/>
      <c r="M722" s="7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9"/>
    </row>
    <row r="723">
      <c r="A723" s="10">
        <v>2.2101597E7</v>
      </c>
      <c r="B723" s="10" t="s">
        <v>1475</v>
      </c>
      <c r="C723" s="13" t="s">
        <v>853</v>
      </c>
      <c r="D723" s="13" t="s">
        <v>95</v>
      </c>
      <c r="E723" s="47"/>
      <c r="F723" s="13" t="s">
        <v>1476</v>
      </c>
      <c r="G723" s="12"/>
      <c r="H723" s="12"/>
      <c r="I723" s="12"/>
      <c r="J723" s="12"/>
      <c r="K723" s="12"/>
      <c r="L723" s="12"/>
      <c r="M723" s="12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9"/>
    </row>
    <row r="724">
      <c r="A724" s="5">
        <v>2.2101591E7</v>
      </c>
      <c r="B724" s="5" t="s">
        <v>1477</v>
      </c>
      <c r="C724" s="14" t="s">
        <v>853</v>
      </c>
      <c r="D724" s="14" t="s">
        <v>95</v>
      </c>
      <c r="E724" s="48"/>
      <c r="F724" s="14" t="s">
        <v>1478</v>
      </c>
      <c r="G724" s="7"/>
      <c r="H724" s="7"/>
      <c r="I724" s="7"/>
      <c r="J724" s="7"/>
      <c r="K724" s="7"/>
      <c r="L724" s="7"/>
      <c r="M724" s="7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9"/>
    </row>
    <row r="725">
      <c r="A725" s="10">
        <v>2.2101581E7</v>
      </c>
      <c r="B725" s="10" t="s">
        <v>1479</v>
      </c>
      <c r="C725" s="13" t="s">
        <v>853</v>
      </c>
      <c r="D725" s="13" t="s">
        <v>95</v>
      </c>
      <c r="E725" s="47"/>
      <c r="F725" s="13" t="s">
        <v>1480</v>
      </c>
      <c r="G725" s="12"/>
      <c r="H725" s="12"/>
      <c r="I725" s="12"/>
      <c r="J725" s="12"/>
      <c r="K725" s="12"/>
      <c r="L725" s="12"/>
      <c r="M725" s="12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9"/>
    </row>
    <row r="726">
      <c r="A726" s="5">
        <v>2.2101574E7</v>
      </c>
      <c r="B726" s="5" t="s">
        <v>1481</v>
      </c>
      <c r="C726" s="14" t="s">
        <v>853</v>
      </c>
      <c r="D726" s="14" t="s">
        <v>95</v>
      </c>
      <c r="E726" s="48"/>
      <c r="F726" s="14" t="s">
        <v>1482</v>
      </c>
      <c r="G726" s="7"/>
      <c r="H726" s="7"/>
      <c r="I726" s="7"/>
      <c r="J726" s="7"/>
      <c r="K726" s="7"/>
      <c r="L726" s="7"/>
      <c r="M726" s="7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9"/>
    </row>
    <row r="727">
      <c r="A727" s="10">
        <v>2.2101526E7</v>
      </c>
      <c r="B727" s="10" t="s">
        <v>1483</v>
      </c>
      <c r="C727" s="13" t="s">
        <v>853</v>
      </c>
      <c r="D727" s="13" t="s">
        <v>95</v>
      </c>
      <c r="E727" s="47"/>
      <c r="F727" s="13" t="s">
        <v>1484</v>
      </c>
      <c r="G727" s="12"/>
      <c r="H727" s="12"/>
      <c r="I727" s="12"/>
      <c r="J727" s="12"/>
      <c r="K727" s="12"/>
      <c r="L727" s="12"/>
      <c r="M727" s="12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9"/>
    </row>
    <row r="728">
      <c r="A728" s="5">
        <v>2.2101495E7</v>
      </c>
      <c r="B728" s="5" t="s">
        <v>1485</v>
      </c>
      <c r="C728" s="14" t="s">
        <v>853</v>
      </c>
      <c r="D728" s="14" t="s">
        <v>95</v>
      </c>
      <c r="E728" s="48"/>
      <c r="F728" s="14" t="s">
        <v>1486</v>
      </c>
      <c r="G728" s="7"/>
      <c r="H728" s="7"/>
      <c r="I728" s="7"/>
      <c r="J728" s="7"/>
      <c r="K728" s="7"/>
      <c r="L728" s="7"/>
      <c r="M728" s="7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9"/>
    </row>
    <row r="729">
      <c r="A729" s="10">
        <v>2.2101487E7</v>
      </c>
      <c r="B729" s="10" t="s">
        <v>1487</v>
      </c>
      <c r="C729" s="13" t="s">
        <v>853</v>
      </c>
      <c r="D729" s="13" t="s">
        <v>95</v>
      </c>
      <c r="E729" s="47"/>
      <c r="F729" s="13" t="s">
        <v>1488</v>
      </c>
      <c r="G729" s="12"/>
      <c r="H729" s="12"/>
      <c r="I729" s="12"/>
      <c r="J729" s="12"/>
      <c r="K729" s="12"/>
      <c r="L729" s="12"/>
      <c r="M729" s="12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9"/>
    </row>
    <row r="730">
      <c r="A730" s="5">
        <v>2.2101486E7</v>
      </c>
      <c r="B730" s="5" t="s">
        <v>1489</v>
      </c>
      <c r="C730" s="14" t="s">
        <v>853</v>
      </c>
      <c r="D730" s="14" t="s">
        <v>95</v>
      </c>
      <c r="E730" s="48"/>
      <c r="F730" s="14" t="s">
        <v>1490</v>
      </c>
      <c r="G730" s="7"/>
      <c r="H730" s="7"/>
      <c r="I730" s="7"/>
      <c r="J730" s="7"/>
      <c r="K730" s="7"/>
      <c r="L730" s="7"/>
      <c r="M730" s="7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9"/>
    </row>
    <row r="731">
      <c r="A731" s="10">
        <v>2.2101463E7</v>
      </c>
      <c r="B731" s="10" t="s">
        <v>1491</v>
      </c>
      <c r="C731" s="13" t="s">
        <v>853</v>
      </c>
      <c r="D731" s="13" t="s">
        <v>95</v>
      </c>
      <c r="E731" s="47"/>
      <c r="F731" s="13" t="s">
        <v>1492</v>
      </c>
      <c r="G731" s="12"/>
      <c r="H731" s="12"/>
      <c r="I731" s="12"/>
      <c r="J731" s="12"/>
      <c r="K731" s="12"/>
      <c r="L731" s="12"/>
      <c r="M731" s="12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9"/>
    </row>
    <row r="732">
      <c r="A732" s="5">
        <v>2.2101451E7</v>
      </c>
      <c r="B732" s="5" t="s">
        <v>1493</v>
      </c>
      <c r="C732" s="14" t="s">
        <v>853</v>
      </c>
      <c r="D732" s="14" t="s">
        <v>95</v>
      </c>
      <c r="E732" s="48"/>
      <c r="F732" s="14" t="s">
        <v>1494</v>
      </c>
      <c r="G732" s="7"/>
      <c r="H732" s="7"/>
      <c r="I732" s="7"/>
      <c r="J732" s="7"/>
      <c r="K732" s="7"/>
      <c r="L732" s="7"/>
      <c r="M732" s="7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9"/>
    </row>
    <row r="733">
      <c r="A733" s="10">
        <v>2.210144E7</v>
      </c>
      <c r="B733" s="10" t="s">
        <v>1495</v>
      </c>
      <c r="C733" s="13" t="s">
        <v>853</v>
      </c>
      <c r="D733" s="13" t="s">
        <v>95</v>
      </c>
      <c r="E733" s="47"/>
      <c r="F733" s="13" t="s">
        <v>1496</v>
      </c>
      <c r="G733" s="12"/>
      <c r="H733" s="12"/>
      <c r="I733" s="12"/>
      <c r="J733" s="12"/>
      <c r="K733" s="12"/>
      <c r="L733" s="12"/>
      <c r="M733" s="12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9"/>
    </row>
    <row r="734">
      <c r="A734" s="5">
        <v>2.2101436E7</v>
      </c>
      <c r="B734" s="5" t="s">
        <v>1497</v>
      </c>
      <c r="C734" s="14" t="s">
        <v>853</v>
      </c>
      <c r="D734" s="14" t="s">
        <v>95</v>
      </c>
      <c r="E734" s="48"/>
      <c r="F734" s="14" t="s">
        <v>1498</v>
      </c>
      <c r="G734" s="7"/>
      <c r="H734" s="7"/>
      <c r="I734" s="7"/>
      <c r="J734" s="7"/>
      <c r="K734" s="7"/>
      <c r="L734" s="7"/>
      <c r="M734" s="7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9"/>
    </row>
    <row r="735">
      <c r="A735" s="10">
        <v>2.2101414E7</v>
      </c>
      <c r="B735" s="10" t="s">
        <v>1499</v>
      </c>
      <c r="C735" s="13" t="s">
        <v>853</v>
      </c>
      <c r="D735" s="13" t="s">
        <v>95</v>
      </c>
      <c r="E735" s="47"/>
      <c r="F735" s="13" t="s">
        <v>1500</v>
      </c>
      <c r="G735" s="12"/>
      <c r="H735" s="12"/>
      <c r="I735" s="12"/>
      <c r="J735" s="12"/>
      <c r="K735" s="12"/>
      <c r="L735" s="12"/>
      <c r="M735" s="12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9"/>
    </row>
    <row r="736">
      <c r="A736" s="5">
        <v>2.2101368E7</v>
      </c>
      <c r="B736" s="5" t="s">
        <v>1501</v>
      </c>
      <c r="C736" s="14" t="s">
        <v>853</v>
      </c>
      <c r="D736" s="14" t="s">
        <v>95</v>
      </c>
      <c r="E736" s="48"/>
      <c r="F736" s="14" t="s">
        <v>1502</v>
      </c>
      <c r="G736" s="7"/>
      <c r="H736" s="7"/>
      <c r="I736" s="7"/>
      <c r="J736" s="7"/>
      <c r="K736" s="7"/>
      <c r="L736" s="7"/>
      <c r="M736" s="7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9"/>
    </row>
    <row r="737">
      <c r="A737" s="10">
        <v>2.2101364E7</v>
      </c>
      <c r="B737" s="10" t="s">
        <v>1503</v>
      </c>
      <c r="C737" s="13" t="s">
        <v>853</v>
      </c>
      <c r="D737" s="13" t="s">
        <v>95</v>
      </c>
      <c r="E737" s="47"/>
      <c r="F737" s="13" t="s">
        <v>1504</v>
      </c>
      <c r="G737" s="12"/>
      <c r="H737" s="12"/>
      <c r="I737" s="12"/>
      <c r="J737" s="12"/>
      <c r="K737" s="12"/>
      <c r="L737" s="12"/>
      <c r="M737" s="12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9"/>
    </row>
    <row r="738">
      <c r="A738" s="5">
        <v>2.2101353E7</v>
      </c>
      <c r="B738" s="5" t="s">
        <v>1505</v>
      </c>
      <c r="C738" s="14" t="s">
        <v>853</v>
      </c>
      <c r="D738" s="14" t="s">
        <v>95</v>
      </c>
      <c r="E738" s="48"/>
      <c r="F738" s="14" t="s">
        <v>1506</v>
      </c>
      <c r="G738" s="7"/>
      <c r="H738" s="7"/>
      <c r="I738" s="7"/>
      <c r="J738" s="7"/>
      <c r="K738" s="7"/>
      <c r="L738" s="7"/>
      <c r="M738" s="7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9"/>
    </row>
    <row r="739">
      <c r="A739" s="10">
        <v>2.2101352E7</v>
      </c>
      <c r="B739" s="10" t="s">
        <v>1507</v>
      </c>
      <c r="C739" s="13" t="s">
        <v>853</v>
      </c>
      <c r="D739" s="13" t="s">
        <v>95</v>
      </c>
      <c r="E739" s="47"/>
      <c r="F739" s="13" t="s">
        <v>1508</v>
      </c>
      <c r="G739" s="12"/>
      <c r="H739" s="12"/>
      <c r="I739" s="12"/>
      <c r="J739" s="12"/>
      <c r="K739" s="12"/>
      <c r="L739" s="12"/>
      <c r="M739" s="12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9"/>
    </row>
    <row r="740">
      <c r="A740" s="5">
        <v>2.2101348E7</v>
      </c>
      <c r="B740" s="5" t="s">
        <v>1509</v>
      </c>
      <c r="C740" s="14" t="s">
        <v>853</v>
      </c>
      <c r="D740" s="14" t="s">
        <v>95</v>
      </c>
      <c r="E740" s="48"/>
      <c r="F740" s="14" t="s">
        <v>1510</v>
      </c>
      <c r="G740" s="7"/>
      <c r="H740" s="7"/>
      <c r="I740" s="7"/>
      <c r="J740" s="7"/>
      <c r="K740" s="7"/>
      <c r="L740" s="7"/>
      <c r="M740" s="7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9"/>
    </row>
    <row r="741">
      <c r="A741" s="10">
        <v>2.2101347E7</v>
      </c>
      <c r="B741" s="10" t="s">
        <v>1511</v>
      </c>
      <c r="C741" s="13" t="s">
        <v>853</v>
      </c>
      <c r="D741" s="13" t="s">
        <v>95</v>
      </c>
      <c r="E741" s="47"/>
      <c r="F741" s="13" t="s">
        <v>1512</v>
      </c>
      <c r="G741" s="12"/>
      <c r="H741" s="12"/>
      <c r="I741" s="12"/>
      <c r="J741" s="12"/>
      <c r="K741" s="12"/>
      <c r="L741" s="12"/>
      <c r="M741" s="12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9"/>
    </row>
    <row r="742">
      <c r="A742" s="5">
        <v>2.2101328E7</v>
      </c>
      <c r="B742" s="5" t="s">
        <v>1513</v>
      </c>
      <c r="C742" s="14" t="s">
        <v>853</v>
      </c>
      <c r="D742" s="14" t="s">
        <v>95</v>
      </c>
      <c r="E742" s="48"/>
      <c r="F742" s="14" t="s">
        <v>1514</v>
      </c>
      <c r="G742" s="7"/>
      <c r="H742" s="7"/>
      <c r="I742" s="7"/>
      <c r="J742" s="7"/>
      <c r="K742" s="7"/>
      <c r="L742" s="7"/>
      <c r="M742" s="7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9"/>
    </row>
    <row r="743">
      <c r="A743" s="10">
        <v>2.2101307E7</v>
      </c>
      <c r="B743" s="10" t="s">
        <v>1515</v>
      </c>
      <c r="C743" s="13" t="s">
        <v>853</v>
      </c>
      <c r="D743" s="13" t="s">
        <v>95</v>
      </c>
      <c r="E743" s="47"/>
      <c r="F743" s="13" t="s">
        <v>1516</v>
      </c>
      <c r="G743" s="12"/>
      <c r="H743" s="12"/>
      <c r="I743" s="12"/>
      <c r="J743" s="12"/>
      <c r="K743" s="12"/>
      <c r="L743" s="12"/>
      <c r="M743" s="12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9"/>
    </row>
    <row r="744">
      <c r="A744" s="5">
        <v>2.2101295E7</v>
      </c>
      <c r="B744" s="5" t="s">
        <v>1517</v>
      </c>
      <c r="C744" s="14" t="s">
        <v>853</v>
      </c>
      <c r="D744" s="14" t="s">
        <v>95</v>
      </c>
      <c r="E744" s="48"/>
      <c r="F744" s="14" t="s">
        <v>1518</v>
      </c>
      <c r="G744" s="7"/>
      <c r="H744" s="7"/>
      <c r="I744" s="7"/>
      <c r="J744" s="7"/>
      <c r="K744" s="7"/>
      <c r="L744" s="7"/>
      <c r="M744" s="7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9"/>
    </row>
    <row r="745">
      <c r="A745" s="10">
        <v>2.2101253E7</v>
      </c>
      <c r="B745" s="10" t="s">
        <v>1519</v>
      </c>
      <c r="C745" s="13" t="s">
        <v>853</v>
      </c>
      <c r="D745" s="13" t="s">
        <v>95</v>
      </c>
      <c r="E745" s="47"/>
      <c r="F745" s="13" t="s">
        <v>1520</v>
      </c>
      <c r="G745" s="12"/>
      <c r="H745" s="12"/>
      <c r="I745" s="12"/>
      <c r="J745" s="12"/>
      <c r="K745" s="12"/>
      <c r="L745" s="12"/>
      <c r="M745" s="12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9"/>
    </row>
    <row r="746">
      <c r="A746" s="5">
        <v>2.2101252E7</v>
      </c>
      <c r="B746" s="5" t="s">
        <v>1521</v>
      </c>
      <c r="C746" s="14" t="s">
        <v>853</v>
      </c>
      <c r="D746" s="14" t="s">
        <v>95</v>
      </c>
      <c r="E746" s="48"/>
      <c r="F746" s="14" t="s">
        <v>1522</v>
      </c>
      <c r="G746" s="7"/>
      <c r="H746" s="7"/>
      <c r="I746" s="7"/>
      <c r="J746" s="7"/>
      <c r="K746" s="7"/>
      <c r="L746" s="7"/>
      <c r="M746" s="7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9"/>
    </row>
    <row r="747">
      <c r="A747" s="10">
        <v>2.2101241E7</v>
      </c>
      <c r="B747" s="10" t="s">
        <v>1523</v>
      </c>
      <c r="C747" s="13" t="s">
        <v>853</v>
      </c>
      <c r="D747" s="13" t="s">
        <v>95</v>
      </c>
      <c r="E747" s="47"/>
      <c r="F747" s="13" t="s">
        <v>1524</v>
      </c>
      <c r="G747" s="12"/>
      <c r="H747" s="12"/>
      <c r="I747" s="12"/>
      <c r="J747" s="12"/>
      <c r="K747" s="12"/>
      <c r="L747" s="12"/>
      <c r="M747" s="12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9"/>
    </row>
    <row r="748">
      <c r="A748" s="5">
        <v>2.2101234E7</v>
      </c>
      <c r="B748" s="5" t="s">
        <v>1525</v>
      </c>
      <c r="C748" s="14" t="s">
        <v>853</v>
      </c>
      <c r="D748" s="14" t="s">
        <v>95</v>
      </c>
      <c r="E748" s="48"/>
      <c r="F748" s="14" t="s">
        <v>1526</v>
      </c>
      <c r="G748" s="7"/>
      <c r="H748" s="7"/>
      <c r="I748" s="7"/>
      <c r="J748" s="7"/>
      <c r="K748" s="7"/>
      <c r="L748" s="7"/>
      <c r="M748" s="7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9"/>
    </row>
    <row r="749">
      <c r="A749" s="10">
        <v>2.2101231E7</v>
      </c>
      <c r="B749" s="10" t="s">
        <v>1527</v>
      </c>
      <c r="C749" s="13" t="s">
        <v>853</v>
      </c>
      <c r="D749" s="13" t="s">
        <v>95</v>
      </c>
      <c r="E749" s="47"/>
      <c r="F749" s="13" t="s">
        <v>1528</v>
      </c>
      <c r="G749" s="12"/>
      <c r="H749" s="12"/>
      <c r="I749" s="12"/>
      <c r="J749" s="12"/>
      <c r="K749" s="12"/>
      <c r="L749" s="12"/>
      <c r="M749" s="12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9"/>
    </row>
    <row r="750">
      <c r="A750" s="5">
        <v>2.2101228E7</v>
      </c>
      <c r="B750" s="5" t="s">
        <v>1529</v>
      </c>
      <c r="C750" s="14" t="s">
        <v>853</v>
      </c>
      <c r="D750" s="14" t="s">
        <v>95</v>
      </c>
      <c r="E750" s="48"/>
      <c r="F750" s="14" t="s">
        <v>1530</v>
      </c>
      <c r="G750" s="7"/>
      <c r="H750" s="7"/>
      <c r="I750" s="7"/>
      <c r="J750" s="7"/>
      <c r="K750" s="7"/>
      <c r="L750" s="7"/>
      <c r="M750" s="7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9"/>
    </row>
    <row r="751">
      <c r="A751" s="10">
        <v>2.2101227E7</v>
      </c>
      <c r="B751" s="10" t="s">
        <v>1531</v>
      </c>
      <c r="C751" s="13" t="s">
        <v>853</v>
      </c>
      <c r="D751" s="13" t="s">
        <v>95</v>
      </c>
      <c r="E751" s="47"/>
      <c r="F751" s="13" t="s">
        <v>1532</v>
      </c>
      <c r="G751" s="12"/>
      <c r="H751" s="12"/>
      <c r="I751" s="12"/>
      <c r="J751" s="12"/>
      <c r="K751" s="12"/>
      <c r="L751" s="12"/>
      <c r="M751" s="12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9"/>
    </row>
    <row r="752">
      <c r="A752" s="5">
        <v>2.2101225E7</v>
      </c>
      <c r="B752" s="5" t="s">
        <v>1533</v>
      </c>
      <c r="C752" s="14" t="s">
        <v>853</v>
      </c>
      <c r="D752" s="14" t="s">
        <v>95</v>
      </c>
      <c r="E752" s="48"/>
      <c r="F752" s="14" t="s">
        <v>1534</v>
      </c>
      <c r="G752" s="7"/>
      <c r="H752" s="7"/>
      <c r="I752" s="7"/>
      <c r="J752" s="7"/>
      <c r="K752" s="7"/>
      <c r="L752" s="7"/>
      <c r="M752" s="7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9"/>
    </row>
    <row r="753">
      <c r="A753" s="10">
        <v>2.2101217E7</v>
      </c>
      <c r="B753" s="10" t="s">
        <v>1535</v>
      </c>
      <c r="C753" s="13" t="s">
        <v>853</v>
      </c>
      <c r="D753" s="13" t="s">
        <v>95</v>
      </c>
      <c r="E753" s="47"/>
      <c r="F753" s="13" t="s">
        <v>1536</v>
      </c>
      <c r="G753" s="12"/>
      <c r="H753" s="12"/>
      <c r="I753" s="12"/>
      <c r="J753" s="12"/>
      <c r="K753" s="12"/>
      <c r="L753" s="12"/>
      <c r="M753" s="12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9"/>
    </row>
    <row r="754">
      <c r="A754" s="5">
        <v>2.2101214E7</v>
      </c>
      <c r="B754" s="5" t="s">
        <v>1537</v>
      </c>
      <c r="C754" s="14" t="s">
        <v>853</v>
      </c>
      <c r="D754" s="14" t="s">
        <v>95</v>
      </c>
      <c r="E754" s="48"/>
      <c r="F754" s="14" t="s">
        <v>1538</v>
      </c>
      <c r="G754" s="7"/>
      <c r="H754" s="7"/>
      <c r="I754" s="7"/>
      <c r="J754" s="7"/>
      <c r="K754" s="7"/>
      <c r="L754" s="7"/>
      <c r="M754" s="7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9"/>
    </row>
    <row r="755">
      <c r="A755" s="10">
        <v>2.2101213E7</v>
      </c>
      <c r="B755" s="10" t="s">
        <v>1539</v>
      </c>
      <c r="C755" s="13" t="s">
        <v>853</v>
      </c>
      <c r="D755" s="13" t="s">
        <v>95</v>
      </c>
      <c r="E755" s="47"/>
      <c r="F755" s="13" t="s">
        <v>1540</v>
      </c>
      <c r="G755" s="12"/>
      <c r="H755" s="12"/>
      <c r="I755" s="12"/>
      <c r="J755" s="12"/>
      <c r="K755" s="12"/>
      <c r="L755" s="12"/>
      <c r="M755" s="12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9"/>
    </row>
    <row r="756">
      <c r="A756" s="5">
        <v>2.2101197E7</v>
      </c>
      <c r="B756" s="5" t="s">
        <v>1541</v>
      </c>
      <c r="C756" s="14" t="s">
        <v>853</v>
      </c>
      <c r="D756" s="14" t="s">
        <v>95</v>
      </c>
      <c r="E756" s="48"/>
      <c r="F756" s="14" t="s">
        <v>1542</v>
      </c>
      <c r="G756" s="7"/>
      <c r="H756" s="7"/>
      <c r="I756" s="7"/>
      <c r="J756" s="7"/>
      <c r="K756" s="7"/>
      <c r="L756" s="7"/>
      <c r="M756" s="7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9"/>
    </row>
    <row r="757">
      <c r="A757" s="10">
        <v>2.2101159E7</v>
      </c>
      <c r="B757" s="10" t="s">
        <v>1543</v>
      </c>
      <c r="C757" s="13" t="s">
        <v>853</v>
      </c>
      <c r="D757" s="13" t="s">
        <v>95</v>
      </c>
      <c r="E757" s="47"/>
      <c r="F757" s="13" t="s">
        <v>1544</v>
      </c>
      <c r="G757" s="12"/>
      <c r="H757" s="12"/>
      <c r="I757" s="12"/>
      <c r="J757" s="12"/>
      <c r="K757" s="12"/>
      <c r="L757" s="12"/>
      <c r="M757" s="12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9"/>
    </row>
    <row r="758">
      <c r="A758" s="5">
        <v>2.2101147E7</v>
      </c>
      <c r="B758" s="5" t="s">
        <v>1545</v>
      </c>
      <c r="C758" s="14" t="s">
        <v>853</v>
      </c>
      <c r="D758" s="14" t="s">
        <v>95</v>
      </c>
      <c r="E758" s="48"/>
      <c r="F758" s="14" t="s">
        <v>1546</v>
      </c>
      <c r="G758" s="7"/>
      <c r="H758" s="7"/>
      <c r="I758" s="7"/>
      <c r="J758" s="7"/>
      <c r="K758" s="7"/>
      <c r="L758" s="7"/>
      <c r="M758" s="7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9"/>
    </row>
    <row r="759">
      <c r="A759" s="10">
        <v>2.2101141E7</v>
      </c>
      <c r="B759" s="10" t="s">
        <v>1547</v>
      </c>
      <c r="C759" s="13" t="s">
        <v>853</v>
      </c>
      <c r="D759" s="13" t="s">
        <v>95</v>
      </c>
      <c r="E759" s="47"/>
      <c r="F759" s="13" t="s">
        <v>1548</v>
      </c>
      <c r="G759" s="12"/>
      <c r="H759" s="12"/>
      <c r="I759" s="12"/>
      <c r="J759" s="12"/>
      <c r="K759" s="12"/>
      <c r="L759" s="12"/>
      <c r="M759" s="12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9"/>
    </row>
    <row r="760">
      <c r="A760" s="5">
        <v>2.2101135E7</v>
      </c>
      <c r="B760" s="5" t="s">
        <v>1549</v>
      </c>
      <c r="C760" s="14" t="s">
        <v>853</v>
      </c>
      <c r="D760" s="14" t="s">
        <v>95</v>
      </c>
      <c r="E760" s="48"/>
      <c r="F760" s="14" t="s">
        <v>1550</v>
      </c>
      <c r="G760" s="7"/>
      <c r="H760" s="7"/>
      <c r="I760" s="7"/>
      <c r="J760" s="7"/>
      <c r="K760" s="7"/>
      <c r="L760" s="7"/>
      <c r="M760" s="7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9"/>
    </row>
    <row r="761">
      <c r="A761" s="10">
        <v>2.2101117E7</v>
      </c>
      <c r="B761" s="10" t="s">
        <v>1551</v>
      </c>
      <c r="C761" s="13" t="s">
        <v>853</v>
      </c>
      <c r="D761" s="13" t="s">
        <v>95</v>
      </c>
      <c r="E761" s="47"/>
      <c r="F761" s="13" t="s">
        <v>1552</v>
      </c>
      <c r="G761" s="12"/>
      <c r="H761" s="12"/>
      <c r="I761" s="12"/>
      <c r="J761" s="12"/>
      <c r="K761" s="12"/>
      <c r="L761" s="12"/>
      <c r="M761" s="12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9"/>
    </row>
    <row r="762">
      <c r="A762" s="5">
        <v>2.2101116E7</v>
      </c>
      <c r="B762" s="5" t="s">
        <v>1553</v>
      </c>
      <c r="C762" s="14" t="s">
        <v>853</v>
      </c>
      <c r="D762" s="14" t="s">
        <v>95</v>
      </c>
      <c r="E762" s="48"/>
      <c r="F762" s="14" t="s">
        <v>1554</v>
      </c>
      <c r="G762" s="7"/>
      <c r="H762" s="7"/>
      <c r="I762" s="7"/>
      <c r="J762" s="7"/>
      <c r="K762" s="7"/>
      <c r="L762" s="7"/>
      <c r="M762" s="7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9"/>
    </row>
    <row r="763">
      <c r="A763" s="10">
        <v>2.2101115E7</v>
      </c>
      <c r="B763" s="10" t="s">
        <v>1555</v>
      </c>
      <c r="C763" s="13" t="s">
        <v>853</v>
      </c>
      <c r="D763" s="13" t="s">
        <v>95</v>
      </c>
      <c r="E763" s="47"/>
      <c r="F763" s="13" t="s">
        <v>1556</v>
      </c>
      <c r="G763" s="12"/>
      <c r="H763" s="12"/>
      <c r="I763" s="12"/>
      <c r="J763" s="12"/>
      <c r="K763" s="12"/>
      <c r="L763" s="12"/>
      <c r="M763" s="12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9"/>
    </row>
    <row r="764">
      <c r="A764" s="5">
        <v>2.2101095E7</v>
      </c>
      <c r="B764" s="5" t="s">
        <v>1557</v>
      </c>
      <c r="C764" s="14" t="s">
        <v>853</v>
      </c>
      <c r="D764" s="14" t="s">
        <v>95</v>
      </c>
      <c r="E764" s="48"/>
      <c r="F764" s="14" t="s">
        <v>1558</v>
      </c>
      <c r="G764" s="7"/>
      <c r="H764" s="7"/>
      <c r="I764" s="7"/>
      <c r="J764" s="7"/>
      <c r="K764" s="7"/>
      <c r="L764" s="7"/>
      <c r="M764" s="7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9"/>
    </row>
    <row r="765">
      <c r="A765" s="10">
        <v>2.210109E7</v>
      </c>
      <c r="B765" s="10" t="s">
        <v>1559</v>
      </c>
      <c r="C765" s="13" t="s">
        <v>853</v>
      </c>
      <c r="D765" s="13" t="s">
        <v>95</v>
      </c>
      <c r="E765" s="47"/>
      <c r="F765" s="13" t="s">
        <v>1560</v>
      </c>
      <c r="G765" s="12"/>
      <c r="H765" s="12"/>
      <c r="I765" s="12"/>
      <c r="J765" s="12"/>
      <c r="K765" s="12"/>
      <c r="L765" s="12"/>
      <c r="M765" s="12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9"/>
    </row>
    <row r="766">
      <c r="A766" s="5">
        <v>2.2101078E7</v>
      </c>
      <c r="B766" s="5" t="s">
        <v>1561</v>
      </c>
      <c r="C766" s="14" t="s">
        <v>853</v>
      </c>
      <c r="D766" s="14" t="s">
        <v>95</v>
      </c>
      <c r="E766" s="48"/>
      <c r="F766" s="14" t="s">
        <v>1562</v>
      </c>
      <c r="G766" s="7"/>
      <c r="H766" s="7"/>
      <c r="I766" s="7"/>
      <c r="J766" s="7"/>
      <c r="K766" s="7"/>
      <c r="L766" s="7"/>
      <c r="M766" s="7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9"/>
    </row>
    <row r="767">
      <c r="A767" s="10">
        <v>2.210107E7</v>
      </c>
      <c r="B767" s="10" t="s">
        <v>1563</v>
      </c>
      <c r="C767" s="13" t="s">
        <v>853</v>
      </c>
      <c r="D767" s="13" t="s">
        <v>95</v>
      </c>
      <c r="E767" s="47"/>
      <c r="F767" s="13" t="s">
        <v>1564</v>
      </c>
      <c r="G767" s="12"/>
      <c r="H767" s="12"/>
      <c r="I767" s="12"/>
      <c r="J767" s="12"/>
      <c r="K767" s="12"/>
      <c r="L767" s="12"/>
      <c r="M767" s="12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9"/>
    </row>
    <row r="768">
      <c r="A768" s="5">
        <v>2.2101057E7</v>
      </c>
      <c r="B768" s="5" t="s">
        <v>1565</v>
      </c>
      <c r="C768" s="14" t="s">
        <v>853</v>
      </c>
      <c r="D768" s="14" t="s">
        <v>95</v>
      </c>
      <c r="E768" s="48"/>
      <c r="F768" s="14" t="s">
        <v>1566</v>
      </c>
      <c r="G768" s="7"/>
      <c r="H768" s="7"/>
      <c r="I768" s="7"/>
      <c r="J768" s="7"/>
      <c r="K768" s="7"/>
      <c r="L768" s="7"/>
      <c r="M768" s="7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9"/>
    </row>
    <row r="769">
      <c r="A769" s="10">
        <v>2.2101048E7</v>
      </c>
      <c r="B769" s="10" t="s">
        <v>1567</v>
      </c>
      <c r="C769" s="13" t="s">
        <v>853</v>
      </c>
      <c r="D769" s="13" t="s">
        <v>95</v>
      </c>
      <c r="E769" s="47"/>
      <c r="F769" s="13" t="s">
        <v>1568</v>
      </c>
      <c r="G769" s="12"/>
      <c r="H769" s="12"/>
      <c r="I769" s="12"/>
      <c r="J769" s="12"/>
      <c r="K769" s="12"/>
      <c r="L769" s="12"/>
      <c r="M769" s="12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9"/>
    </row>
    <row r="770">
      <c r="A770" s="5">
        <v>2.2101032E7</v>
      </c>
      <c r="B770" s="5" t="s">
        <v>1569</v>
      </c>
      <c r="C770" s="14" t="s">
        <v>853</v>
      </c>
      <c r="D770" s="14" t="s">
        <v>95</v>
      </c>
      <c r="E770" s="48"/>
      <c r="F770" s="14" t="s">
        <v>1570</v>
      </c>
      <c r="G770" s="7"/>
      <c r="H770" s="7"/>
      <c r="I770" s="7"/>
      <c r="J770" s="7"/>
      <c r="K770" s="7"/>
      <c r="L770" s="7"/>
      <c r="M770" s="7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9"/>
    </row>
    <row r="771">
      <c r="A771" s="10">
        <v>2.2101025E7</v>
      </c>
      <c r="B771" s="10" t="s">
        <v>1571</v>
      </c>
      <c r="C771" s="13" t="s">
        <v>853</v>
      </c>
      <c r="D771" s="13" t="s">
        <v>95</v>
      </c>
      <c r="E771" s="47"/>
      <c r="F771" s="13" t="s">
        <v>1572</v>
      </c>
      <c r="G771" s="12"/>
      <c r="H771" s="12"/>
      <c r="I771" s="12"/>
      <c r="J771" s="12"/>
      <c r="K771" s="12"/>
      <c r="L771" s="12"/>
      <c r="M771" s="12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9"/>
    </row>
    <row r="772">
      <c r="A772" s="5">
        <v>2.2101006E7</v>
      </c>
      <c r="B772" s="5" t="s">
        <v>1573</v>
      </c>
      <c r="C772" s="14" t="s">
        <v>853</v>
      </c>
      <c r="D772" s="14" t="s">
        <v>95</v>
      </c>
      <c r="E772" s="48"/>
      <c r="F772" s="14" t="s">
        <v>1574</v>
      </c>
      <c r="G772" s="7"/>
      <c r="H772" s="7"/>
      <c r="I772" s="7"/>
      <c r="J772" s="7"/>
      <c r="K772" s="7"/>
      <c r="L772" s="7"/>
      <c r="M772" s="7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9"/>
    </row>
    <row r="773">
      <c r="A773" s="10">
        <v>2.3101107E7</v>
      </c>
      <c r="B773" s="10" t="s">
        <v>1575</v>
      </c>
      <c r="C773" s="13" t="s">
        <v>853</v>
      </c>
      <c r="D773" s="13" t="s">
        <v>95</v>
      </c>
      <c r="E773" s="47"/>
      <c r="F773" s="13" t="s">
        <v>1576</v>
      </c>
      <c r="G773" s="12"/>
      <c r="H773" s="12"/>
      <c r="I773" s="12"/>
      <c r="J773" s="12"/>
      <c r="K773" s="12"/>
      <c r="L773" s="12"/>
      <c r="M773" s="12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9"/>
    </row>
    <row r="774">
      <c r="A774" s="5">
        <v>2.320139E7</v>
      </c>
      <c r="B774" s="5" t="s">
        <v>1577</v>
      </c>
      <c r="C774" s="14" t="s">
        <v>853</v>
      </c>
      <c r="D774" s="14" t="s">
        <v>95</v>
      </c>
      <c r="E774" s="48"/>
      <c r="F774" s="14" t="s">
        <v>1578</v>
      </c>
      <c r="G774" s="7"/>
      <c r="H774" s="7"/>
      <c r="I774" s="7"/>
      <c r="J774" s="7"/>
      <c r="K774" s="7"/>
      <c r="L774" s="7"/>
      <c r="M774" s="7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9"/>
    </row>
    <row r="775">
      <c r="A775" s="10">
        <v>2.3101001E7</v>
      </c>
      <c r="B775" s="10" t="s">
        <v>1579</v>
      </c>
      <c r="C775" s="13" t="s">
        <v>853</v>
      </c>
      <c r="D775" s="13" t="s">
        <v>95</v>
      </c>
      <c r="E775" s="47"/>
      <c r="F775" s="13" t="s">
        <v>1580</v>
      </c>
      <c r="G775" s="12"/>
      <c r="H775" s="12"/>
      <c r="I775" s="12"/>
      <c r="J775" s="12"/>
      <c r="K775" s="12"/>
      <c r="L775" s="12"/>
      <c r="M775" s="12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9"/>
    </row>
    <row r="776">
      <c r="A776" s="5">
        <v>2.4101112E7</v>
      </c>
      <c r="B776" s="5" t="s">
        <v>1581</v>
      </c>
      <c r="C776" s="14" t="s">
        <v>853</v>
      </c>
      <c r="D776" s="14" t="s">
        <v>95</v>
      </c>
      <c r="E776" s="48"/>
      <c r="F776" s="14" t="s">
        <v>1582</v>
      </c>
      <c r="G776" s="7"/>
      <c r="H776" s="7"/>
      <c r="I776" s="7"/>
      <c r="J776" s="7"/>
      <c r="K776" s="7"/>
      <c r="L776" s="7"/>
      <c r="M776" s="7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9"/>
    </row>
    <row r="777">
      <c r="A777" s="10">
        <v>2.4101169E7</v>
      </c>
      <c r="B777" s="10" t="s">
        <v>1583</v>
      </c>
      <c r="C777" s="13" t="s">
        <v>853</v>
      </c>
      <c r="D777" s="13" t="s">
        <v>95</v>
      </c>
      <c r="E777" s="47"/>
      <c r="F777" s="13" t="s">
        <v>1584</v>
      </c>
      <c r="G777" s="12"/>
      <c r="H777" s="12"/>
      <c r="I777" s="12"/>
      <c r="J777" s="12"/>
      <c r="K777" s="12"/>
      <c r="L777" s="12"/>
      <c r="M777" s="12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9"/>
    </row>
    <row r="778">
      <c r="A778" s="5">
        <v>2.4101121E7</v>
      </c>
      <c r="B778" s="5" t="s">
        <v>1585</v>
      </c>
      <c r="C778" s="14" t="s">
        <v>853</v>
      </c>
      <c r="D778" s="14" t="s">
        <v>95</v>
      </c>
      <c r="E778" s="48"/>
      <c r="F778" s="14" t="s">
        <v>1586</v>
      </c>
      <c r="G778" s="7"/>
      <c r="H778" s="7"/>
      <c r="I778" s="7"/>
      <c r="J778" s="7"/>
      <c r="K778" s="7"/>
      <c r="L778" s="7"/>
      <c r="M778" s="7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9"/>
    </row>
    <row r="779">
      <c r="A779" s="10">
        <v>2.4101386E7</v>
      </c>
      <c r="B779" s="10" t="s">
        <v>1587</v>
      </c>
      <c r="C779" s="13" t="s">
        <v>853</v>
      </c>
      <c r="D779" s="13" t="s">
        <v>95</v>
      </c>
      <c r="E779" s="47"/>
      <c r="F779" s="13" t="s">
        <v>1588</v>
      </c>
      <c r="G779" s="12"/>
      <c r="H779" s="12"/>
      <c r="I779" s="12"/>
      <c r="J779" s="12"/>
      <c r="K779" s="12"/>
      <c r="L779" s="12"/>
      <c r="M779" s="12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9"/>
    </row>
    <row r="780">
      <c r="A780" s="5">
        <v>2.4101589E7</v>
      </c>
      <c r="B780" s="5" t="s">
        <v>1589</v>
      </c>
      <c r="C780" s="14" t="s">
        <v>853</v>
      </c>
      <c r="D780" s="14" t="s">
        <v>95</v>
      </c>
      <c r="E780" s="48"/>
      <c r="F780" s="14" t="s">
        <v>1590</v>
      </c>
      <c r="G780" s="7"/>
      <c r="H780" s="7"/>
      <c r="I780" s="7"/>
      <c r="J780" s="7"/>
      <c r="K780" s="7"/>
      <c r="L780" s="7"/>
      <c r="M780" s="7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9"/>
    </row>
    <row r="781">
      <c r="A781" s="10">
        <v>2.4126012E7</v>
      </c>
      <c r="B781" s="10" t="s">
        <v>1591</v>
      </c>
      <c r="C781" s="13" t="s">
        <v>853</v>
      </c>
      <c r="D781" s="13" t="s">
        <v>95</v>
      </c>
      <c r="E781" s="47"/>
      <c r="F781" s="13" t="s">
        <v>1592</v>
      </c>
      <c r="G781" s="12"/>
      <c r="H781" s="12"/>
      <c r="I781" s="12"/>
      <c r="J781" s="12"/>
      <c r="K781" s="12"/>
      <c r="L781" s="12"/>
      <c r="M781" s="12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9"/>
    </row>
    <row r="782">
      <c r="A782" s="5">
        <v>2.3101279E7</v>
      </c>
      <c r="B782" s="5" t="s">
        <v>1593</v>
      </c>
      <c r="C782" s="14" t="s">
        <v>853</v>
      </c>
      <c r="D782" s="14" t="s">
        <v>95</v>
      </c>
      <c r="E782" s="48"/>
      <c r="F782" s="14" t="s">
        <v>1594</v>
      </c>
      <c r="G782" s="7"/>
      <c r="H782" s="7"/>
      <c r="I782" s="7"/>
      <c r="J782" s="7"/>
      <c r="K782" s="7"/>
      <c r="L782" s="7"/>
      <c r="M782" s="7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9"/>
    </row>
    <row r="783">
      <c r="A783" s="10">
        <v>2.3201208E7</v>
      </c>
      <c r="B783" s="10" t="s">
        <v>1595</v>
      </c>
      <c r="C783" s="13" t="s">
        <v>853</v>
      </c>
      <c r="D783" s="13" t="s">
        <v>95</v>
      </c>
      <c r="E783" s="47"/>
      <c r="F783" s="13" t="s">
        <v>1596</v>
      </c>
      <c r="G783" s="12"/>
      <c r="H783" s="12"/>
      <c r="I783" s="12"/>
      <c r="J783" s="12"/>
      <c r="K783" s="12"/>
      <c r="L783" s="12"/>
      <c r="M783" s="12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9"/>
    </row>
    <row r="784">
      <c r="A784" s="5">
        <v>2.4101663E7</v>
      </c>
      <c r="B784" s="5" t="s">
        <v>1597</v>
      </c>
      <c r="C784" s="14" t="s">
        <v>853</v>
      </c>
      <c r="D784" s="14" t="s">
        <v>95</v>
      </c>
      <c r="E784" s="48"/>
      <c r="F784" s="14" t="s">
        <v>1598</v>
      </c>
      <c r="G784" s="7"/>
      <c r="H784" s="7"/>
      <c r="I784" s="7"/>
      <c r="J784" s="7"/>
      <c r="K784" s="7"/>
      <c r="L784" s="7"/>
      <c r="M784" s="7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9"/>
    </row>
    <row r="785">
      <c r="A785" s="10">
        <v>2.4101114E7</v>
      </c>
      <c r="B785" s="10" t="s">
        <v>1599</v>
      </c>
      <c r="C785" s="13" t="s">
        <v>853</v>
      </c>
      <c r="D785" s="13" t="s">
        <v>95</v>
      </c>
      <c r="E785" s="47"/>
      <c r="F785" s="13" t="s">
        <v>1600</v>
      </c>
      <c r="G785" s="12"/>
      <c r="H785" s="12"/>
      <c r="I785" s="12"/>
      <c r="J785" s="12"/>
      <c r="K785" s="12"/>
      <c r="L785" s="12"/>
      <c r="M785" s="12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9"/>
    </row>
    <row r="786">
      <c r="A786" s="5">
        <v>2.4101622E7</v>
      </c>
      <c r="B786" s="5" t="s">
        <v>1601</v>
      </c>
      <c r="C786" s="14" t="s">
        <v>853</v>
      </c>
      <c r="D786" s="14" t="s">
        <v>95</v>
      </c>
      <c r="E786" s="48"/>
      <c r="F786" s="14" t="s">
        <v>1602</v>
      </c>
      <c r="G786" s="7"/>
      <c r="H786" s="7"/>
      <c r="I786" s="7"/>
      <c r="J786" s="7"/>
      <c r="K786" s="7"/>
      <c r="L786" s="7"/>
      <c r="M786" s="7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9"/>
    </row>
    <row r="787">
      <c r="A787" s="10">
        <v>2.4101444E7</v>
      </c>
      <c r="B787" s="10" t="s">
        <v>1603</v>
      </c>
      <c r="C787" s="13" t="s">
        <v>853</v>
      </c>
      <c r="D787" s="13" t="s">
        <v>95</v>
      </c>
      <c r="E787" s="47"/>
      <c r="F787" s="13" t="s">
        <v>1604</v>
      </c>
      <c r="G787" s="12"/>
      <c r="H787" s="12"/>
      <c r="I787" s="12"/>
      <c r="J787" s="12"/>
      <c r="K787" s="12"/>
      <c r="L787" s="12"/>
      <c r="M787" s="12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9"/>
    </row>
    <row r="788">
      <c r="A788" s="5">
        <v>2.4101392E7</v>
      </c>
      <c r="B788" s="5" t="s">
        <v>1605</v>
      </c>
      <c r="C788" s="14" t="s">
        <v>853</v>
      </c>
      <c r="D788" s="14" t="s">
        <v>95</v>
      </c>
      <c r="E788" s="48"/>
      <c r="F788" s="14" t="s">
        <v>1606</v>
      </c>
      <c r="G788" s="7"/>
      <c r="H788" s="7"/>
      <c r="I788" s="7"/>
      <c r="J788" s="7"/>
      <c r="K788" s="7"/>
      <c r="L788" s="7"/>
      <c r="M788" s="7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9"/>
    </row>
    <row r="789">
      <c r="A789" s="10">
        <v>2.3201169E7</v>
      </c>
      <c r="B789" s="10" t="s">
        <v>1607</v>
      </c>
      <c r="C789" s="13" t="s">
        <v>853</v>
      </c>
      <c r="D789" s="13" t="s">
        <v>95</v>
      </c>
      <c r="E789" s="47"/>
      <c r="F789" s="13" t="s">
        <v>1608</v>
      </c>
      <c r="G789" s="12"/>
      <c r="H789" s="12"/>
      <c r="I789" s="12"/>
      <c r="J789" s="12"/>
      <c r="K789" s="12"/>
      <c r="L789" s="12"/>
      <c r="M789" s="12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9"/>
    </row>
    <row r="790">
      <c r="A790" s="5">
        <v>2.3201402E7</v>
      </c>
      <c r="B790" s="5" t="s">
        <v>1609</v>
      </c>
      <c r="C790" s="14" t="s">
        <v>853</v>
      </c>
      <c r="D790" s="14" t="s">
        <v>95</v>
      </c>
      <c r="E790" s="48"/>
      <c r="F790" s="14" t="s">
        <v>1610</v>
      </c>
      <c r="G790" s="7"/>
      <c r="H790" s="7"/>
      <c r="I790" s="7"/>
      <c r="J790" s="7"/>
      <c r="K790" s="7"/>
      <c r="L790" s="7"/>
      <c r="M790" s="7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9"/>
    </row>
    <row r="791">
      <c r="A791" s="10">
        <v>2.2301385E7</v>
      </c>
      <c r="B791" s="10" t="s">
        <v>1611</v>
      </c>
      <c r="C791" s="13" t="s">
        <v>853</v>
      </c>
      <c r="D791" s="13" t="s">
        <v>95</v>
      </c>
      <c r="E791" s="47"/>
      <c r="F791" s="13" t="s">
        <v>1612</v>
      </c>
      <c r="G791" s="12"/>
      <c r="H791" s="12"/>
      <c r="I791" s="12"/>
      <c r="J791" s="12"/>
      <c r="K791" s="12"/>
      <c r="L791" s="12"/>
      <c r="M791" s="12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9"/>
    </row>
    <row r="792">
      <c r="A792" s="5">
        <v>2.4101592E7</v>
      </c>
      <c r="B792" s="5" t="s">
        <v>1613</v>
      </c>
      <c r="C792" s="14" t="s">
        <v>853</v>
      </c>
      <c r="D792" s="14" t="s">
        <v>95</v>
      </c>
      <c r="E792" s="48"/>
      <c r="F792" s="14" t="s">
        <v>1614</v>
      </c>
      <c r="G792" s="7"/>
      <c r="H792" s="7"/>
      <c r="I792" s="7"/>
      <c r="J792" s="7"/>
      <c r="K792" s="7"/>
      <c r="L792" s="7"/>
      <c r="M792" s="7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9"/>
    </row>
    <row r="793">
      <c r="A793" s="10">
        <v>2.410158E7</v>
      </c>
      <c r="B793" s="10" t="s">
        <v>1615</v>
      </c>
      <c r="C793" s="13" t="s">
        <v>853</v>
      </c>
      <c r="D793" s="13" t="s">
        <v>95</v>
      </c>
      <c r="E793" s="47"/>
      <c r="F793" s="13" t="s">
        <v>1616</v>
      </c>
      <c r="G793" s="12"/>
      <c r="H793" s="12"/>
      <c r="I793" s="12"/>
      <c r="J793" s="12"/>
      <c r="K793" s="12"/>
      <c r="L793" s="12"/>
      <c r="M793" s="12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9"/>
    </row>
    <row r="794">
      <c r="A794" s="5">
        <v>2.4101621E7</v>
      </c>
      <c r="B794" s="5" t="s">
        <v>1617</v>
      </c>
      <c r="C794" s="14" t="s">
        <v>853</v>
      </c>
      <c r="D794" s="14" t="s">
        <v>95</v>
      </c>
      <c r="E794" s="48"/>
      <c r="F794" s="14" t="s">
        <v>1618</v>
      </c>
      <c r="G794" s="7"/>
      <c r="H794" s="7"/>
      <c r="I794" s="7"/>
      <c r="J794" s="7"/>
      <c r="K794" s="7"/>
      <c r="L794" s="7"/>
      <c r="M794" s="7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9"/>
    </row>
    <row r="795">
      <c r="A795" s="10">
        <v>2.320129E7</v>
      </c>
      <c r="B795" s="10" t="s">
        <v>1619</v>
      </c>
      <c r="C795" s="13" t="s">
        <v>853</v>
      </c>
      <c r="D795" s="13" t="s">
        <v>95</v>
      </c>
      <c r="E795" s="47"/>
      <c r="F795" s="13" t="s">
        <v>1620</v>
      </c>
      <c r="G795" s="12"/>
      <c r="H795" s="12"/>
      <c r="I795" s="12"/>
      <c r="J795" s="12"/>
      <c r="K795" s="12"/>
      <c r="L795" s="12"/>
      <c r="M795" s="12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9"/>
    </row>
    <row r="796">
      <c r="A796" s="5">
        <v>2.4101529E7</v>
      </c>
      <c r="B796" s="5" t="s">
        <v>1621</v>
      </c>
      <c r="C796" s="14" t="s">
        <v>853</v>
      </c>
      <c r="D796" s="14" t="s">
        <v>95</v>
      </c>
      <c r="E796" s="48"/>
      <c r="F796" s="14" t="s">
        <v>1622</v>
      </c>
      <c r="G796" s="7"/>
      <c r="H796" s="7"/>
      <c r="I796" s="7"/>
      <c r="J796" s="7"/>
      <c r="K796" s="7"/>
      <c r="L796" s="7"/>
      <c r="M796" s="7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9"/>
    </row>
    <row r="797">
      <c r="A797" s="10">
        <v>2.4101507E7</v>
      </c>
      <c r="B797" s="10" t="s">
        <v>1623</v>
      </c>
      <c r="C797" s="13" t="s">
        <v>853</v>
      </c>
      <c r="D797" s="13" t="s">
        <v>95</v>
      </c>
      <c r="E797" s="47"/>
      <c r="F797" s="13" t="s">
        <v>1624</v>
      </c>
      <c r="G797" s="12"/>
      <c r="H797" s="12"/>
      <c r="I797" s="12"/>
      <c r="J797" s="12"/>
      <c r="K797" s="12"/>
      <c r="L797" s="12"/>
      <c r="M797" s="12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9"/>
    </row>
    <row r="798">
      <c r="A798" s="5">
        <v>2.2201446E7</v>
      </c>
      <c r="B798" s="5" t="s">
        <v>1625</v>
      </c>
      <c r="C798" s="14" t="s">
        <v>853</v>
      </c>
      <c r="D798" s="14" t="s">
        <v>95</v>
      </c>
      <c r="E798" s="48"/>
      <c r="F798" s="14" t="s">
        <v>1626</v>
      </c>
      <c r="G798" s="7"/>
      <c r="H798" s="7"/>
      <c r="I798" s="7"/>
      <c r="J798" s="7"/>
      <c r="K798" s="7"/>
      <c r="L798" s="7"/>
      <c r="M798" s="7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9"/>
    </row>
    <row r="799">
      <c r="A799" s="10">
        <v>2.410134E7</v>
      </c>
      <c r="B799" s="10" t="s">
        <v>1627</v>
      </c>
      <c r="C799" s="13" t="s">
        <v>853</v>
      </c>
      <c r="D799" s="13" t="s">
        <v>95</v>
      </c>
      <c r="E799" s="47"/>
      <c r="F799" s="13" t="s">
        <v>1628</v>
      </c>
      <c r="G799" s="12"/>
      <c r="H799" s="12"/>
      <c r="I799" s="12"/>
      <c r="J799" s="12"/>
      <c r="K799" s="12"/>
      <c r="L799" s="12"/>
      <c r="M799" s="12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9"/>
    </row>
    <row r="800">
      <c r="A800" s="5">
        <v>2.2101103E7</v>
      </c>
      <c r="B800" s="5" t="s">
        <v>1629</v>
      </c>
      <c r="C800" s="14" t="s">
        <v>853</v>
      </c>
      <c r="D800" s="14" t="s">
        <v>95</v>
      </c>
      <c r="E800" s="48"/>
      <c r="F800" s="14" t="s">
        <v>1630</v>
      </c>
      <c r="G800" s="7"/>
      <c r="H800" s="7"/>
      <c r="I800" s="7"/>
      <c r="J800" s="7"/>
      <c r="K800" s="7"/>
      <c r="L800" s="7"/>
      <c r="M800" s="7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9"/>
    </row>
    <row r="801">
      <c r="A801" s="10">
        <v>2.2101356E7</v>
      </c>
      <c r="B801" s="10" t="s">
        <v>1631</v>
      </c>
      <c r="C801" s="13" t="s">
        <v>853</v>
      </c>
      <c r="D801" s="13" t="s">
        <v>95</v>
      </c>
      <c r="E801" s="47"/>
      <c r="F801" s="13" t="s">
        <v>1632</v>
      </c>
      <c r="G801" s="12"/>
      <c r="H801" s="12"/>
      <c r="I801" s="12"/>
      <c r="J801" s="12"/>
      <c r="K801" s="12"/>
      <c r="L801" s="12"/>
      <c r="M801" s="12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9"/>
    </row>
    <row r="802">
      <c r="A802" s="5">
        <v>2.3201543E7</v>
      </c>
      <c r="B802" s="5" t="s">
        <v>1633</v>
      </c>
      <c r="C802" s="14" t="s">
        <v>853</v>
      </c>
      <c r="D802" s="14" t="s">
        <v>95</v>
      </c>
      <c r="E802" s="48"/>
      <c r="F802" s="14" t="s">
        <v>1634</v>
      </c>
      <c r="G802" s="7"/>
      <c r="H802" s="7"/>
      <c r="I802" s="7"/>
      <c r="J802" s="7"/>
      <c r="K802" s="7"/>
      <c r="L802" s="7"/>
      <c r="M802" s="7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9"/>
    </row>
    <row r="803">
      <c r="A803" s="10">
        <v>2.4141047E7</v>
      </c>
      <c r="B803" s="10" t="s">
        <v>1635</v>
      </c>
      <c r="C803" s="13" t="s">
        <v>853</v>
      </c>
      <c r="D803" s="13" t="s">
        <v>95</v>
      </c>
      <c r="E803" s="47"/>
      <c r="F803" s="13" t="s">
        <v>1636</v>
      </c>
      <c r="G803" s="12"/>
      <c r="H803" s="12"/>
      <c r="I803" s="12"/>
      <c r="J803" s="12"/>
      <c r="K803" s="12"/>
      <c r="L803" s="12"/>
      <c r="M803" s="12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9"/>
    </row>
    <row r="804">
      <c r="A804" s="5">
        <v>2.2341016E7</v>
      </c>
      <c r="B804" s="5" t="s">
        <v>1637</v>
      </c>
      <c r="C804" s="14" t="s">
        <v>853</v>
      </c>
      <c r="D804" s="14" t="s">
        <v>95</v>
      </c>
      <c r="E804" s="48"/>
      <c r="F804" s="14" t="s">
        <v>1638</v>
      </c>
      <c r="G804" s="7"/>
      <c r="H804" s="7"/>
      <c r="I804" s="7"/>
      <c r="J804" s="7"/>
      <c r="K804" s="7"/>
      <c r="L804" s="7"/>
      <c r="M804" s="7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9"/>
    </row>
    <row r="805">
      <c r="A805" s="10">
        <v>2.2201235E7</v>
      </c>
      <c r="B805" s="10" t="s">
        <v>1639</v>
      </c>
      <c r="C805" s="13" t="s">
        <v>853</v>
      </c>
      <c r="D805" s="13" t="s">
        <v>95</v>
      </c>
      <c r="E805" s="47"/>
      <c r="F805" s="13" t="s">
        <v>1640</v>
      </c>
      <c r="G805" s="12"/>
      <c r="H805" s="12"/>
      <c r="I805" s="12"/>
      <c r="J805" s="12"/>
      <c r="K805" s="12"/>
      <c r="L805" s="12"/>
      <c r="M805" s="12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9"/>
    </row>
    <row r="806">
      <c r="A806" s="5">
        <v>2.4101061E7</v>
      </c>
      <c r="B806" s="5" t="s">
        <v>1641</v>
      </c>
      <c r="C806" s="14" t="s">
        <v>853</v>
      </c>
      <c r="D806" s="14" t="s">
        <v>95</v>
      </c>
      <c r="E806" s="48"/>
      <c r="F806" s="14" t="s">
        <v>1642</v>
      </c>
      <c r="G806" s="7"/>
      <c r="H806" s="7"/>
      <c r="I806" s="7"/>
      <c r="J806" s="7"/>
      <c r="K806" s="7"/>
      <c r="L806" s="7"/>
      <c r="M806" s="7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9"/>
    </row>
    <row r="807">
      <c r="A807" s="10">
        <v>2.4101458E7</v>
      </c>
      <c r="B807" s="10" t="s">
        <v>1643</v>
      </c>
      <c r="C807" s="13" t="s">
        <v>853</v>
      </c>
      <c r="D807" s="13" t="s">
        <v>95</v>
      </c>
      <c r="E807" s="47"/>
      <c r="F807" s="13" t="s">
        <v>1644</v>
      </c>
      <c r="G807" s="12"/>
      <c r="H807" s="12"/>
      <c r="I807" s="12"/>
      <c r="J807" s="12"/>
      <c r="K807" s="12"/>
      <c r="L807" s="12"/>
      <c r="M807" s="12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9"/>
    </row>
    <row r="808">
      <c r="A808" s="5">
        <v>2.4141014E7</v>
      </c>
      <c r="B808" s="5" t="s">
        <v>1645</v>
      </c>
      <c r="C808" s="14" t="s">
        <v>853</v>
      </c>
      <c r="D808" s="14" t="s">
        <v>95</v>
      </c>
      <c r="E808" s="48"/>
      <c r="F808" s="14" t="s">
        <v>1646</v>
      </c>
      <c r="G808" s="7"/>
      <c r="H808" s="7"/>
      <c r="I808" s="7"/>
      <c r="J808" s="7"/>
      <c r="K808" s="7"/>
      <c r="L808" s="7"/>
      <c r="M808" s="7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9"/>
    </row>
    <row r="809">
      <c r="A809" s="10">
        <v>2.3201321E7</v>
      </c>
      <c r="B809" s="10" t="s">
        <v>1647</v>
      </c>
      <c r="C809" s="13" t="s">
        <v>853</v>
      </c>
      <c r="D809" s="13" t="s">
        <v>95</v>
      </c>
      <c r="E809" s="47"/>
      <c r="F809" s="13" t="s">
        <v>1648</v>
      </c>
      <c r="G809" s="12"/>
      <c r="H809" s="12"/>
      <c r="I809" s="12"/>
      <c r="J809" s="12"/>
      <c r="K809" s="12"/>
      <c r="L809" s="12"/>
      <c r="M809" s="12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9"/>
    </row>
    <row r="810">
      <c r="A810" s="5">
        <v>2.4101454E7</v>
      </c>
      <c r="B810" s="5" t="s">
        <v>1649</v>
      </c>
      <c r="C810" s="14" t="s">
        <v>853</v>
      </c>
      <c r="D810" s="14" t="s">
        <v>95</v>
      </c>
      <c r="E810" s="48"/>
      <c r="F810" s="14" t="s">
        <v>1650</v>
      </c>
      <c r="G810" s="7"/>
      <c r="H810" s="7"/>
      <c r="I810" s="7"/>
      <c r="J810" s="7"/>
      <c r="K810" s="7"/>
      <c r="L810" s="7"/>
      <c r="M810" s="7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9"/>
    </row>
    <row r="811">
      <c r="A811" s="10">
        <v>2.4101411E7</v>
      </c>
      <c r="B811" s="10" t="s">
        <v>1651</v>
      </c>
      <c r="C811" s="13" t="s">
        <v>853</v>
      </c>
      <c r="D811" s="13" t="s">
        <v>95</v>
      </c>
      <c r="E811" s="47"/>
      <c r="F811" s="13" t="s">
        <v>1652</v>
      </c>
      <c r="G811" s="12"/>
      <c r="H811" s="12"/>
      <c r="I811" s="12"/>
      <c r="J811" s="12"/>
      <c r="K811" s="12"/>
      <c r="L811" s="12"/>
      <c r="M811" s="12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9"/>
    </row>
    <row r="812">
      <c r="A812" s="5">
        <v>2.2201646E7</v>
      </c>
      <c r="B812" s="5" t="s">
        <v>1653</v>
      </c>
      <c r="C812" s="14" t="s">
        <v>853</v>
      </c>
      <c r="D812" s="14" t="s">
        <v>95</v>
      </c>
      <c r="E812" s="48"/>
      <c r="F812" s="14" t="s">
        <v>1654</v>
      </c>
      <c r="G812" s="7"/>
      <c r="H812" s="7"/>
      <c r="I812" s="7"/>
      <c r="J812" s="7"/>
      <c r="K812" s="7"/>
      <c r="L812" s="7"/>
      <c r="M812" s="7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9"/>
    </row>
    <row r="813">
      <c r="A813" s="10">
        <v>2.2201742E7</v>
      </c>
      <c r="B813" s="10" t="s">
        <v>1655</v>
      </c>
      <c r="C813" s="13" t="s">
        <v>853</v>
      </c>
      <c r="D813" s="13" t="s">
        <v>95</v>
      </c>
      <c r="E813" s="47"/>
      <c r="F813" s="13" t="s">
        <v>1656</v>
      </c>
      <c r="G813" s="12"/>
      <c r="H813" s="12"/>
      <c r="I813" s="12"/>
      <c r="J813" s="12"/>
      <c r="K813" s="12"/>
      <c r="L813" s="12"/>
      <c r="M813" s="12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9"/>
    </row>
    <row r="814">
      <c r="A814" s="5">
        <v>2.4101599E7</v>
      </c>
      <c r="B814" s="5" t="s">
        <v>1657</v>
      </c>
      <c r="C814" s="14" t="s">
        <v>853</v>
      </c>
      <c r="D814" s="14" t="s">
        <v>95</v>
      </c>
      <c r="E814" s="48"/>
      <c r="F814" s="14" t="s">
        <v>1658</v>
      </c>
      <c r="G814" s="7"/>
      <c r="H814" s="7"/>
      <c r="I814" s="7"/>
      <c r="J814" s="7"/>
      <c r="K814" s="7"/>
      <c r="L814" s="7"/>
      <c r="M814" s="7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9"/>
    </row>
    <row r="815">
      <c r="A815" s="10">
        <v>2.2201545E7</v>
      </c>
      <c r="B815" s="10" t="s">
        <v>1659</v>
      </c>
      <c r="C815" s="13" t="s">
        <v>853</v>
      </c>
      <c r="D815" s="13" t="s">
        <v>95</v>
      </c>
      <c r="E815" s="47"/>
      <c r="F815" s="13" t="s">
        <v>1660</v>
      </c>
      <c r="G815" s="12"/>
      <c r="H815" s="12"/>
      <c r="I815" s="12"/>
      <c r="J815" s="12"/>
      <c r="K815" s="12"/>
      <c r="L815" s="12"/>
      <c r="M815" s="12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9"/>
    </row>
    <row r="816">
      <c r="A816" s="5">
        <v>2.4101588E7</v>
      </c>
      <c r="B816" s="5" t="s">
        <v>1661</v>
      </c>
      <c r="C816" s="14" t="s">
        <v>853</v>
      </c>
      <c r="D816" s="14" t="s">
        <v>95</v>
      </c>
      <c r="E816" s="48"/>
      <c r="F816" s="14" t="s">
        <v>1662</v>
      </c>
      <c r="G816" s="7"/>
      <c r="H816" s="7"/>
      <c r="I816" s="7"/>
      <c r="J816" s="7"/>
      <c r="K816" s="7"/>
      <c r="L816" s="7"/>
      <c r="M816" s="7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9"/>
    </row>
    <row r="817">
      <c r="A817" s="10">
        <v>2.0301437E7</v>
      </c>
      <c r="B817" s="10" t="s">
        <v>1663</v>
      </c>
      <c r="C817" s="13" t="s">
        <v>853</v>
      </c>
      <c r="D817" s="13" t="s">
        <v>95</v>
      </c>
      <c r="E817" s="47"/>
      <c r="F817" s="13"/>
      <c r="G817" s="12"/>
      <c r="H817" s="12"/>
      <c r="I817" s="12"/>
      <c r="J817" s="12"/>
      <c r="K817" s="12"/>
      <c r="L817" s="12"/>
      <c r="M817" s="12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9"/>
    </row>
    <row r="818">
      <c r="A818" s="5">
        <v>2.4101601E7</v>
      </c>
      <c r="B818" s="5" t="s">
        <v>1664</v>
      </c>
      <c r="C818" s="14" t="s">
        <v>853</v>
      </c>
      <c r="D818" s="14" t="s">
        <v>95</v>
      </c>
      <c r="E818" s="48"/>
      <c r="F818" s="14" t="s">
        <v>1665</v>
      </c>
      <c r="G818" s="7"/>
      <c r="H818" s="7"/>
      <c r="I818" s="7"/>
      <c r="J818" s="7"/>
      <c r="K818" s="7"/>
      <c r="L818" s="7"/>
      <c r="M818" s="7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9"/>
    </row>
    <row r="819">
      <c r="A819" s="10">
        <v>2.4101351E7</v>
      </c>
      <c r="B819" s="10" t="s">
        <v>1666</v>
      </c>
      <c r="C819" s="13" t="s">
        <v>853</v>
      </c>
      <c r="D819" s="13" t="s">
        <v>95</v>
      </c>
      <c r="E819" s="47"/>
      <c r="F819" s="13" t="s">
        <v>1667</v>
      </c>
      <c r="G819" s="12"/>
      <c r="H819" s="12"/>
      <c r="I819" s="12"/>
      <c r="J819" s="12"/>
      <c r="K819" s="12"/>
      <c r="L819" s="12"/>
      <c r="M819" s="12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9"/>
    </row>
    <row r="820">
      <c r="A820" s="5">
        <v>2.3201615E7</v>
      </c>
      <c r="B820" s="5" t="s">
        <v>1668</v>
      </c>
      <c r="C820" s="14" t="s">
        <v>853</v>
      </c>
      <c r="D820" s="14" t="s">
        <v>95</v>
      </c>
      <c r="E820" s="48"/>
      <c r="F820" s="14" t="s">
        <v>1669</v>
      </c>
      <c r="G820" s="7"/>
      <c r="H820" s="7"/>
      <c r="I820" s="7"/>
      <c r="J820" s="7"/>
      <c r="K820" s="7"/>
      <c r="L820" s="7"/>
      <c r="M820" s="7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9"/>
    </row>
    <row r="821">
      <c r="A821" s="10">
        <v>2.4101376E7</v>
      </c>
      <c r="B821" s="10" t="s">
        <v>1670</v>
      </c>
      <c r="C821" s="13" t="s">
        <v>853</v>
      </c>
      <c r="D821" s="13" t="s">
        <v>95</v>
      </c>
      <c r="E821" s="47"/>
      <c r="F821" s="13" t="s">
        <v>1671</v>
      </c>
      <c r="G821" s="12"/>
      <c r="H821" s="12"/>
      <c r="I821" s="12"/>
      <c r="J821" s="12"/>
      <c r="K821" s="12"/>
      <c r="L821" s="12"/>
      <c r="M821" s="12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9"/>
    </row>
    <row r="822">
      <c r="A822" s="5">
        <v>2.2301373E7</v>
      </c>
      <c r="B822" s="5" t="s">
        <v>1672</v>
      </c>
      <c r="C822" s="14" t="s">
        <v>853</v>
      </c>
      <c r="D822" s="14" t="s">
        <v>95</v>
      </c>
      <c r="E822" s="48"/>
      <c r="F822" s="14" t="s">
        <v>1673</v>
      </c>
      <c r="G822" s="7"/>
      <c r="H822" s="7"/>
      <c r="I822" s="7"/>
      <c r="J822" s="7"/>
      <c r="K822" s="7"/>
      <c r="L822" s="7"/>
      <c r="M822" s="7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9"/>
    </row>
    <row r="823">
      <c r="A823" s="10">
        <v>2.4101333E7</v>
      </c>
      <c r="B823" s="10" t="s">
        <v>1674</v>
      </c>
      <c r="C823" s="13" t="s">
        <v>853</v>
      </c>
      <c r="D823" s="13" t="s">
        <v>95</v>
      </c>
      <c r="E823" s="47"/>
      <c r="F823" s="13" t="s">
        <v>1675</v>
      </c>
      <c r="G823" s="12"/>
      <c r="H823" s="12"/>
      <c r="I823" s="12"/>
      <c r="J823" s="12"/>
      <c r="K823" s="12"/>
      <c r="L823" s="12"/>
      <c r="M823" s="12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9"/>
    </row>
    <row r="824">
      <c r="A824" s="5">
        <v>2.4110009E7</v>
      </c>
      <c r="B824" s="5" t="s">
        <v>1676</v>
      </c>
      <c r="C824" s="14" t="s">
        <v>853</v>
      </c>
      <c r="D824" s="14" t="s">
        <v>95</v>
      </c>
      <c r="E824" s="48"/>
      <c r="F824" s="14" t="s">
        <v>1677</v>
      </c>
      <c r="G824" s="7"/>
      <c r="H824" s="7"/>
      <c r="I824" s="7"/>
      <c r="J824" s="7"/>
      <c r="K824" s="7"/>
      <c r="L824" s="7"/>
      <c r="M824" s="7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9"/>
    </row>
    <row r="825">
      <c r="A825" s="10">
        <v>2.4321194E7</v>
      </c>
      <c r="B825" s="10" t="s">
        <v>1678</v>
      </c>
      <c r="C825" s="13" t="s">
        <v>853</v>
      </c>
      <c r="D825" s="13" t="s">
        <v>95</v>
      </c>
      <c r="E825" s="47"/>
      <c r="F825" s="13" t="s">
        <v>1679</v>
      </c>
      <c r="G825" s="12"/>
      <c r="H825" s="12"/>
      <c r="I825" s="12"/>
      <c r="J825" s="12"/>
      <c r="K825" s="12"/>
      <c r="L825" s="12"/>
      <c r="M825" s="12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9"/>
    </row>
    <row r="826">
      <c r="A826" s="5">
        <v>2.4301468E7</v>
      </c>
      <c r="B826" s="5" t="s">
        <v>1680</v>
      </c>
      <c r="C826" s="14" t="s">
        <v>853</v>
      </c>
      <c r="D826" s="14" t="s">
        <v>95</v>
      </c>
      <c r="E826" s="48"/>
      <c r="F826" s="14" t="s">
        <v>1681</v>
      </c>
      <c r="G826" s="7"/>
      <c r="H826" s="7"/>
      <c r="I826" s="7"/>
      <c r="J826" s="7"/>
      <c r="K826" s="7"/>
      <c r="L826" s="7"/>
      <c r="M826" s="7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9"/>
    </row>
    <row r="827">
      <c r="A827" s="10">
        <v>2.4301251E7</v>
      </c>
      <c r="B827" s="10" t="s">
        <v>1682</v>
      </c>
      <c r="C827" s="13" t="s">
        <v>853</v>
      </c>
      <c r="D827" s="13" t="s">
        <v>95</v>
      </c>
      <c r="E827" s="47"/>
      <c r="F827" s="13" t="s">
        <v>1683</v>
      </c>
      <c r="G827" s="12"/>
      <c r="H827" s="12"/>
      <c r="I827" s="12"/>
      <c r="J827" s="12"/>
      <c r="K827" s="12"/>
      <c r="L827" s="12"/>
      <c r="M827" s="12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9"/>
    </row>
    <row r="828">
      <c r="A828" s="5">
        <v>2.4301176E7</v>
      </c>
      <c r="B828" s="5" t="s">
        <v>1684</v>
      </c>
      <c r="C828" s="14" t="s">
        <v>853</v>
      </c>
      <c r="D828" s="14" t="s">
        <v>95</v>
      </c>
      <c r="E828" s="48"/>
      <c r="F828" s="14" t="s">
        <v>1685</v>
      </c>
      <c r="G828" s="7"/>
      <c r="H828" s="7"/>
      <c r="I828" s="7"/>
      <c r="J828" s="7"/>
      <c r="K828" s="7"/>
      <c r="L828" s="7"/>
      <c r="M828" s="7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9"/>
    </row>
    <row r="829">
      <c r="A829" s="10">
        <v>2.4141058E7</v>
      </c>
      <c r="B829" s="10" t="s">
        <v>1686</v>
      </c>
      <c r="C829" s="13" t="s">
        <v>853</v>
      </c>
      <c r="D829" s="13" t="s">
        <v>95</v>
      </c>
      <c r="E829" s="47"/>
      <c r="F829" s="13" t="s">
        <v>1687</v>
      </c>
      <c r="G829" s="12"/>
      <c r="H829" s="12"/>
      <c r="I829" s="12"/>
      <c r="J829" s="12"/>
      <c r="K829" s="12"/>
      <c r="L829" s="12"/>
      <c r="M829" s="12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9"/>
    </row>
    <row r="830">
      <c r="A830" s="5">
        <v>2.3101199E7</v>
      </c>
      <c r="B830" s="5" t="s">
        <v>1688</v>
      </c>
      <c r="C830" s="14" t="s">
        <v>853</v>
      </c>
      <c r="D830" s="14" t="s">
        <v>95</v>
      </c>
      <c r="E830" s="48"/>
      <c r="F830" s="14" t="s">
        <v>1689</v>
      </c>
      <c r="G830" s="7"/>
      <c r="H830" s="7"/>
      <c r="I830" s="7"/>
      <c r="J830" s="7"/>
      <c r="K830" s="7"/>
      <c r="L830" s="7"/>
      <c r="M830" s="7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9"/>
    </row>
    <row r="831">
      <c r="A831" s="10">
        <v>2.41011E7</v>
      </c>
      <c r="B831" s="10" t="s">
        <v>1690</v>
      </c>
      <c r="C831" s="13" t="s">
        <v>853</v>
      </c>
      <c r="D831" s="13" t="s">
        <v>95</v>
      </c>
      <c r="E831" s="47"/>
      <c r="F831" s="13" t="s">
        <v>1691</v>
      </c>
      <c r="G831" s="12"/>
      <c r="H831" s="12"/>
      <c r="I831" s="12"/>
      <c r="J831" s="12"/>
      <c r="K831" s="12"/>
      <c r="L831" s="12"/>
      <c r="M831" s="12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9"/>
    </row>
    <row r="832">
      <c r="A832" s="5">
        <v>2.4301181E7</v>
      </c>
      <c r="B832" s="5" t="s">
        <v>1692</v>
      </c>
      <c r="C832" s="14" t="s">
        <v>853</v>
      </c>
      <c r="D832" s="14" t="s">
        <v>95</v>
      </c>
      <c r="E832" s="48"/>
      <c r="F832" s="14" t="s">
        <v>1693</v>
      </c>
      <c r="G832" s="7"/>
      <c r="H832" s="7"/>
      <c r="I832" s="7"/>
      <c r="J832" s="7"/>
      <c r="K832" s="7"/>
      <c r="L832" s="7"/>
      <c r="M832" s="7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9"/>
    </row>
    <row r="833">
      <c r="A833" s="10">
        <v>2.4101284E7</v>
      </c>
      <c r="B833" s="10" t="s">
        <v>1694</v>
      </c>
      <c r="C833" s="13" t="s">
        <v>853</v>
      </c>
      <c r="D833" s="13" t="s">
        <v>95</v>
      </c>
      <c r="E833" s="47"/>
      <c r="F833" s="13" t="s">
        <v>1695</v>
      </c>
      <c r="G833" s="12"/>
      <c r="H833" s="12"/>
      <c r="I833" s="12"/>
      <c r="J833" s="12"/>
      <c r="K833" s="12"/>
      <c r="L833" s="12"/>
      <c r="M833" s="12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9"/>
    </row>
    <row r="834">
      <c r="A834" s="5">
        <v>2.2201916E7</v>
      </c>
      <c r="B834" s="5" t="s">
        <v>1696</v>
      </c>
      <c r="C834" s="14" t="s">
        <v>853</v>
      </c>
      <c r="D834" s="14" t="s">
        <v>95</v>
      </c>
      <c r="E834" s="48"/>
      <c r="F834" s="14" t="s">
        <v>1697</v>
      </c>
      <c r="G834" s="7"/>
      <c r="H834" s="7"/>
      <c r="I834" s="7"/>
      <c r="J834" s="7"/>
      <c r="K834" s="7"/>
      <c r="L834" s="7"/>
      <c r="M834" s="7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9"/>
    </row>
    <row r="835">
      <c r="A835" s="10">
        <v>2.4301405E7</v>
      </c>
      <c r="B835" s="10" t="s">
        <v>1698</v>
      </c>
      <c r="C835" s="13" t="s">
        <v>853</v>
      </c>
      <c r="D835" s="13" t="s">
        <v>95</v>
      </c>
      <c r="E835" s="47"/>
      <c r="F835" s="13" t="s">
        <v>1699</v>
      </c>
      <c r="G835" s="12"/>
      <c r="H835" s="12"/>
      <c r="I835" s="12"/>
      <c r="J835" s="12"/>
      <c r="K835" s="12"/>
      <c r="L835" s="12"/>
      <c r="M835" s="12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9"/>
    </row>
    <row r="836">
      <c r="A836" s="5">
        <v>2.3301117E7</v>
      </c>
      <c r="B836" s="5" t="s">
        <v>1700</v>
      </c>
      <c r="C836" s="14" t="s">
        <v>853</v>
      </c>
      <c r="D836" s="14" t="s">
        <v>95</v>
      </c>
      <c r="E836" s="48"/>
      <c r="F836" s="14" t="s">
        <v>1701</v>
      </c>
      <c r="G836" s="7"/>
      <c r="H836" s="7"/>
      <c r="I836" s="7"/>
      <c r="J836" s="7"/>
      <c r="K836" s="7"/>
      <c r="L836" s="7"/>
      <c r="M836" s="7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9"/>
    </row>
    <row r="837">
      <c r="A837" s="10">
        <v>2.4321175E7</v>
      </c>
      <c r="B837" s="10" t="s">
        <v>1702</v>
      </c>
      <c r="C837" s="13" t="s">
        <v>853</v>
      </c>
      <c r="D837" s="13" t="s">
        <v>95</v>
      </c>
      <c r="E837" s="47"/>
      <c r="F837" s="13" t="s">
        <v>1703</v>
      </c>
      <c r="G837" s="12"/>
      <c r="H837" s="12"/>
      <c r="I837" s="12"/>
      <c r="J837" s="12"/>
      <c r="K837" s="12"/>
      <c r="L837" s="12"/>
      <c r="M837" s="12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9"/>
    </row>
    <row r="838">
      <c r="A838" s="5">
        <v>2.4304178E7</v>
      </c>
      <c r="B838" s="5" t="s">
        <v>1704</v>
      </c>
      <c r="C838" s="14" t="s">
        <v>853</v>
      </c>
      <c r="D838" s="14" t="s">
        <v>95</v>
      </c>
      <c r="E838" s="48"/>
      <c r="F838" s="14" t="s">
        <v>1705</v>
      </c>
      <c r="G838" s="7"/>
      <c r="H838" s="7"/>
      <c r="I838" s="7"/>
      <c r="J838" s="7"/>
      <c r="K838" s="7"/>
      <c r="L838" s="7"/>
      <c r="M838" s="7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9"/>
    </row>
    <row r="839">
      <c r="A839" s="10">
        <v>2.430135E7</v>
      </c>
      <c r="B839" s="10" t="s">
        <v>1706</v>
      </c>
      <c r="C839" s="13" t="s">
        <v>853</v>
      </c>
      <c r="D839" s="13" t="s">
        <v>95</v>
      </c>
      <c r="E839" s="47"/>
      <c r="F839" s="13" t="s">
        <v>1707</v>
      </c>
      <c r="G839" s="12"/>
      <c r="H839" s="12"/>
      <c r="I839" s="12"/>
      <c r="J839" s="12"/>
      <c r="K839" s="12"/>
      <c r="L839" s="12"/>
      <c r="M839" s="12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9"/>
    </row>
    <row r="840">
      <c r="A840" s="5">
        <v>2.4301192E7</v>
      </c>
      <c r="B840" s="5" t="s">
        <v>1708</v>
      </c>
      <c r="C840" s="14" t="s">
        <v>853</v>
      </c>
      <c r="D840" s="14" t="s">
        <v>95</v>
      </c>
      <c r="E840" s="48"/>
      <c r="F840" s="14" t="s">
        <v>1709</v>
      </c>
      <c r="G840" s="7"/>
      <c r="H840" s="7"/>
      <c r="I840" s="7"/>
      <c r="J840" s="7"/>
      <c r="K840" s="7"/>
      <c r="L840" s="7"/>
      <c r="M840" s="7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9"/>
    </row>
    <row r="841">
      <c r="A841" s="10">
        <v>2.2299383E7</v>
      </c>
      <c r="B841" s="10" t="s">
        <v>1710</v>
      </c>
      <c r="C841" s="13" t="s">
        <v>853</v>
      </c>
      <c r="D841" s="13" t="s">
        <v>95</v>
      </c>
      <c r="E841" s="47"/>
      <c r="F841" s="13" t="s">
        <v>1711</v>
      </c>
      <c r="G841" s="12"/>
      <c r="H841" s="12"/>
      <c r="I841" s="12"/>
      <c r="J841" s="12"/>
      <c r="K841" s="12"/>
      <c r="L841" s="12"/>
      <c r="M841" s="12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9"/>
    </row>
    <row r="842">
      <c r="A842" s="5">
        <v>2.4301503E7</v>
      </c>
      <c r="B842" s="5" t="s">
        <v>1712</v>
      </c>
      <c r="C842" s="14" t="s">
        <v>853</v>
      </c>
      <c r="D842" s="14" t="s">
        <v>95</v>
      </c>
      <c r="E842" s="48"/>
      <c r="F842" s="14" t="s">
        <v>1713</v>
      </c>
      <c r="G842" s="7"/>
      <c r="H842" s="7"/>
      <c r="I842" s="7"/>
      <c r="J842" s="7"/>
      <c r="K842" s="7"/>
      <c r="L842" s="7"/>
      <c r="M842" s="7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9"/>
    </row>
    <row r="843">
      <c r="A843" s="10">
        <v>2.3301423E7</v>
      </c>
      <c r="B843" s="10" t="s">
        <v>1714</v>
      </c>
      <c r="C843" s="13" t="s">
        <v>853</v>
      </c>
      <c r="D843" s="13" t="s">
        <v>95</v>
      </c>
      <c r="E843" s="47"/>
      <c r="F843" s="13" t="s">
        <v>1715</v>
      </c>
      <c r="G843" s="12"/>
      <c r="H843" s="12"/>
      <c r="I843" s="12"/>
      <c r="J843" s="12"/>
      <c r="K843" s="12"/>
      <c r="L843" s="12"/>
      <c r="M843" s="12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9"/>
    </row>
    <row r="844">
      <c r="A844" s="5">
        <v>2.3101234E7</v>
      </c>
      <c r="B844" s="5" t="s">
        <v>1716</v>
      </c>
      <c r="C844" s="14" t="s">
        <v>853</v>
      </c>
      <c r="D844" s="14" t="s">
        <v>95</v>
      </c>
      <c r="E844" s="48"/>
      <c r="F844" s="14" t="s">
        <v>1717</v>
      </c>
      <c r="G844" s="7"/>
      <c r="H844" s="7"/>
      <c r="I844" s="7"/>
      <c r="J844" s="7"/>
      <c r="K844" s="7"/>
      <c r="L844" s="7"/>
      <c r="M844" s="7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9"/>
    </row>
    <row r="845">
      <c r="A845" s="10">
        <v>2.4301447E7</v>
      </c>
      <c r="B845" s="10" t="s">
        <v>1718</v>
      </c>
      <c r="C845" s="13" t="s">
        <v>853</v>
      </c>
      <c r="D845" s="13" t="s">
        <v>95</v>
      </c>
      <c r="E845" s="47"/>
      <c r="F845" s="13" t="s">
        <v>1719</v>
      </c>
      <c r="G845" s="12"/>
      <c r="H845" s="12"/>
      <c r="I845" s="12"/>
      <c r="J845" s="12"/>
      <c r="K845" s="12"/>
      <c r="L845" s="12"/>
      <c r="M845" s="12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9"/>
    </row>
    <row r="846">
      <c r="A846" s="5">
        <v>2.4304495E7</v>
      </c>
      <c r="B846" s="5" t="s">
        <v>1720</v>
      </c>
      <c r="C846" s="14" t="s">
        <v>853</v>
      </c>
      <c r="D846" s="14" t="s">
        <v>95</v>
      </c>
      <c r="E846" s="48"/>
      <c r="F846" s="14" t="s">
        <v>1721</v>
      </c>
      <c r="G846" s="7"/>
      <c r="H846" s="7"/>
      <c r="I846" s="7"/>
      <c r="J846" s="7"/>
      <c r="K846" s="7"/>
      <c r="L846" s="7"/>
      <c r="M846" s="7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9"/>
    </row>
    <row r="847">
      <c r="A847" s="10">
        <v>2.4301589E7</v>
      </c>
      <c r="B847" s="10" t="s">
        <v>1722</v>
      </c>
      <c r="C847" s="13" t="s">
        <v>853</v>
      </c>
      <c r="D847" s="13" t="s">
        <v>95</v>
      </c>
      <c r="E847" s="47"/>
      <c r="F847" s="13" t="s">
        <v>1723</v>
      </c>
      <c r="G847" s="12"/>
      <c r="H847" s="12"/>
      <c r="I847" s="12"/>
      <c r="J847" s="12"/>
      <c r="K847" s="12"/>
      <c r="L847" s="12"/>
      <c r="M847" s="12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9"/>
    </row>
    <row r="848">
      <c r="A848" s="5">
        <v>2.4301571E7</v>
      </c>
      <c r="B848" s="5" t="s">
        <v>1724</v>
      </c>
      <c r="C848" s="14" t="s">
        <v>853</v>
      </c>
      <c r="D848" s="14" t="s">
        <v>95</v>
      </c>
      <c r="E848" s="48"/>
      <c r="F848" s="14" t="s">
        <v>1725</v>
      </c>
      <c r="G848" s="7"/>
      <c r="H848" s="7"/>
      <c r="I848" s="7"/>
      <c r="J848" s="7"/>
      <c r="K848" s="7"/>
      <c r="L848" s="7"/>
      <c r="M848" s="7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9"/>
    </row>
    <row r="849">
      <c r="A849" s="10">
        <v>2.4301482E7</v>
      </c>
      <c r="B849" s="10" t="s">
        <v>1726</v>
      </c>
      <c r="C849" s="13" t="s">
        <v>853</v>
      </c>
      <c r="D849" s="13" t="s">
        <v>95</v>
      </c>
      <c r="E849" s="47"/>
      <c r="F849" s="13" t="s">
        <v>1727</v>
      </c>
      <c r="G849" s="12"/>
      <c r="H849" s="12"/>
      <c r="I849" s="12"/>
      <c r="J849" s="12"/>
      <c r="K849" s="12"/>
      <c r="L849" s="12"/>
      <c r="M849" s="12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9"/>
    </row>
    <row r="850">
      <c r="A850" s="5">
        <v>2.4101083E7</v>
      </c>
      <c r="B850" s="5" t="s">
        <v>1728</v>
      </c>
      <c r="C850" s="14" t="s">
        <v>853</v>
      </c>
      <c r="D850" s="14" t="s">
        <v>95</v>
      </c>
      <c r="E850" s="48"/>
      <c r="F850" s="14" t="s">
        <v>1729</v>
      </c>
      <c r="G850" s="7"/>
      <c r="H850" s="7"/>
      <c r="I850" s="7"/>
      <c r="J850" s="7"/>
      <c r="K850" s="7"/>
      <c r="L850" s="7"/>
      <c r="M850" s="7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9"/>
    </row>
    <row r="851">
      <c r="A851" s="10">
        <v>2.4301541E7</v>
      </c>
      <c r="B851" s="10" t="s">
        <v>1730</v>
      </c>
      <c r="C851" s="13" t="s">
        <v>853</v>
      </c>
      <c r="D851" s="13" t="s">
        <v>95</v>
      </c>
      <c r="E851" s="47"/>
      <c r="F851" s="13" t="s">
        <v>1731</v>
      </c>
      <c r="G851" s="12"/>
      <c r="H851" s="12"/>
      <c r="I851" s="12"/>
      <c r="J851" s="12"/>
      <c r="K851" s="12"/>
      <c r="L851" s="12"/>
      <c r="M851" s="12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9"/>
    </row>
    <row r="852">
      <c r="A852" s="5">
        <v>2.4301258E7</v>
      </c>
      <c r="B852" s="5" t="s">
        <v>1732</v>
      </c>
      <c r="C852" s="14" t="s">
        <v>853</v>
      </c>
      <c r="D852" s="14" t="s">
        <v>95</v>
      </c>
      <c r="E852" s="48"/>
      <c r="F852" s="14" t="s">
        <v>1733</v>
      </c>
      <c r="G852" s="7"/>
      <c r="H852" s="7"/>
      <c r="I852" s="7"/>
      <c r="J852" s="7"/>
      <c r="K852" s="7"/>
      <c r="L852" s="7"/>
      <c r="M852" s="7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9"/>
    </row>
    <row r="853">
      <c r="A853" s="10">
        <v>2.2301212E7</v>
      </c>
      <c r="B853" s="10" t="s">
        <v>1734</v>
      </c>
      <c r="C853" s="13" t="s">
        <v>853</v>
      </c>
      <c r="D853" s="13" t="s">
        <v>95</v>
      </c>
      <c r="E853" s="47"/>
      <c r="F853" s="13" t="s">
        <v>1735</v>
      </c>
      <c r="G853" s="12"/>
      <c r="H853" s="12"/>
      <c r="I853" s="12"/>
      <c r="J853" s="12"/>
      <c r="K853" s="12"/>
      <c r="L853" s="12"/>
      <c r="M853" s="12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9"/>
    </row>
    <row r="854">
      <c r="A854" s="5">
        <v>2.4101472E7</v>
      </c>
      <c r="B854" s="5" t="s">
        <v>1736</v>
      </c>
      <c r="C854" s="14" t="s">
        <v>853</v>
      </c>
      <c r="D854" s="14" t="s">
        <v>95</v>
      </c>
      <c r="E854" s="48"/>
      <c r="F854" s="14" t="s">
        <v>1737</v>
      </c>
      <c r="G854" s="7"/>
      <c r="H854" s="7"/>
      <c r="I854" s="7"/>
      <c r="J854" s="7"/>
      <c r="K854" s="7"/>
      <c r="L854" s="7"/>
      <c r="M854" s="7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9"/>
    </row>
    <row r="855">
      <c r="A855" s="10">
        <v>2.3201302E7</v>
      </c>
      <c r="B855" s="10" t="s">
        <v>1738</v>
      </c>
      <c r="C855" s="13" t="s">
        <v>853</v>
      </c>
      <c r="D855" s="13" t="s">
        <v>95</v>
      </c>
      <c r="E855" s="47"/>
      <c r="F855" s="13" t="s">
        <v>1739</v>
      </c>
      <c r="G855" s="12"/>
      <c r="H855" s="12"/>
      <c r="I855" s="12"/>
      <c r="J855" s="12"/>
      <c r="K855" s="12"/>
      <c r="L855" s="12"/>
      <c r="M855" s="12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9"/>
    </row>
    <row r="856">
      <c r="A856" s="5">
        <v>2.4201225E7</v>
      </c>
      <c r="B856" s="5" t="s">
        <v>1740</v>
      </c>
      <c r="C856" s="14" t="s">
        <v>853</v>
      </c>
      <c r="D856" s="14" t="s">
        <v>95</v>
      </c>
      <c r="E856" s="48"/>
      <c r="F856" s="14" t="s">
        <v>1741</v>
      </c>
      <c r="G856" s="7"/>
      <c r="H856" s="7"/>
      <c r="I856" s="7"/>
      <c r="J856" s="7"/>
      <c r="K856" s="7"/>
      <c r="L856" s="7"/>
      <c r="M856" s="7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9"/>
    </row>
    <row r="857">
      <c r="A857" s="10">
        <v>2.3201239E7</v>
      </c>
      <c r="B857" s="10" t="s">
        <v>1742</v>
      </c>
      <c r="C857" s="13" t="s">
        <v>853</v>
      </c>
      <c r="D857" s="13" t="s">
        <v>95</v>
      </c>
      <c r="E857" s="47"/>
      <c r="F857" s="13" t="s">
        <v>1743</v>
      </c>
      <c r="G857" s="12"/>
      <c r="H857" s="12"/>
      <c r="I857" s="12"/>
      <c r="J857" s="12"/>
      <c r="K857" s="12"/>
      <c r="L857" s="12"/>
      <c r="M857" s="12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9"/>
    </row>
    <row r="858">
      <c r="A858" s="5">
        <v>2.4301146E7</v>
      </c>
      <c r="B858" s="5" t="s">
        <v>1744</v>
      </c>
      <c r="C858" s="14" t="s">
        <v>853</v>
      </c>
      <c r="D858" s="14" t="s">
        <v>95</v>
      </c>
      <c r="E858" s="48"/>
      <c r="F858" s="14" t="s">
        <v>1745</v>
      </c>
      <c r="G858" s="7"/>
      <c r="H858" s="7"/>
      <c r="I858" s="7"/>
      <c r="J858" s="7"/>
      <c r="K858" s="7"/>
      <c r="L858" s="7"/>
      <c r="M858" s="7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9"/>
    </row>
    <row r="859">
      <c r="A859" s="10">
        <v>2.3301455E7</v>
      </c>
      <c r="B859" s="10" t="s">
        <v>1746</v>
      </c>
      <c r="C859" s="13" t="s">
        <v>853</v>
      </c>
      <c r="D859" s="13" t="s">
        <v>95</v>
      </c>
      <c r="E859" s="47"/>
      <c r="F859" s="13" t="s">
        <v>1747</v>
      </c>
      <c r="G859" s="12"/>
      <c r="H859" s="12"/>
      <c r="I859" s="12"/>
      <c r="J859" s="12"/>
      <c r="K859" s="12"/>
      <c r="L859" s="12"/>
      <c r="M859" s="12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9"/>
    </row>
    <row r="860">
      <c r="A860" s="5">
        <v>2.4201033E7</v>
      </c>
      <c r="B860" s="5" t="s">
        <v>1748</v>
      </c>
      <c r="C860" s="14" t="s">
        <v>853</v>
      </c>
      <c r="D860" s="14" t="s">
        <v>95</v>
      </c>
      <c r="E860" s="48"/>
      <c r="F860" s="14" t="s">
        <v>1749</v>
      </c>
      <c r="G860" s="7"/>
      <c r="H860" s="7"/>
      <c r="I860" s="7"/>
      <c r="J860" s="7"/>
      <c r="K860" s="7"/>
      <c r="L860" s="7"/>
      <c r="M860" s="7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9"/>
    </row>
    <row r="861">
      <c r="A861" s="10">
        <v>2.4241328E7</v>
      </c>
      <c r="B861" s="10" t="s">
        <v>1750</v>
      </c>
      <c r="C861" s="13" t="s">
        <v>853</v>
      </c>
      <c r="D861" s="13" t="s">
        <v>95</v>
      </c>
      <c r="E861" s="47"/>
      <c r="F861" s="13" t="s">
        <v>1751</v>
      </c>
      <c r="G861" s="12"/>
      <c r="H861" s="12"/>
      <c r="I861" s="12"/>
      <c r="J861" s="12"/>
      <c r="K861" s="12"/>
      <c r="L861" s="12"/>
      <c r="M861" s="12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9"/>
    </row>
    <row r="862">
      <c r="A862" s="5">
        <v>2.4301502E7</v>
      </c>
      <c r="B862" s="5" t="s">
        <v>1752</v>
      </c>
      <c r="C862" s="14" t="s">
        <v>853</v>
      </c>
      <c r="D862" s="14" t="s">
        <v>95</v>
      </c>
      <c r="E862" s="48"/>
      <c r="F862" s="14" t="s">
        <v>1753</v>
      </c>
      <c r="G862" s="7"/>
      <c r="H862" s="7"/>
      <c r="I862" s="7"/>
      <c r="J862" s="7"/>
      <c r="K862" s="7"/>
      <c r="L862" s="7"/>
      <c r="M862" s="7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9"/>
    </row>
    <row r="863">
      <c r="A863" s="10">
        <v>2.4201339E7</v>
      </c>
      <c r="B863" s="10" t="s">
        <v>1754</v>
      </c>
      <c r="C863" s="13" t="s">
        <v>853</v>
      </c>
      <c r="D863" s="13" t="s">
        <v>95</v>
      </c>
      <c r="E863" s="47"/>
      <c r="F863" s="13" t="s">
        <v>1755</v>
      </c>
      <c r="G863" s="12"/>
      <c r="H863" s="12"/>
      <c r="I863" s="12"/>
      <c r="J863" s="12"/>
      <c r="K863" s="12"/>
      <c r="L863" s="12"/>
      <c r="M863" s="12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9"/>
    </row>
    <row r="864">
      <c r="A864" s="5">
        <v>2.4101069E7</v>
      </c>
      <c r="B864" s="5" t="s">
        <v>1756</v>
      </c>
      <c r="C864" s="14" t="s">
        <v>853</v>
      </c>
      <c r="D864" s="14" t="s">
        <v>95</v>
      </c>
      <c r="E864" s="48"/>
      <c r="F864" s="14" t="s">
        <v>1757</v>
      </c>
      <c r="G864" s="7"/>
      <c r="H864" s="7"/>
      <c r="I864" s="7"/>
      <c r="J864" s="7"/>
      <c r="K864" s="7"/>
      <c r="L864" s="7"/>
      <c r="M864" s="7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9"/>
    </row>
    <row r="865">
      <c r="A865" s="10">
        <v>2.4321155E7</v>
      </c>
      <c r="B865" s="10" t="s">
        <v>1758</v>
      </c>
      <c r="C865" s="13" t="s">
        <v>853</v>
      </c>
      <c r="D865" s="13" t="s">
        <v>95</v>
      </c>
      <c r="E865" s="47"/>
      <c r="F865" s="13" t="s">
        <v>1759</v>
      </c>
      <c r="G865" s="12"/>
      <c r="H865" s="12"/>
      <c r="I865" s="12"/>
      <c r="J865" s="12"/>
      <c r="K865" s="12"/>
      <c r="L865" s="12"/>
      <c r="M865" s="12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9"/>
    </row>
    <row r="866">
      <c r="A866" s="5">
        <v>2.4201114E7</v>
      </c>
      <c r="B866" s="5" t="s">
        <v>1760</v>
      </c>
      <c r="C866" s="14" t="s">
        <v>853</v>
      </c>
      <c r="D866" s="14" t="s">
        <v>95</v>
      </c>
      <c r="E866" s="48"/>
      <c r="F866" s="14" t="s">
        <v>1761</v>
      </c>
      <c r="G866" s="7"/>
      <c r="H866" s="7"/>
      <c r="I866" s="7"/>
      <c r="J866" s="7"/>
      <c r="K866" s="7"/>
      <c r="L866" s="7"/>
      <c r="M866" s="7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9"/>
    </row>
    <row r="867">
      <c r="A867" s="10">
        <v>2.1101039E7</v>
      </c>
      <c r="B867" s="10" t="s">
        <v>1762</v>
      </c>
      <c r="C867" s="13" t="s">
        <v>853</v>
      </c>
      <c r="D867" s="13" t="s">
        <v>95</v>
      </c>
      <c r="E867" s="47"/>
      <c r="F867" s="13" t="s">
        <v>1763</v>
      </c>
      <c r="G867" s="12"/>
      <c r="H867" s="12"/>
      <c r="I867" s="12"/>
      <c r="J867" s="12"/>
      <c r="K867" s="12"/>
      <c r="L867" s="12"/>
      <c r="M867" s="12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9"/>
    </row>
    <row r="868">
      <c r="A868" s="5">
        <v>2.4311012E7</v>
      </c>
      <c r="B868" s="5" t="s">
        <v>1764</v>
      </c>
      <c r="C868" s="14" t="s">
        <v>853</v>
      </c>
      <c r="D868" s="14" t="s">
        <v>95</v>
      </c>
      <c r="E868" s="48"/>
      <c r="F868" s="14" t="s">
        <v>1765</v>
      </c>
      <c r="G868" s="7"/>
      <c r="H868" s="7"/>
      <c r="I868" s="7"/>
      <c r="J868" s="7"/>
      <c r="K868" s="7"/>
      <c r="L868" s="7"/>
      <c r="M868" s="7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9"/>
    </row>
    <row r="869">
      <c r="A869" s="10">
        <v>2.4301322E7</v>
      </c>
      <c r="B869" s="10" t="s">
        <v>1766</v>
      </c>
      <c r="C869" s="13" t="s">
        <v>853</v>
      </c>
      <c r="D869" s="13" t="s">
        <v>95</v>
      </c>
      <c r="E869" s="47"/>
      <c r="F869" s="13" t="s">
        <v>1767</v>
      </c>
      <c r="G869" s="12"/>
      <c r="H869" s="12"/>
      <c r="I869" s="12"/>
      <c r="J869" s="12"/>
      <c r="K869" s="12"/>
      <c r="L869" s="12"/>
      <c r="M869" s="12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9"/>
    </row>
    <row r="870">
      <c r="A870" s="5">
        <v>2.4301127E7</v>
      </c>
      <c r="B870" s="5" t="s">
        <v>1768</v>
      </c>
      <c r="C870" s="14" t="s">
        <v>853</v>
      </c>
      <c r="D870" s="14" t="s">
        <v>95</v>
      </c>
      <c r="E870" s="48"/>
      <c r="F870" s="14" t="s">
        <v>1769</v>
      </c>
      <c r="G870" s="7"/>
      <c r="H870" s="7"/>
      <c r="I870" s="7"/>
      <c r="J870" s="7"/>
      <c r="K870" s="7"/>
      <c r="L870" s="7"/>
      <c r="M870" s="7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9"/>
    </row>
    <row r="871">
      <c r="A871" s="10">
        <v>2.4201375E7</v>
      </c>
      <c r="B871" s="10" t="s">
        <v>1770</v>
      </c>
      <c r="C871" s="13" t="s">
        <v>853</v>
      </c>
      <c r="D871" s="13" t="s">
        <v>95</v>
      </c>
      <c r="E871" s="47"/>
      <c r="F871" s="13" t="s">
        <v>1771</v>
      </c>
      <c r="G871" s="12"/>
      <c r="H871" s="12"/>
      <c r="I871" s="12"/>
      <c r="J871" s="12"/>
      <c r="K871" s="12"/>
      <c r="L871" s="12"/>
      <c r="M871" s="12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9"/>
    </row>
    <row r="872">
      <c r="A872" s="5">
        <v>2.2201411E7</v>
      </c>
      <c r="B872" s="5" t="s">
        <v>1772</v>
      </c>
      <c r="C872" s="14" t="s">
        <v>853</v>
      </c>
      <c r="D872" s="14" t="s">
        <v>95</v>
      </c>
      <c r="E872" s="48"/>
      <c r="F872" s="14" t="s">
        <v>1773</v>
      </c>
      <c r="G872" s="7"/>
      <c r="H872" s="7"/>
      <c r="I872" s="7"/>
      <c r="J872" s="7"/>
      <c r="K872" s="7"/>
      <c r="L872" s="7"/>
      <c r="M872" s="7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9"/>
    </row>
    <row r="873">
      <c r="A873" s="10">
        <v>2.4201188E7</v>
      </c>
      <c r="B873" s="10" t="s">
        <v>1774</v>
      </c>
      <c r="C873" s="13" t="s">
        <v>853</v>
      </c>
      <c r="D873" s="13" t="s">
        <v>95</v>
      </c>
      <c r="E873" s="47"/>
      <c r="F873" s="13" t="s">
        <v>1775</v>
      </c>
      <c r="G873" s="12"/>
      <c r="H873" s="12"/>
      <c r="I873" s="12"/>
      <c r="J873" s="12"/>
      <c r="K873" s="12"/>
      <c r="L873" s="12"/>
      <c r="M873" s="12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9"/>
    </row>
    <row r="874">
      <c r="A874" s="5">
        <v>2.4301556E7</v>
      </c>
      <c r="B874" s="5" t="s">
        <v>1776</v>
      </c>
      <c r="C874" s="14" t="s">
        <v>853</v>
      </c>
      <c r="D874" s="14" t="s">
        <v>95</v>
      </c>
      <c r="E874" s="48"/>
      <c r="F874" s="14" t="s">
        <v>1777</v>
      </c>
      <c r="G874" s="7"/>
      <c r="H874" s="7"/>
      <c r="I874" s="7"/>
      <c r="J874" s="7"/>
      <c r="K874" s="7"/>
      <c r="L874" s="7"/>
      <c r="M874" s="7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9"/>
    </row>
    <row r="875">
      <c r="A875" s="10">
        <v>2.3201238E7</v>
      </c>
      <c r="B875" s="10" t="s">
        <v>1778</v>
      </c>
      <c r="C875" s="13" t="s">
        <v>853</v>
      </c>
      <c r="D875" s="13" t="s">
        <v>95</v>
      </c>
      <c r="E875" s="47"/>
      <c r="F875" s="13" t="s">
        <v>1779</v>
      </c>
      <c r="G875" s="12"/>
      <c r="H875" s="12"/>
      <c r="I875" s="12"/>
      <c r="J875" s="12"/>
      <c r="K875" s="12"/>
      <c r="L875" s="12"/>
      <c r="M875" s="12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9"/>
    </row>
    <row r="876">
      <c r="A876" s="5">
        <v>2.2201591E7</v>
      </c>
      <c r="B876" s="5" t="s">
        <v>1780</v>
      </c>
      <c r="C876" s="14" t="s">
        <v>853</v>
      </c>
      <c r="D876" s="14" t="s">
        <v>95</v>
      </c>
      <c r="E876" s="48"/>
      <c r="F876" s="14" t="s">
        <v>1781</v>
      </c>
      <c r="G876" s="7"/>
      <c r="H876" s="7"/>
      <c r="I876" s="7"/>
      <c r="J876" s="7"/>
      <c r="K876" s="7"/>
      <c r="L876" s="7"/>
      <c r="M876" s="7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9"/>
    </row>
    <row r="877">
      <c r="A877" s="10">
        <v>2.2201972E7</v>
      </c>
      <c r="B877" s="10" t="s">
        <v>1782</v>
      </c>
      <c r="C877" s="13" t="s">
        <v>853</v>
      </c>
      <c r="D877" s="13" t="s">
        <v>95</v>
      </c>
      <c r="E877" s="47"/>
      <c r="F877" s="13" t="s">
        <v>1783</v>
      </c>
      <c r="G877" s="12"/>
      <c r="H877" s="12"/>
      <c r="I877" s="12"/>
      <c r="J877" s="12"/>
      <c r="K877" s="12"/>
      <c r="L877" s="12"/>
      <c r="M877" s="12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9"/>
    </row>
    <row r="878">
      <c r="A878" s="5">
        <v>2.2299441E7</v>
      </c>
      <c r="B878" s="5" t="s">
        <v>1784</v>
      </c>
      <c r="C878" s="14" t="s">
        <v>853</v>
      </c>
      <c r="D878" s="14" t="s">
        <v>95</v>
      </c>
      <c r="E878" s="48"/>
      <c r="F878" s="14" t="s">
        <v>1785</v>
      </c>
      <c r="G878" s="7"/>
      <c r="H878" s="7"/>
      <c r="I878" s="7"/>
      <c r="J878" s="7"/>
      <c r="K878" s="7"/>
      <c r="L878" s="7"/>
      <c r="M878" s="7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9"/>
    </row>
    <row r="879">
      <c r="A879" s="10">
        <v>2.2301261E7</v>
      </c>
      <c r="B879" s="10" t="s">
        <v>1786</v>
      </c>
      <c r="C879" s="13" t="s">
        <v>853</v>
      </c>
      <c r="D879" s="13" t="s">
        <v>95</v>
      </c>
      <c r="E879" s="47"/>
      <c r="F879" s="13" t="s">
        <v>1787</v>
      </c>
      <c r="G879" s="12"/>
      <c r="H879" s="12"/>
      <c r="I879" s="12"/>
      <c r="J879" s="12"/>
      <c r="K879" s="12"/>
      <c r="L879" s="12"/>
      <c r="M879" s="12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9"/>
    </row>
    <row r="880">
      <c r="A880" s="5">
        <v>2.3101474E7</v>
      </c>
      <c r="B880" s="5" t="s">
        <v>1788</v>
      </c>
      <c r="C880" s="14" t="s">
        <v>853</v>
      </c>
      <c r="D880" s="14" t="s">
        <v>95</v>
      </c>
      <c r="E880" s="48"/>
      <c r="F880" s="14" t="s">
        <v>1789</v>
      </c>
      <c r="G880" s="7"/>
      <c r="H880" s="7"/>
      <c r="I880" s="7"/>
      <c r="J880" s="7"/>
      <c r="K880" s="7"/>
      <c r="L880" s="7"/>
      <c r="M880" s="7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9"/>
    </row>
    <row r="881">
      <c r="A881" s="10">
        <v>2.3101509E7</v>
      </c>
      <c r="B881" s="10" t="s">
        <v>1790</v>
      </c>
      <c r="C881" s="13" t="s">
        <v>853</v>
      </c>
      <c r="D881" s="13" t="s">
        <v>95</v>
      </c>
      <c r="E881" s="47"/>
      <c r="F881" s="13" t="s">
        <v>1791</v>
      </c>
      <c r="G881" s="12"/>
      <c r="H881" s="12"/>
      <c r="I881" s="12"/>
      <c r="J881" s="12"/>
      <c r="K881" s="12"/>
      <c r="L881" s="12"/>
      <c r="M881" s="12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9"/>
    </row>
    <row r="882">
      <c r="A882" s="5">
        <v>2.310154E7</v>
      </c>
      <c r="B882" s="5" t="s">
        <v>1792</v>
      </c>
      <c r="C882" s="14" t="s">
        <v>853</v>
      </c>
      <c r="D882" s="14" t="s">
        <v>95</v>
      </c>
      <c r="E882" s="48"/>
      <c r="F882" s="14" t="s">
        <v>1793</v>
      </c>
      <c r="G882" s="7"/>
      <c r="H882" s="7"/>
      <c r="I882" s="7"/>
      <c r="J882" s="7"/>
      <c r="K882" s="7"/>
      <c r="L882" s="7"/>
      <c r="M882" s="7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9"/>
    </row>
    <row r="883">
      <c r="A883" s="10">
        <v>2.3201418E7</v>
      </c>
      <c r="B883" s="10" t="s">
        <v>1794</v>
      </c>
      <c r="C883" s="13" t="s">
        <v>853</v>
      </c>
      <c r="D883" s="13" t="s">
        <v>95</v>
      </c>
      <c r="E883" s="47"/>
      <c r="F883" s="13" t="s">
        <v>1795</v>
      </c>
      <c r="G883" s="12"/>
      <c r="H883" s="12"/>
      <c r="I883" s="12"/>
      <c r="J883" s="12"/>
      <c r="K883" s="12"/>
      <c r="L883" s="12"/>
      <c r="M883" s="12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9"/>
    </row>
    <row r="884">
      <c r="A884" s="5">
        <v>2.3301301E7</v>
      </c>
      <c r="B884" s="5" t="s">
        <v>1796</v>
      </c>
      <c r="C884" s="14" t="s">
        <v>853</v>
      </c>
      <c r="D884" s="14" t="s">
        <v>95</v>
      </c>
      <c r="E884" s="48"/>
      <c r="F884" s="14" t="s">
        <v>1797</v>
      </c>
      <c r="G884" s="7"/>
      <c r="H884" s="7"/>
      <c r="I884" s="7"/>
      <c r="J884" s="7"/>
      <c r="K884" s="7"/>
      <c r="L884" s="7"/>
      <c r="M884" s="7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9"/>
    </row>
    <row r="885">
      <c r="A885" s="10">
        <v>2.330134E7</v>
      </c>
      <c r="B885" s="10" t="s">
        <v>1798</v>
      </c>
      <c r="C885" s="13" t="s">
        <v>853</v>
      </c>
      <c r="D885" s="13" t="s">
        <v>95</v>
      </c>
      <c r="E885" s="47"/>
      <c r="F885" s="13" t="s">
        <v>1799</v>
      </c>
      <c r="G885" s="12"/>
      <c r="H885" s="12"/>
      <c r="I885" s="12"/>
      <c r="J885" s="12"/>
      <c r="K885" s="12"/>
      <c r="L885" s="12"/>
      <c r="M885" s="12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9"/>
    </row>
    <row r="886">
      <c r="A886" s="5">
        <v>2.3301679E7</v>
      </c>
      <c r="B886" s="5" t="s">
        <v>1800</v>
      </c>
      <c r="C886" s="14" t="s">
        <v>853</v>
      </c>
      <c r="D886" s="14" t="s">
        <v>95</v>
      </c>
      <c r="E886" s="48"/>
      <c r="F886" s="14" t="s">
        <v>1801</v>
      </c>
      <c r="G886" s="7"/>
      <c r="H886" s="7"/>
      <c r="I886" s="7"/>
      <c r="J886" s="7"/>
      <c r="K886" s="7"/>
      <c r="L886" s="7"/>
      <c r="M886" s="7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9"/>
    </row>
    <row r="887">
      <c r="A887" s="10">
        <v>2.4101146E7</v>
      </c>
      <c r="B887" s="10" t="s">
        <v>1802</v>
      </c>
      <c r="C887" s="13" t="s">
        <v>853</v>
      </c>
      <c r="D887" s="13" t="s">
        <v>95</v>
      </c>
      <c r="E887" s="47"/>
      <c r="F887" s="13" t="s">
        <v>1803</v>
      </c>
      <c r="G887" s="12"/>
      <c r="H887" s="12"/>
      <c r="I887" s="12"/>
      <c r="J887" s="12"/>
      <c r="K887" s="12"/>
      <c r="L887" s="12"/>
      <c r="M887" s="12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9"/>
    </row>
    <row r="888">
      <c r="A888" s="5">
        <v>2.4101174E7</v>
      </c>
      <c r="B888" s="5" t="s">
        <v>1804</v>
      </c>
      <c r="C888" s="14" t="s">
        <v>853</v>
      </c>
      <c r="D888" s="14" t="s">
        <v>95</v>
      </c>
      <c r="E888" s="48"/>
      <c r="F888" s="14" t="s">
        <v>1805</v>
      </c>
      <c r="G888" s="7"/>
      <c r="H888" s="7"/>
      <c r="I888" s="7"/>
      <c r="J888" s="7"/>
      <c r="K888" s="7"/>
      <c r="L888" s="7"/>
      <c r="M888" s="7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9"/>
    </row>
    <row r="889">
      <c r="A889" s="10">
        <v>2.4101251E7</v>
      </c>
      <c r="B889" s="10" t="s">
        <v>1806</v>
      </c>
      <c r="C889" s="13" t="s">
        <v>853</v>
      </c>
      <c r="D889" s="13" t="s">
        <v>95</v>
      </c>
      <c r="E889" s="47"/>
      <c r="F889" s="13" t="s">
        <v>1807</v>
      </c>
      <c r="G889" s="12"/>
      <c r="H889" s="12"/>
      <c r="I889" s="12"/>
      <c r="J889" s="12"/>
      <c r="K889" s="12"/>
      <c r="L889" s="12"/>
      <c r="M889" s="12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9"/>
    </row>
    <row r="890">
      <c r="A890" s="5">
        <v>2.4101292E7</v>
      </c>
      <c r="B890" s="5" t="s">
        <v>1808</v>
      </c>
      <c r="C890" s="14" t="s">
        <v>853</v>
      </c>
      <c r="D890" s="14" t="s">
        <v>95</v>
      </c>
      <c r="E890" s="48"/>
      <c r="F890" s="14" t="s">
        <v>1809</v>
      </c>
      <c r="G890" s="7"/>
      <c r="H890" s="7"/>
      <c r="I890" s="7"/>
      <c r="J890" s="7"/>
      <c r="K890" s="7"/>
      <c r="L890" s="7"/>
      <c r="M890" s="7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9"/>
    </row>
    <row r="891">
      <c r="A891" s="10">
        <v>2.4101304E7</v>
      </c>
      <c r="B891" s="10" t="s">
        <v>1810</v>
      </c>
      <c r="C891" s="13" t="s">
        <v>853</v>
      </c>
      <c r="D891" s="13" t="s">
        <v>95</v>
      </c>
      <c r="E891" s="47"/>
      <c r="F891" s="13" t="s">
        <v>1811</v>
      </c>
      <c r="G891" s="12"/>
      <c r="H891" s="12"/>
      <c r="I891" s="12"/>
      <c r="J891" s="12"/>
      <c r="K891" s="12"/>
      <c r="L891" s="12"/>
      <c r="M891" s="12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9"/>
    </row>
    <row r="892">
      <c r="A892" s="5">
        <v>2.4101352E7</v>
      </c>
      <c r="B892" s="5" t="s">
        <v>1812</v>
      </c>
      <c r="C892" s="14" t="s">
        <v>853</v>
      </c>
      <c r="D892" s="14" t="s">
        <v>95</v>
      </c>
      <c r="E892" s="48"/>
      <c r="F892" s="14" t="s">
        <v>1813</v>
      </c>
      <c r="G892" s="7"/>
      <c r="H892" s="7"/>
      <c r="I892" s="7"/>
      <c r="J892" s="7"/>
      <c r="K892" s="7"/>
      <c r="L892" s="7"/>
      <c r="M892" s="7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9"/>
    </row>
    <row r="893">
      <c r="A893" s="10">
        <v>2.4101439E7</v>
      </c>
      <c r="B893" s="10" t="s">
        <v>1814</v>
      </c>
      <c r="C893" s="13" t="s">
        <v>853</v>
      </c>
      <c r="D893" s="13" t="s">
        <v>95</v>
      </c>
      <c r="E893" s="47"/>
      <c r="F893" s="13" t="s">
        <v>1815</v>
      </c>
      <c r="G893" s="12"/>
      <c r="H893" s="12"/>
      <c r="I893" s="12"/>
      <c r="J893" s="12"/>
      <c r="K893" s="12"/>
      <c r="L893" s="12"/>
      <c r="M893" s="12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9"/>
    </row>
    <row r="894">
      <c r="A894" s="5">
        <v>2.4101511E7</v>
      </c>
      <c r="B894" s="5" t="s">
        <v>1816</v>
      </c>
      <c r="C894" s="14" t="s">
        <v>853</v>
      </c>
      <c r="D894" s="14" t="s">
        <v>95</v>
      </c>
      <c r="E894" s="48"/>
      <c r="F894" s="14" t="s">
        <v>1817</v>
      </c>
      <c r="G894" s="7"/>
      <c r="H894" s="7"/>
      <c r="I894" s="7"/>
      <c r="J894" s="7"/>
      <c r="K894" s="7"/>
      <c r="L894" s="7"/>
      <c r="M894" s="7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9"/>
    </row>
    <row r="895">
      <c r="A895" s="10">
        <v>2.4101587E7</v>
      </c>
      <c r="B895" s="10" t="s">
        <v>1818</v>
      </c>
      <c r="C895" s="13" t="s">
        <v>853</v>
      </c>
      <c r="D895" s="13" t="s">
        <v>95</v>
      </c>
      <c r="E895" s="47"/>
      <c r="F895" s="13" t="s">
        <v>1819</v>
      </c>
      <c r="G895" s="12"/>
      <c r="H895" s="12"/>
      <c r="I895" s="12"/>
      <c r="J895" s="12"/>
      <c r="K895" s="12"/>
      <c r="L895" s="12"/>
      <c r="M895" s="12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9"/>
    </row>
    <row r="896">
      <c r="A896" s="5">
        <v>2.4201039E7</v>
      </c>
      <c r="B896" s="5" t="s">
        <v>1820</v>
      </c>
      <c r="C896" s="14" t="s">
        <v>853</v>
      </c>
      <c r="D896" s="14" t="s">
        <v>95</v>
      </c>
      <c r="E896" s="48"/>
      <c r="F896" s="14" t="s">
        <v>1821</v>
      </c>
      <c r="G896" s="7"/>
      <c r="H896" s="7"/>
      <c r="I896" s="7"/>
      <c r="J896" s="7"/>
      <c r="K896" s="7"/>
      <c r="L896" s="7"/>
      <c r="M896" s="7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9"/>
    </row>
    <row r="897">
      <c r="A897" s="10">
        <v>2.420129E7</v>
      </c>
      <c r="B897" s="10" t="s">
        <v>1822</v>
      </c>
      <c r="C897" s="13" t="s">
        <v>853</v>
      </c>
      <c r="D897" s="13" t="s">
        <v>95</v>
      </c>
      <c r="E897" s="47"/>
      <c r="F897" s="13" t="s">
        <v>1823</v>
      </c>
      <c r="G897" s="12"/>
      <c r="H897" s="12"/>
      <c r="I897" s="12"/>
      <c r="J897" s="12"/>
      <c r="K897" s="12"/>
      <c r="L897" s="12"/>
      <c r="M897" s="12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9"/>
    </row>
    <row r="898">
      <c r="A898" s="5">
        <v>2.4201301E7</v>
      </c>
      <c r="B898" s="5" t="s">
        <v>1824</v>
      </c>
      <c r="C898" s="14" t="s">
        <v>853</v>
      </c>
      <c r="D898" s="14" t="s">
        <v>95</v>
      </c>
      <c r="E898" s="48"/>
      <c r="F898" s="14" t="s">
        <v>1825</v>
      </c>
      <c r="G898" s="7"/>
      <c r="H898" s="7"/>
      <c r="I898" s="7"/>
      <c r="J898" s="7"/>
      <c r="K898" s="7"/>
      <c r="L898" s="7"/>
      <c r="M898" s="7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9"/>
    </row>
    <row r="899">
      <c r="A899" s="10">
        <v>2.4201326E7</v>
      </c>
      <c r="B899" s="10" t="s">
        <v>1826</v>
      </c>
      <c r="C899" s="13" t="s">
        <v>853</v>
      </c>
      <c r="D899" s="13" t="s">
        <v>95</v>
      </c>
      <c r="E899" s="47"/>
      <c r="F899" s="13" t="s">
        <v>1827</v>
      </c>
      <c r="G899" s="12"/>
      <c r="H899" s="12"/>
      <c r="I899" s="12"/>
      <c r="J899" s="12"/>
      <c r="K899" s="12"/>
      <c r="L899" s="12"/>
      <c r="M899" s="12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9"/>
    </row>
    <row r="900">
      <c r="A900" s="5">
        <v>2.4201385E7</v>
      </c>
      <c r="B900" s="5" t="s">
        <v>1828</v>
      </c>
      <c r="C900" s="14" t="s">
        <v>853</v>
      </c>
      <c r="D900" s="14" t="s">
        <v>95</v>
      </c>
      <c r="E900" s="48"/>
      <c r="F900" s="14" t="s">
        <v>1829</v>
      </c>
      <c r="G900" s="7"/>
      <c r="H900" s="7"/>
      <c r="I900" s="7"/>
      <c r="J900" s="7"/>
      <c r="K900" s="7"/>
      <c r="L900" s="7"/>
      <c r="M900" s="7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9"/>
    </row>
    <row r="901">
      <c r="A901" s="10">
        <v>2.4201442E7</v>
      </c>
      <c r="B901" s="10" t="s">
        <v>1830</v>
      </c>
      <c r="C901" s="13" t="s">
        <v>853</v>
      </c>
      <c r="D901" s="13" t="s">
        <v>95</v>
      </c>
      <c r="E901" s="47"/>
      <c r="F901" s="13" t="s">
        <v>1831</v>
      </c>
      <c r="G901" s="12"/>
      <c r="H901" s="12"/>
      <c r="I901" s="12"/>
      <c r="J901" s="12"/>
      <c r="K901" s="12"/>
      <c r="L901" s="12"/>
      <c r="M901" s="12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9"/>
    </row>
    <row r="902">
      <c r="A902" s="5">
        <v>2.4201445E7</v>
      </c>
      <c r="B902" s="5" t="s">
        <v>1832</v>
      </c>
      <c r="C902" s="14" t="s">
        <v>853</v>
      </c>
      <c r="D902" s="14" t="s">
        <v>95</v>
      </c>
      <c r="E902" s="48"/>
      <c r="F902" s="14" t="s">
        <v>1833</v>
      </c>
      <c r="G902" s="7"/>
      <c r="H902" s="7"/>
      <c r="I902" s="7"/>
      <c r="J902" s="7"/>
      <c r="K902" s="7"/>
      <c r="L902" s="7"/>
      <c r="M902" s="7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9"/>
    </row>
    <row r="903">
      <c r="A903" s="10">
        <v>2.4204079E7</v>
      </c>
      <c r="B903" s="10" t="s">
        <v>1834</v>
      </c>
      <c r="C903" s="13" t="s">
        <v>853</v>
      </c>
      <c r="D903" s="13" t="s">
        <v>95</v>
      </c>
      <c r="E903" s="47"/>
      <c r="F903" s="13" t="s">
        <v>1835</v>
      </c>
      <c r="G903" s="12"/>
      <c r="H903" s="12"/>
      <c r="I903" s="12"/>
      <c r="J903" s="12"/>
      <c r="K903" s="12"/>
      <c r="L903" s="12"/>
      <c r="M903" s="12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9"/>
    </row>
    <row r="904">
      <c r="A904" s="5">
        <v>2.4236052E7</v>
      </c>
      <c r="B904" s="5" t="s">
        <v>1836</v>
      </c>
      <c r="C904" s="14" t="s">
        <v>853</v>
      </c>
      <c r="D904" s="14" t="s">
        <v>95</v>
      </c>
      <c r="E904" s="48"/>
      <c r="F904" s="14" t="s">
        <v>1837</v>
      </c>
      <c r="G904" s="7"/>
      <c r="H904" s="7"/>
      <c r="I904" s="7"/>
      <c r="J904" s="7"/>
      <c r="K904" s="7"/>
      <c r="L904" s="7"/>
      <c r="M904" s="7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9"/>
    </row>
    <row r="905">
      <c r="A905" s="10">
        <v>2.4301215E7</v>
      </c>
      <c r="B905" s="10" t="s">
        <v>1838</v>
      </c>
      <c r="C905" s="13" t="s">
        <v>853</v>
      </c>
      <c r="D905" s="13" t="s">
        <v>95</v>
      </c>
      <c r="E905" s="47"/>
      <c r="F905" s="13" t="s">
        <v>1839</v>
      </c>
      <c r="G905" s="12"/>
      <c r="H905" s="12"/>
      <c r="I905" s="12"/>
      <c r="J905" s="12"/>
      <c r="K905" s="12"/>
      <c r="L905" s="12"/>
      <c r="M905" s="12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9"/>
    </row>
    <row r="906">
      <c r="A906" s="5">
        <v>2.4301491E7</v>
      </c>
      <c r="B906" s="5" t="s">
        <v>1840</v>
      </c>
      <c r="C906" s="14" t="s">
        <v>853</v>
      </c>
      <c r="D906" s="14" t="s">
        <v>95</v>
      </c>
      <c r="E906" s="48"/>
      <c r="F906" s="14" t="s">
        <v>1841</v>
      </c>
      <c r="G906" s="7"/>
      <c r="H906" s="7"/>
      <c r="I906" s="7"/>
      <c r="J906" s="7"/>
      <c r="K906" s="7"/>
      <c r="L906" s="7"/>
      <c r="M906" s="7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9"/>
    </row>
    <row r="907">
      <c r="A907" s="10">
        <v>2.4321273E7</v>
      </c>
      <c r="B907" s="10" t="s">
        <v>1842</v>
      </c>
      <c r="C907" s="13" t="s">
        <v>853</v>
      </c>
      <c r="D907" s="13" t="s">
        <v>95</v>
      </c>
      <c r="E907" s="47"/>
      <c r="F907" s="13" t="s">
        <v>1843</v>
      </c>
      <c r="G907" s="12"/>
      <c r="H907" s="12"/>
      <c r="I907" s="12"/>
      <c r="J907" s="12"/>
      <c r="K907" s="12"/>
      <c r="L907" s="12"/>
      <c r="M907" s="12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9"/>
    </row>
    <row r="908">
      <c r="A908" s="5">
        <v>2.5115002E7</v>
      </c>
      <c r="B908" s="5" t="s">
        <v>1844</v>
      </c>
      <c r="C908" s="14" t="s">
        <v>853</v>
      </c>
      <c r="D908" s="14" t="s">
        <v>95</v>
      </c>
      <c r="E908" s="48"/>
      <c r="F908" s="14" t="s">
        <v>1845</v>
      </c>
      <c r="G908" s="7"/>
      <c r="H908" s="7"/>
      <c r="I908" s="7"/>
      <c r="J908" s="7"/>
      <c r="K908" s="7"/>
      <c r="L908" s="7"/>
      <c r="M908" s="7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9"/>
    </row>
    <row r="909">
      <c r="A909" s="10">
        <v>1.000054119E9</v>
      </c>
      <c r="B909" s="10" t="s">
        <v>1846</v>
      </c>
      <c r="C909" s="13" t="s">
        <v>853</v>
      </c>
      <c r="D909" s="13" t="s">
        <v>95</v>
      </c>
      <c r="E909" s="47"/>
      <c r="F909" s="13" t="s">
        <v>1847</v>
      </c>
      <c r="G909" s="12"/>
      <c r="H909" s="12"/>
      <c r="I909" s="12"/>
      <c r="J909" s="12"/>
      <c r="K909" s="12"/>
      <c r="L909" s="12"/>
      <c r="M909" s="12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9"/>
    </row>
    <row r="910">
      <c r="A910" s="5">
        <v>1.000054198E9</v>
      </c>
      <c r="B910" s="5" t="s">
        <v>1848</v>
      </c>
      <c r="C910" s="14" t="s">
        <v>853</v>
      </c>
      <c r="D910" s="14" t="s">
        <v>95</v>
      </c>
      <c r="E910" s="48"/>
      <c r="F910" s="14" t="s">
        <v>1849</v>
      </c>
      <c r="G910" s="7"/>
      <c r="H910" s="7"/>
      <c r="I910" s="7"/>
      <c r="J910" s="7"/>
      <c r="K910" s="7"/>
      <c r="L910" s="7"/>
      <c r="M910" s="7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9"/>
    </row>
    <row r="911">
      <c r="A911" s="10">
        <v>1.000054318E9</v>
      </c>
      <c r="B911" s="10" t="s">
        <v>1850</v>
      </c>
      <c r="C911" s="13" t="s">
        <v>853</v>
      </c>
      <c r="D911" s="13" t="s">
        <v>95</v>
      </c>
      <c r="E911" s="47"/>
      <c r="F911" s="13" t="s">
        <v>1851</v>
      </c>
      <c r="G911" s="12"/>
      <c r="H911" s="12"/>
      <c r="I911" s="12"/>
      <c r="J911" s="12"/>
      <c r="K911" s="12"/>
      <c r="L911" s="12"/>
      <c r="M911" s="12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9"/>
    </row>
    <row r="912">
      <c r="A912" s="5">
        <v>1.000054493E9</v>
      </c>
      <c r="B912" s="5" t="s">
        <v>1852</v>
      </c>
      <c r="C912" s="14" t="s">
        <v>853</v>
      </c>
      <c r="D912" s="14" t="s">
        <v>95</v>
      </c>
      <c r="E912" s="48"/>
      <c r="F912" s="14" t="s">
        <v>1853</v>
      </c>
      <c r="G912" s="7"/>
      <c r="H912" s="7"/>
      <c r="I912" s="7"/>
      <c r="J912" s="7"/>
      <c r="K912" s="7"/>
      <c r="L912" s="7"/>
      <c r="M912" s="7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9"/>
    </row>
    <row r="913">
      <c r="A913" s="10">
        <v>1.000054655E9</v>
      </c>
      <c r="B913" s="10" t="s">
        <v>1854</v>
      </c>
      <c r="C913" s="13" t="s">
        <v>853</v>
      </c>
      <c r="D913" s="13" t="s">
        <v>95</v>
      </c>
      <c r="E913" s="47"/>
      <c r="F913" s="13" t="s">
        <v>1855</v>
      </c>
      <c r="G913" s="12"/>
      <c r="H913" s="12"/>
      <c r="I913" s="12"/>
      <c r="J913" s="12"/>
      <c r="K913" s="12"/>
      <c r="L913" s="12"/>
      <c r="M913" s="12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9"/>
    </row>
    <row r="914">
      <c r="A914" s="5">
        <v>1.000054693E9</v>
      </c>
      <c r="B914" s="5" t="s">
        <v>1856</v>
      </c>
      <c r="C914" s="14" t="s">
        <v>853</v>
      </c>
      <c r="D914" s="14" t="s">
        <v>95</v>
      </c>
      <c r="E914" s="48"/>
      <c r="F914" s="14" t="s">
        <v>1857</v>
      </c>
      <c r="G914" s="7"/>
      <c r="H914" s="7"/>
      <c r="I914" s="7"/>
      <c r="J914" s="7"/>
      <c r="K914" s="7"/>
      <c r="L914" s="7"/>
      <c r="M914" s="7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9"/>
    </row>
    <row r="915">
      <c r="A915" s="10">
        <v>1.000054756E9</v>
      </c>
      <c r="B915" s="10" t="s">
        <v>1858</v>
      </c>
      <c r="C915" s="13" t="s">
        <v>853</v>
      </c>
      <c r="D915" s="13" t="s">
        <v>95</v>
      </c>
      <c r="E915" s="47"/>
      <c r="F915" s="13" t="s">
        <v>1859</v>
      </c>
      <c r="G915" s="12"/>
      <c r="H915" s="12"/>
      <c r="I915" s="12"/>
      <c r="J915" s="12"/>
      <c r="K915" s="12"/>
      <c r="L915" s="12"/>
      <c r="M915" s="12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9"/>
    </row>
    <row r="916">
      <c r="A916" s="5">
        <v>1.000054917E9</v>
      </c>
      <c r="B916" s="5" t="s">
        <v>1860</v>
      </c>
      <c r="C916" s="14" t="s">
        <v>853</v>
      </c>
      <c r="D916" s="14" t="s">
        <v>95</v>
      </c>
      <c r="E916" s="48"/>
      <c r="F916" s="14" t="s">
        <v>1861</v>
      </c>
      <c r="G916" s="7"/>
      <c r="H916" s="7"/>
      <c r="I916" s="7"/>
      <c r="J916" s="7"/>
      <c r="K916" s="7"/>
      <c r="L916" s="7"/>
      <c r="M916" s="7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9"/>
    </row>
    <row r="917">
      <c r="A917" s="10">
        <v>1.000055263E9</v>
      </c>
      <c r="B917" s="10" t="s">
        <v>1862</v>
      </c>
      <c r="C917" s="13" t="s">
        <v>853</v>
      </c>
      <c r="D917" s="13" t="s">
        <v>95</v>
      </c>
      <c r="E917" s="47"/>
      <c r="F917" s="13" t="s">
        <v>1863</v>
      </c>
      <c r="G917" s="12"/>
      <c r="H917" s="12"/>
      <c r="I917" s="12"/>
      <c r="J917" s="12"/>
      <c r="K917" s="12"/>
      <c r="L917" s="12"/>
      <c r="M917" s="12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9"/>
    </row>
    <row r="918">
      <c r="A918" s="5">
        <v>1.000055462E9</v>
      </c>
      <c r="B918" s="5" t="s">
        <v>1864</v>
      </c>
      <c r="C918" s="14" t="s">
        <v>853</v>
      </c>
      <c r="D918" s="14" t="s">
        <v>95</v>
      </c>
      <c r="E918" s="48"/>
      <c r="F918" s="14" t="s">
        <v>1865</v>
      </c>
      <c r="G918" s="7"/>
      <c r="H918" s="7"/>
      <c r="I918" s="7"/>
      <c r="J918" s="7"/>
      <c r="K918" s="7"/>
      <c r="L918" s="7"/>
      <c r="M918" s="7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9"/>
    </row>
    <row r="919">
      <c r="A919" s="10">
        <v>2.3101512E7</v>
      </c>
      <c r="B919" s="10" t="s">
        <v>1866</v>
      </c>
      <c r="C919" s="13" t="s">
        <v>853</v>
      </c>
      <c r="D919" s="13" t="s">
        <v>95</v>
      </c>
      <c r="E919" s="47"/>
      <c r="F919" s="13" t="s">
        <v>1867</v>
      </c>
      <c r="G919" s="12"/>
      <c r="H919" s="12"/>
      <c r="I919" s="12"/>
      <c r="J919" s="12"/>
      <c r="K919" s="12"/>
      <c r="L919" s="12"/>
      <c r="M919" s="12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9"/>
    </row>
    <row r="920">
      <c r="A920" s="5">
        <v>2.4101657E7</v>
      </c>
      <c r="B920" s="5" t="s">
        <v>1868</v>
      </c>
      <c r="C920" s="14" t="s">
        <v>853</v>
      </c>
      <c r="D920" s="14" t="s">
        <v>95</v>
      </c>
      <c r="E920" s="48"/>
      <c r="F920" s="14" t="s">
        <v>1869</v>
      </c>
      <c r="G920" s="7"/>
      <c r="H920" s="7"/>
      <c r="I920" s="7"/>
      <c r="J920" s="7"/>
      <c r="K920" s="7"/>
      <c r="L920" s="7"/>
      <c r="M920" s="7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9"/>
    </row>
    <row r="921">
      <c r="A921" s="10">
        <v>2.430152E7</v>
      </c>
      <c r="B921" s="10" t="s">
        <v>1870</v>
      </c>
      <c r="C921" s="13" t="s">
        <v>853</v>
      </c>
      <c r="D921" s="13" t="s">
        <v>95</v>
      </c>
      <c r="E921" s="47"/>
      <c r="F921" s="13" t="s">
        <v>1871</v>
      </c>
      <c r="G921" s="12"/>
      <c r="H921" s="12"/>
      <c r="I921" s="12"/>
      <c r="J921" s="12"/>
      <c r="K921" s="12"/>
      <c r="L921" s="12"/>
      <c r="M921" s="12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9"/>
    </row>
    <row r="922">
      <c r="A922" s="5">
        <v>1.000054161E9</v>
      </c>
      <c r="B922" s="5" t="s">
        <v>1872</v>
      </c>
      <c r="C922" s="14" t="s">
        <v>853</v>
      </c>
      <c r="D922" s="14" t="s">
        <v>95</v>
      </c>
      <c r="E922" s="48"/>
      <c r="F922" s="14" t="s">
        <v>1873</v>
      </c>
      <c r="G922" s="7"/>
      <c r="H922" s="7"/>
      <c r="I922" s="7"/>
      <c r="J922" s="7"/>
      <c r="K922" s="7"/>
      <c r="L922" s="7"/>
      <c r="M922" s="7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9"/>
    </row>
    <row r="923">
      <c r="A923" s="10">
        <v>1.000054205E9</v>
      </c>
      <c r="B923" s="10" t="s">
        <v>1874</v>
      </c>
      <c r="C923" s="13" t="s">
        <v>853</v>
      </c>
      <c r="D923" s="13" t="s">
        <v>95</v>
      </c>
      <c r="E923" s="47"/>
      <c r="F923" s="13" t="s">
        <v>1875</v>
      </c>
      <c r="G923" s="12"/>
      <c r="H923" s="12"/>
      <c r="I923" s="12"/>
      <c r="J923" s="12"/>
      <c r="K923" s="12"/>
      <c r="L923" s="12"/>
      <c r="M923" s="12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9"/>
    </row>
    <row r="924">
      <c r="A924" s="5">
        <v>1.000055069E9</v>
      </c>
      <c r="B924" s="5" t="s">
        <v>1876</v>
      </c>
      <c r="C924" s="14" t="s">
        <v>853</v>
      </c>
      <c r="D924" s="14" t="s">
        <v>95</v>
      </c>
      <c r="E924" s="48"/>
      <c r="F924" s="14" t="s">
        <v>1877</v>
      </c>
      <c r="G924" s="7"/>
      <c r="H924" s="7"/>
      <c r="I924" s="7"/>
      <c r="J924" s="7"/>
      <c r="K924" s="7"/>
      <c r="L924" s="7"/>
      <c r="M924" s="7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9"/>
    </row>
    <row r="925">
      <c r="A925" s="10">
        <v>1.000055799E9</v>
      </c>
      <c r="B925" s="10" t="s">
        <v>1878</v>
      </c>
      <c r="C925" s="13" t="s">
        <v>853</v>
      </c>
      <c r="D925" s="13" t="s">
        <v>95</v>
      </c>
      <c r="E925" s="47"/>
      <c r="F925" s="13" t="s">
        <v>1879</v>
      </c>
      <c r="G925" s="12"/>
      <c r="H925" s="12"/>
      <c r="I925" s="12"/>
      <c r="J925" s="12"/>
      <c r="K925" s="12"/>
      <c r="L925" s="12"/>
      <c r="M925" s="12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9"/>
    </row>
    <row r="926">
      <c r="A926" s="5">
        <v>1.000056994E9</v>
      </c>
      <c r="B926" s="5" t="s">
        <v>1880</v>
      </c>
      <c r="C926" s="14" t="s">
        <v>853</v>
      </c>
      <c r="D926" s="14" t="s">
        <v>95</v>
      </c>
      <c r="E926" s="48"/>
      <c r="F926" s="14" t="s">
        <v>1881</v>
      </c>
      <c r="G926" s="7"/>
      <c r="H926" s="7"/>
      <c r="I926" s="7"/>
      <c r="J926" s="7"/>
      <c r="K926" s="7"/>
      <c r="L926" s="7"/>
      <c r="M926" s="7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9"/>
    </row>
    <row r="927">
      <c r="A927" s="10">
        <v>1.000055669E9</v>
      </c>
      <c r="B927" s="10" t="s">
        <v>1882</v>
      </c>
      <c r="C927" s="13" t="s">
        <v>853</v>
      </c>
      <c r="D927" s="13" t="s">
        <v>95</v>
      </c>
      <c r="E927" s="47"/>
      <c r="F927" s="13" t="s">
        <v>1883</v>
      </c>
      <c r="G927" s="12"/>
      <c r="H927" s="12"/>
      <c r="I927" s="12"/>
      <c r="J927" s="12"/>
      <c r="K927" s="12"/>
      <c r="L927" s="12"/>
      <c r="M927" s="12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9"/>
    </row>
    <row r="928">
      <c r="A928" s="5">
        <v>2.4321286E7</v>
      </c>
      <c r="B928" s="5" t="s">
        <v>1884</v>
      </c>
      <c r="C928" s="14" t="s">
        <v>853</v>
      </c>
      <c r="D928" s="14" t="s">
        <v>95</v>
      </c>
      <c r="E928" s="48"/>
      <c r="F928" s="14" t="s">
        <v>1885</v>
      </c>
      <c r="G928" s="7"/>
      <c r="H928" s="7"/>
      <c r="I928" s="7"/>
      <c r="J928" s="7"/>
      <c r="K928" s="7"/>
      <c r="L928" s="7"/>
      <c r="M928" s="7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9"/>
    </row>
    <row r="929">
      <c r="A929" s="10">
        <v>1.000058789E9</v>
      </c>
      <c r="B929" s="10" t="s">
        <v>1886</v>
      </c>
      <c r="C929" s="13" t="s">
        <v>853</v>
      </c>
      <c r="D929" s="13" t="s">
        <v>95</v>
      </c>
      <c r="E929" s="47"/>
      <c r="F929" s="13" t="s">
        <v>1887</v>
      </c>
      <c r="G929" s="12"/>
      <c r="H929" s="12"/>
      <c r="I929" s="12"/>
      <c r="J929" s="12"/>
      <c r="K929" s="12"/>
      <c r="L929" s="12"/>
      <c r="M929" s="12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9"/>
    </row>
    <row r="930">
      <c r="A930" s="5">
        <v>2.4321235E7</v>
      </c>
      <c r="B930" s="5" t="s">
        <v>1888</v>
      </c>
      <c r="C930" s="14" t="s">
        <v>853</v>
      </c>
      <c r="D930" s="14" t="s">
        <v>95</v>
      </c>
      <c r="E930" s="48"/>
      <c r="F930" s="14" t="s">
        <v>1889</v>
      </c>
      <c r="G930" s="7"/>
      <c r="H930" s="7"/>
      <c r="I930" s="7"/>
      <c r="J930" s="7"/>
      <c r="K930" s="7"/>
      <c r="L930" s="7"/>
      <c r="M930" s="7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9"/>
    </row>
    <row r="931">
      <c r="A931" s="10">
        <v>2.4101255E7</v>
      </c>
      <c r="B931" s="10" t="s">
        <v>1890</v>
      </c>
      <c r="C931" s="13" t="s">
        <v>853</v>
      </c>
      <c r="D931" s="13" t="s">
        <v>95</v>
      </c>
      <c r="E931" s="47"/>
      <c r="F931" s="13" t="s">
        <v>1891</v>
      </c>
      <c r="G931" s="12"/>
      <c r="H931" s="12"/>
      <c r="I931" s="12"/>
      <c r="J931" s="12"/>
      <c r="K931" s="12"/>
      <c r="L931" s="12"/>
      <c r="M931" s="12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9"/>
    </row>
    <row r="932">
      <c r="A932" s="5">
        <v>1.000058822E9</v>
      </c>
      <c r="B932" s="5" t="s">
        <v>1892</v>
      </c>
      <c r="C932" s="14" t="s">
        <v>853</v>
      </c>
      <c r="D932" s="14" t="s">
        <v>95</v>
      </c>
      <c r="E932" s="48"/>
      <c r="F932" s="14" t="s">
        <v>1893</v>
      </c>
      <c r="G932" s="7"/>
      <c r="H932" s="7"/>
      <c r="I932" s="7"/>
      <c r="J932" s="7"/>
      <c r="K932" s="7"/>
      <c r="L932" s="7"/>
      <c r="M932" s="7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9"/>
    </row>
    <row r="933">
      <c r="A933" s="10">
        <v>1.000057589E9</v>
      </c>
      <c r="B933" s="10" t="s">
        <v>1894</v>
      </c>
      <c r="C933" s="13" t="s">
        <v>853</v>
      </c>
      <c r="D933" s="13" t="s">
        <v>95</v>
      </c>
      <c r="E933" s="47"/>
      <c r="F933" s="13" t="s">
        <v>1895</v>
      </c>
      <c r="G933" s="12"/>
      <c r="H933" s="12"/>
      <c r="I933" s="12"/>
      <c r="J933" s="12"/>
      <c r="K933" s="12"/>
      <c r="L933" s="12"/>
      <c r="M933" s="12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9"/>
    </row>
    <row r="934">
      <c r="A934" s="5">
        <v>1.000055726E9</v>
      </c>
      <c r="B934" s="5" t="s">
        <v>1896</v>
      </c>
      <c r="C934" s="14" t="s">
        <v>853</v>
      </c>
      <c r="D934" s="14" t="s">
        <v>95</v>
      </c>
      <c r="E934" s="48"/>
      <c r="F934" s="14" t="s">
        <v>1897</v>
      </c>
      <c r="G934" s="7"/>
      <c r="H934" s="7"/>
      <c r="I934" s="7"/>
      <c r="J934" s="7"/>
      <c r="K934" s="7"/>
      <c r="L934" s="7"/>
      <c r="M934" s="7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9"/>
    </row>
    <row r="935">
      <c r="A935" s="10">
        <v>2.4301525E7</v>
      </c>
      <c r="B935" s="10" t="s">
        <v>1898</v>
      </c>
      <c r="C935" s="13" t="s">
        <v>853</v>
      </c>
      <c r="D935" s="13" t="s">
        <v>95</v>
      </c>
      <c r="E935" s="47"/>
      <c r="F935" s="13" t="s">
        <v>1899</v>
      </c>
      <c r="G935" s="12"/>
      <c r="H935" s="12"/>
      <c r="I935" s="12"/>
      <c r="J935" s="12"/>
      <c r="K935" s="12"/>
      <c r="L935" s="12"/>
      <c r="M935" s="12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9"/>
    </row>
    <row r="936">
      <c r="A936" s="5">
        <v>2.4301371E7</v>
      </c>
      <c r="B936" s="5" t="s">
        <v>1900</v>
      </c>
      <c r="C936" s="14" t="s">
        <v>853</v>
      </c>
      <c r="D936" s="14" t="s">
        <v>95</v>
      </c>
      <c r="E936" s="48"/>
      <c r="F936" s="14" t="s">
        <v>1901</v>
      </c>
      <c r="G936" s="7"/>
      <c r="H936" s="7"/>
      <c r="I936" s="7"/>
      <c r="J936" s="7"/>
      <c r="K936" s="7"/>
      <c r="L936" s="7"/>
      <c r="M936" s="7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9"/>
    </row>
    <row r="937">
      <c r="A937" s="10">
        <v>1.000055949E9</v>
      </c>
      <c r="B937" s="10" t="s">
        <v>1902</v>
      </c>
      <c r="C937" s="13" t="s">
        <v>853</v>
      </c>
      <c r="D937" s="13" t="s">
        <v>95</v>
      </c>
      <c r="E937" s="47"/>
      <c r="F937" s="13" t="s">
        <v>1903</v>
      </c>
      <c r="G937" s="12"/>
      <c r="H937" s="12"/>
      <c r="I937" s="12"/>
      <c r="J937" s="12"/>
      <c r="K937" s="12"/>
      <c r="L937" s="12"/>
      <c r="M937" s="12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9"/>
    </row>
    <row r="938">
      <c r="A938" s="5">
        <v>2.4301493E7</v>
      </c>
      <c r="B938" s="5" t="s">
        <v>1904</v>
      </c>
      <c r="C938" s="14" t="s">
        <v>853</v>
      </c>
      <c r="D938" s="14" t="s">
        <v>95</v>
      </c>
      <c r="E938" s="48"/>
      <c r="F938" s="14" t="s">
        <v>1905</v>
      </c>
      <c r="G938" s="7"/>
      <c r="H938" s="7"/>
      <c r="I938" s="7"/>
      <c r="J938" s="7"/>
      <c r="K938" s="7"/>
      <c r="L938" s="7"/>
      <c r="M938" s="7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9"/>
    </row>
    <row r="939">
      <c r="A939" s="10">
        <v>2.3201209E7</v>
      </c>
      <c r="B939" s="10" t="s">
        <v>1906</v>
      </c>
      <c r="C939" s="13" t="s">
        <v>853</v>
      </c>
      <c r="D939" s="13" t="s">
        <v>95</v>
      </c>
      <c r="E939" s="47"/>
      <c r="F939" s="13" t="s">
        <v>1907</v>
      </c>
      <c r="G939" s="12"/>
      <c r="H939" s="12"/>
      <c r="I939" s="12"/>
      <c r="J939" s="12"/>
      <c r="K939" s="12"/>
      <c r="L939" s="12"/>
      <c r="M939" s="12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9"/>
    </row>
    <row r="940">
      <c r="A940" s="5">
        <v>1.000058706E9</v>
      </c>
      <c r="B940" s="5" t="s">
        <v>1908</v>
      </c>
      <c r="C940" s="14" t="s">
        <v>853</v>
      </c>
      <c r="D940" s="14" t="s">
        <v>95</v>
      </c>
      <c r="E940" s="48"/>
      <c r="F940" s="14" t="s">
        <v>1909</v>
      </c>
      <c r="G940" s="7"/>
      <c r="H940" s="7"/>
      <c r="I940" s="7"/>
      <c r="J940" s="7"/>
      <c r="K940" s="7"/>
      <c r="L940" s="7"/>
      <c r="M940" s="7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9"/>
    </row>
    <row r="941">
      <c r="A941" s="10">
        <v>1.000058175E9</v>
      </c>
      <c r="B941" s="10" t="s">
        <v>1910</v>
      </c>
      <c r="C941" s="13" t="s">
        <v>853</v>
      </c>
      <c r="D941" s="13" t="s">
        <v>95</v>
      </c>
      <c r="E941" s="47"/>
      <c r="F941" s="13" t="s">
        <v>1911</v>
      </c>
      <c r="G941" s="12"/>
      <c r="H941" s="12"/>
      <c r="I941" s="12"/>
      <c r="J941" s="12"/>
      <c r="K941" s="12"/>
      <c r="L941" s="12"/>
      <c r="M941" s="12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9"/>
    </row>
    <row r="942">
      <c r="A942" s="5">
        <v>1.000057573E9</v>
      </c>
      <c r="B942" s="5" t="s">
        <v>1912</v>
      </c>
      <c r="C942" s="14" t="s">
        <v>853</v>
      </c>
      <c r="D942" s="14" t="s">
        <v>95</v>
      </c>
      <c r="E942" s="48"/>
      <c r="F942" s="14" t="s">
        <v>1913</v>
      </c>
      <c r="G942" s="7"/>
      <c r="H942" s="7"/>
      <c r="I942" s="7"/>
      <c r="J942" s="7"/>
      <c r="K942" s="7"/>
      <c r="L942" s="7"/>
      <c r="M942" s="7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9"/>
    </row>
    <row r="943">
      <c r="A943" s="10">
        <v>1.000056815E9</v>
      </c>
      <c r="B943" s="10" t="s">
        <v>1914</v>
      </c>
      <c r="C943" s="13" t="s">
        <v>853</v>
      </c>
      <c r="D943" s="13" t="s">
        <v>95</v>
      </c>
      <c r="E943" s="47"/>
      <c r="F943" s="13" t="s">
        <v>1915</v>
      </c>
      <c r="G943" s="12"/>
      <c r="H943" s="12"/>
      <c r="I943" s="12"/>
      <c r="J943" s="12"/>
      <c r="K943" s="12"/>
      <c r="L943" s="12"/>
      <c r="M943" s="12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9"/>
    </row>
    <row r="944">
      <c r="A944" s="5">
        <v>2.4321257E7</v>
      </c>
      <c r="B944" s="5" t="s">
        <v>1916</v>
      </c>
      <c r="C944" s="14" t="s">
        <v>853</v>
      </c>
      <c r="D944" s="14" t="s">
        <v>95</v>
      </c>
      <c r="E944" s="48"/>
      <c r="F944" s="14" t="s">
        <v>1917</v>
      </c>
      <c r="G944" s="7"/>
      <c r="H944" s="7"/>
      <c r="I944" s="7"/>
      <c r="J944" s="7"/>
      <c r="K944" s="7"/>
      <c r="L944" s="7"/>
      <c r="M944" s="7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9"/>
    </row>
    <row r="945">
      <c r="A945" s="10">
        <v>2.4301037E7</v>
      </c>
      <c r="B945" s="10" t="s">
        <v>1918</v>
      </c>
      <c r="C945" s="13" t="s">
        <v>853</v>
      </c>
      <c r="D945" s="13" t="s">
        <v>95</v>
      </c>
      <c r="E945" s="47"/>
      <c r="F945" s="13" t="s">
        <v>1919</v>
      </c>
      <c r="G945" s="12"/>
      <c r="H945" s="12"/>
      <c r="I945" s="12"/>
      <c r="J945" s="12"/>
      <c r="K945" s="12"/>
      <c r="L945" s="12"/>
      <c r="M945" s="12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9"/>
    </row>
    <row r="946">
      <c r="A946" s="5">
        <v>1.000058794E9</v>
      </c>
      <c r="B946" s="5" t="s">
        <v>1920</v>
      </c>
      <c r="C946" s="14" t="s">
        <v>853</v>
      </c>
      <c r="D946" s="14" t="s">
        <v>95</v>
      </c>
      <c r="E946" s="48"/>
      <c r="F946" s="14" t="s">
        <v>1921</v>
      </c>
      <c r="G946" s="7"/>
      <c r="H946" s="7"/>
      <c r="I946" s="7"/>
      <c r="J946" s="7"/>
      <c r="K946" s="7"/>
      <c r="L946" s="7"/>
      <c r="M946" s="7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9"/>
    </row>
    <row r="947">
      <c r="A947" s="10">
        <v>1.00005756E9</v>
      </c>
      <c r="B947" s="10" t="s">
        <v>1922</v>
      </c>
      <c r="C947" s="13" t="s">
        <v>853</v>
      </c>
      <c r="D947" s="13" t="s">
        <v>95</v>
      </c>
      <c r="E947" s="47"/>
      <c r="F947" s="13" t="s">
        <v>1923</v>
      </c>
      <c r="G947" s="12"/>
      <c r="H947" s="12"/>
      <c r="I947" s="12"/>
      <c r="J947" s="12"/>
      <c r="K947" s="12"/>
      <c r="L947" s="12"/>
      <c r="M947" s="12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9"/>
    </row>
    <row r="948">
      <c r="A948" s="5">
        <v>2.4301128E7</v>
      </c>
      <c r="B948" s="5" t="s">
        <v>1924</v>
      </c>
      <c r="C948" s="14" t="s">
        <v>853</v>
      </c>
      <c r="D948" s="14" t="s">
        <v>95</v>
      </c>
      <c r="E948" s="48"/>
      <c r="F948" s="14" t="s">
        <v>1925</v>
      </c>
      <c r="G948" s="7"/>
      <c r="H948" s="7"/>
      <c r="I948" s="7"/>
      <c r="J948" s="7"/>
      <c r="K948" s="7"/>
      <c r="L948" s="7"/>
      <c r="M948" s="7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9"/>
    </row>
    <row r="949">
      <c r="A949" s="10">
        <v>2.4201355E7</v>
      </c>
      <c r="B949" s="10" t="s">
        <v>1926</v>
      </c>
      <c r="C949" s="13" t="s">
        <v>853</v>
      </c>
      <c r="D949" s="13" t="s">
        <v>95</v>
      </c>
      <c r="E949" s="47"/>
      <c r="F949" s="13" t="s">
        <v>1927</v>
      </c>
      <c r="G949" s="12"/>
      <c r="H949" s="12"/>
      <c r="I949" s="12"/>
      <c r="J949" s="12"/>
      <c r="K949" s="12"/>
      <c r="L949" s="12"/>
      <c r="M949" s="12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9"/>
    </row>
    <row r="950">
      <c r="A950" s="5">
        <v>2.4301096E7</v>
      </c>
      <c r="B950" s="5" t="s">
        <v>1928</v>
      </c>
      <c r="C950" s="14" t="s">
        <v>853</v>
      </c>
      <c r="D950" s="14" t="s">
        <v>95</v>
      </c>
      <c r="E950" s="48"/>
      <c r="F950" s="14" t="s">
        <v>1929</v>
      </c>
      <c r="G950" s="7"/>
      <c r="H950" s="7"/>
      <c r="I950" s="7"/>
      <c r="J950" s="7"/>
      <c r="K950" s="7"/>
      <c r="L950" s="7"/>
      <c r="M950" s="7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9"/>
    </row>
    <row r="951">
      <c r="A951" s="10">
        <v>1.000056902E9</v>
      </c>
      <c r="B951" s="10" t="s">
        <v>1930</v>
      </c>
      <c r="C951" s="13" t="s">
        <v>853</v>
      </c>
      <c r="D951" s="13" t="s">
        <v>95</v>
      </c>
      <c r="E951" s="47"/>
      <c r="F951" s="13" t="s">
        <v>1931</v>
      </c>
      <c r="G951" s="12"/>
      <c r="H951" s="12"/>
      <c r="I951" s="12"/>
      <c r="J951" s="12"/>
      <c r="K951" s="12"/>
      <c r="L951" s="12"/>
      <c r="M951" s="12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9"/>
    </row>
    <row r="952">
      <c r="A952" s="5">
        <v>2.4101429E7</v>
      </c>
      <c r="B952" s="5" t="s">
        <v>1932</v>
      </c>
      <c r="C952" s="14" t="s">
        <v>853</v>
      </c>
      <c r="D952" s="14" t="s">
        <v>95</v>
      </c>
      <c r="E952" s="48"/>
      <c r="F952" s="14" t="s">
        <v>1933</v>
      </c>
      <c r="G952" s="7"/>
      <c r="H952" s="7"/>
      <c r="I952" s="7"/>
      <c r="J952" s="7"/>
      <c r="K952" s="7"/>
      <c r="L952" s="7"/>
      <c r="M952" s="7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9"/>
    </row>
    <row r="953">
      <c r="A953" s="10">
        <v>2.4101178E7</v>
      </c>
      <c r="B953" s="10" t="s">
        <v>1934</v>
      </c>
      <c r="C953" s="13" t="s">
        <v>853</v>
      </c>
      <c r="D953" s="13" t="s">
        <v>95</v>
      </c>
      <c r="E953" s="47"/>
      <c r="F953" s="13" t="s">
        <v>1935</v>
      </c>
      <c r="G953" s="12"/>
      <c r="H953" s="12"/>
      <c r="I953" s="12"/>
      <c r="J953" s="12"/>
      <c r="K953" s="12"/>
      <c r="L953" s="12"/>
      <c r="M953" s="12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9"/>
    </row>
    <row r="954">
      <c r="A954" s="5">
        <v>2.4301266E7</v>
      </c>
      <c r="B954" s="5" t="s">
        <v>1936</v>
      </c>
      <c r="C954" s="14" t="s">
        <v>853</v>
      </c>
      <c r="D954" s="14" t="s">
        <v>95</v>
      </c>
      <c r="E954" s="48"/>
      <c r="F954" s="14" t="s">
        <v>1937</v>
      </c>
      <c r="G954" s="7"/>
      <c r="H954" s="7"/>
      <c r="I954" s="7"/>
      <c r="J954" s="7"/>
      <c r="K954" s="7"/>
      <c r="L954" s="7"/>
      <c r="M954" s="7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9"/>
    </row>
    <row r="955">
      <c r="A955" s="28">
        <v>2.4201432E7</v>
      </c>
      <c r="B955" s="28" t="s">
        <v>1938</v>
      </c>
      <c r="C955" s="29" t="s">
        <v>853</v>
      </c>
      <c r="D955" s="29" t="s">
        <v>95</v>
      </c>
      <c r="E955" s="49"/>
      <c r="F955" s="29" t="s">
        <v>1939</v>
      </c>
      <c r="G955" s="12"/>
      <c r="H955" s="12"/>
      <c r="I955" s="12"/>
      <c r="J955" s="12"/>
      <c r="K955" s="12"/>
      <c r="L955" s="12"/>
      <c r="M955" s="12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9"/>
    </row>
    <row r="956">
      <c r="A956" s="30"/>
      <c r="B956" s="30"/>
      <c r="C956" s="50"/>
      <c r="D956" s="31"/>
      <c r="E956" s="51"/>
      <c r="F956" s="31"/>
      <c r="G956" s="7"/>
      <c r="H956" s="7"/>
      <c r="I956" s="7"/>
      <c r="J956" s="7"/>
      <c r="K956" s="7"/>
      <c r="L956" s="7"/>
      <c r="M956" s="7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9"/>
    </row>
    <row r="957">
      <c r="A957" s="32">
        <v>2.2301325E7</v>
      </c>
      <c r="B957" s="32" t="s">
        <v>1940</v>
      </c>
      <c r="C957" s="33" t="s">
        <v>1941</v>
      </c>
      <c r="D957" s="34" t="s">
        <v>25</v>
      </c>
      <c r="E957" s="52"/>
      <c r="F957" s="34" t="s">
        <v>1942</v>
      </c>
      <c r="G957" s="12"/>
      <c r="H957" s="12"/>
      <c r="I957" s="12"/>
      <c r="J957" s="12"/>
      <c r="K957" s="12"/>
      <c r="L957" s="12"/>
      <c r="M957" s="12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9"/>
    </row>
    <row r="958">
      <c r="A958" s="5">
        <v>2.3201509E7</v>
      </c>
      <c r="B958" s="5" t="s">
        <v>1943</v>
      </c>
      <c r="C958" s="35" t="s">
        <v>1941</v>
      </c>
      <c r="D958" s="14" t="s">
        <v>25</v>
      </c>
      <c r="E958" s="48"/>
      <c r="F958" s="14" t="s">
        <v>1944</v>
      </c>
      <c r="G958" s="7"/>
      <c r="H958" s="7"/>
      <c r="I958" s="7"/>
      <c r="J958" s="7"/>
      <c r="K958" s="7"/>
      <c r="L958" s="7"/>
      <c r="M958" s="7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9"/>
    </row>
    <row r="959">
      <c r="A959" s="10">
        <v>2.3301591E7</v>
      </c>
      <c r="B959" s="10" t="s">
        <v>1945</v>
      </c>
      <c r="C959" s="36" t="s">
        <v>1941</v>
      </c>
      <c r="D959" s="13" t="s">
        <v>32</v>
      </c>
      <c r="E959" s="47"/>
      <c r="F959" s="13" t="s">
        <v>1946</v>
      </c>
      <c r="G959" s="12"/>
      <c r="H959" s="12"/>
      <c r="I959" s="12"/>
      <c r="J959" s="12"/>
      <c r="K959" s="12"/>
      <c r="L959" s="12"/>
      <c r="M959" s="12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9"/>
    </row>
    <row r="960">
      <c r="A960" s="5">
        <v>2.3201058E7</v>
      </c>
      <c r="B960" s="5" t="s">
        <v>1947</v>
      </c>
      <c r="C960" s="35" t="s">
        <v>1941</v>
      </c>
      <c r="D960" s="14" t="s">
        <v>32</v>
      </c>
      <c r="E960" s="48"/>
      <c r="F960" s="14" t="s">
        <v>1948</v>
      </c>
      <c r="G960" s="7"/>
      <c r="H960" s="7"/>
      <c r="I960" s="7"/>
      <c r="J960" s="7"/>
      <c r="K960" s="7"/>
      <c r="L960" s="7"/>
      <c r="M960" s="7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9"/>
    </row>
    <row r="961">
      <c r="A961" s="10">
        <v>2.4315004E7</v>
      </c>
      <c r="B961" s="10" t="s">
        <v>1949</v>
      </c>
      <c r="C961" s="36" t="s">
        <v>1941</v>
      </c>
      <c r="D961" s="13" t="s">
        <v>36</v>
      </c>
      <c r="E961" s="47"/>
      <c r="F961" s="13" t="s">
        <v>1950</v>
      </c>
      <c r="G961" s="12"/>
      <c r="H961" s="12"/>
      <c r="I961" s="12"/>
      <c r="J961" s="12"/>
      <c r="K961" s="12"/>
      <c r="L961" s="12"/>
      <c r="M961" s="12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9"/>
    </row>
    <row r="962">
      <c r="A962" s="5">
        <v>2.4301366E7</v>
      </c>
      <c r="B962" s="5" t="s">
        <v>1951</v>
      </c>
      <c r="C962" s="35" t="s">
        <v>1941</v>
      </c>
      <c r="D962" s="14" t="s">
        <v>36</v>
      </c>
      <c r="E962" s="48"/>
      <c r="F962" s="14" t="s">
        <v>1952</v>
      </c>
      <c r="G962" s="7"/>
      <c r="H962" s="7"/>
      <c r="I962" s="7"/>
      <c r="J962" s="7"/>
      <c r="K962" s="7"/>
      <c r="L962" s="7"/>
      <c r="M962" s="7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9"/>
    </row>
    <row r="963">
      <c r="A963" s="10">
        <v>2.4101055E7</v>
      </c>
      <c r="B963" s="10" t="s">
        <v>1953</v>
      </c>
      <c r="C963" s="36" t="s">
        <v>1941</v>
      </c>
      <c r="D963" s="13" t="s">
        <v>36</v>
      </c>
      <c r="E963" s="47"/>
      <c r="F963" s="13" t="s">
        <v>1954</v>
      </c>
      <c r="G963" s="12"/>
      <c r="H963" s="12"/>
      <c r="I963" s="12"/>
      <c r="J963" s="12"/>
      <c r="K963" s="12"/>
      <c r="L963" s="12"/>
      <c r="M963" s="12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9"/>
    </row>
    <row r="964">
      <c r="A964" s="5">
        <v>2.2299544E7</v>
      </c>
      <c r="B964" s="5" t="s">
        <v>1955</v>
      </c>
      <c r="C964" s="35" t="s">
        <v>1941</v>
      </c>
      <c r="D964" s="14" t="s">
        <v>36</v>
      </c>
      <c r="E964" s="48"/>
      <c r="F964" s="14" t="s">
        <v>1956</v>
      </c>
      <c r="G964" s="7"/>
      <c r="H964" s="7"/>
      <c r="I964" s="7"/>
      <c r="J964" s="7"/>
      <c r="K964" s="7"/>
      <c r="L964" s="7"/>
      <c r="M964" s="7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9"/>
    </row>
    <row r="965">
      <c r="A965" s="10">
        <v>2.3301634E7</v>
      </c>
      <c r="B965" s="10" t="s">
        <v>1957</v>
      </c>
      <c r="C965" s="36" t="s">
        <v>1941</v>
      </c>
      <c r="D965" s="13" t="s">
        <v>36</v>
      </c>
      <c r="E965" s="47"/>
      <c r="F965" s="13" t="s">
        <v>1958</v>
      </c>
      <c r="G965" s="12"/>
      <c r="H965" s="12"/>
      <c r="I965" s="12"/>
      <c r="J965" s="12"/>
      <c r="K965" s="12"/>
      <c r="L965" s="12"/>
      <c r="M965" s="12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9"/>
    </row>
    <row r="966">
      <c r="A966" s="5">
        <v>2.3301388E7</v>
      </c>
      <c r="B966" s="5" t="s">
        <v>1959</v>
      </c>
      <c r="C966" s="35" t="s">
        <v>1941</v>
      </c>
      <c r="D966" s="14" t="s">
        <v>36</v>
      </c>
      <c r="E966" s="48"/>
      <c r="F966" s="14" t="s">
        <v>1960</v>
      </c>
      <c r="G966" s="7"/>
      <c r="H966" s="7"/>
      <c r="I966" s="7"/>
      <c r="J966" s="7"/>
      <c r="K966" s="7"/>
      <c r="L966" s="7"/>
      <c r="M966" s="7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9"/>
    </row>
    <row r="967">
      <c r="A967" s="10">
        <v>2.2301188E7</v>
      </c>
      <c r="B967" s="10" t="s">
        <v>1961</v>
      </c>
      <c r="C967" s="36" t="s">
        <v>1941</v>
      </c>
      <c r="D967" s="13" t="s">
        <v>36</v>
      </c>
      <c r="E967" s="47"/>
      <c r="F967" s="13" t="s">
        <v>1962</v>
      </c>
      <c r="G967" s="12"/>
      <c r="H967" s="12"/>
      <c r="I967" s="12"/>
      <c r="J967" s="12"/>
      <c r="K967" s="12"/>
      <c r="L967" s="12"/>
      <c r="M967" s="12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9"/>
    </row>
    <row r="968">
      <c r="A968" s="5">
        <v>2.2101475E7</v>
      </c>
      <c r="B968" s="5" t="s">
        <v>1963</v>
      </c>
      <c r="C968" s="35" t="s">
        <v>1941</v>
      </c>
      <c r="D968" s="14" t="s">
        <v>36</v>
      </c>
      <c r="E968" s="48"/>
      <c r="F968" s="14" t="s">
        <v>1964</v>
      </c>
      <c r="G968" s="7"/>
      <c r="H968" s="7"/>
      <c r="I968" s="7"/>
      <c r="J968" s="7"/>
      <c r="K968" s="7"/>
      <c r="L968" s="7"/>
      <c r="M968" s="7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9"/>
    </row>
    <row r="969">
      <c r="A969" s="10">
        <v>2.414111E7</v>
      </c>
      <c r="B969" s="10" t="s">
        <v>1965</v>
      </c>
      <c r="C969" s="36" t="s">
        <v>1941</v>
      </c>
      <c r="D969" s="13" t="s">
        <v>36</v>
      </c>
      <c r="E969" s="47"/>
      <c r="F969" s="13" t="s">
        <v>1966</v>
      </c>
      <c r="G969" s="12"/>
      <c r="H969" s="12"/>
      <c r="I969" s="12"/>
      <c r="J969" s="12"/>
      <c r="K969" s="12"/>
      <c r="L969" s="12"/>
      <c r="M969" s="12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9"/>
    </row>
    <row r="970">
      <c r="A970" s="5">
        <v>2.229928E7</v>
      </c>
      <c r="B970" s="5" t="s">
        <v>1967</v>
      </c>
      <c r="C970" s="35" t="s">
        <v>1941</v>
      </c>
      <c r="D970" s="14" t="s">
        <v>36</v>
      </c>
      <c r="E970" s="48"/>
      <c r="F970" s="14" t="s">
        <v>1968</v>
      </c>
      <c r="G970" s="7"/>
      <c r="H970" s="7"/>
      <c r="I970" s="7"/>
      <c r="J970" s="7"/>
      <c r="K970" s="7"/>
      <c r="L970" s="7"/>
      <c r="M970" s="7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9"/>
    </row>
    <row r="971">
      <c r="A971" s="10">
        <v>2.2201898E7</v>
      </c>
      <c r="B971" s="10" t="s">
        <v>1969</v>
      </c>
      <c r="C971" s="36" t="s">
        <v>1941</v>
      </c>
      <c r="D971" s="13" t="s">
        <v>36</v>
      </c>
      <c r="E971" s="47"/>
      <c r="F971" s="13" t="s">
        <v>1970</v>
      </c>
      <c r="G971" s="12"/>
      <c r="H971" s="12"/>
      <c r="I971" s="12"/>
      <c r="J971" s="12"/>
      <c r="K971" s="12"/>
      <c r="L971" s="12"/>
      <c r="M971" s="12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9"/>
    </row>
    <row r="972">
      <c r="A972" s="5">
        <v>2.2201299E7</v>
      </c>
      <c r="B972" s="5" t="s">
        <v>1971</v>
      </c>
      <c r="C972" s="35" t="s">
        <v>1941</v>
      </c>
      <c r="D972" s="14" t="s">
        <v>36</v>
      </c>
      <c r="E972" s="48"/>
      <c r="F972" s="14" t="s">
        <v>1972</v>
      </c>
      <c r="G972" s="7"/>
      <c r="H972" s="7"/>
      <c r="I972" s="7"/>
      <c r="J972" s="7"/>
      <c r="K972" s="7"/>
      <c r="L972" s="7"/>
      <c r="M972" s="7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9"/>
    </row>
    <row r="973">
      <c r="A973" s="10">
        <v>2.3101467E7</v>
      </c>
      <c r="B973" s="10" t="s">
        <v>1973</v>
      </c>
      <c r="C973" s="36" t="s">
        <v>1941</v>
      </c>
      <c r="D973" s="13" t="s">
        <v>36</v>
      </c>
      <c r="E973" s="47"/>
      <c r="F973" s="13" t="s">
        <v>1974</v>
      </c>
      <c r="G973" s="12"/>
      <c r="H973" s="12"/>
      <c r="I973" s="12"/>
      <c r="J973" s="12"/>
      <c r="K973" s="12"/>
      <c r="L973" s="12"/>
      <c r="M973" s="12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9"/>
    </row>
    <row r="974">
      <c r="A974" s="5">
        <v>2.2201955E7</v>
      </c>
      <c r="B974" s="5" t="s">
        <v>1975</v>
      </c>
      <c r="C974" s="35" t="s">
        <v>1941</v>
      </c>
      <c r="D974" s="14" t="s">
        <v>36</v>
      </c>
      <c r="E974" s="48"/>
      <c r="F974" s="14" t="s">
        <v>1976</v>
      </c>
      <c r="G974" s="7"/>
      <c r="H974" s="7"/>
      <c r="I974" s="7"/>
      <c r="J974" s="7"/>
      <c r="K974" s="7"/>
      <c r="L974" s="7"/>
      <c r="M974" s="7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9"/>
    </row>
    <row r="975">
      <c r="A975" s="10">
        <v>2.2301669E7</v>
      </c>
      <c r="B975" s="10" t="s">
        <v>1977</v>
      </c>
      <c r="C975" s="36" t="s">
        <v>1941</v>
      </c>
      <c r="D975" s="13" t="s">
        <v>36</v>
      </c>
      <c r="E975" s="47"/>
      <c r="F975" s="13" t="s">
        <v>1978</v>
      </c>
      <c r="G975" s="12"/>
      <c r="H975" s="12"/>
      <c r="I975" s="12"/>
      <c r="J975" s="12"/>
      <c r="K975" s="12"/>
      <c r="L975" s="12"/>
      <c r="M975" s="12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9"/>
    </row>
    <row r="976">
      <c r="A976" s="5">
        <v>2.2301331E7</v>
      </c>
      <c r="B976" s="5" t="s">
        <v>1979</v>
      </c>
      <c r="C976" s="35" t="s">
        <v>1941</v>
      </c>
      <c r="D976" s="14" t="s">
        <v>36</v>
      </c>
      <c r="E976" s="48"/>
      <c r="F976" s="14" t="s">
        <v>1980</v>
      </c>
      <c r="G976" s="7"/>
      <c r="H976" s="7"/>
      <c r="I976" s="7"/>
      <c r="J976" s="7"/>
      <c r="K976" s="7"/>
      <c r="L976" s="7"/>
      <c r="M976" s="7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9"/>
    </row>
    <row r="977">
      <c r="A977" s="10">
        <v>2.2301531E7</v>
      </c>
      <c r="B977" s="10" t="s">
        <v>1981</v>
      </c>
      <c r="C977" s="36" t="s">
        <v>1941</v>
      </c>
      <c r="D977" s="13" t="s">
        <v>36</v>
      </c>
      <c r="E977" s="47"/>
      <c r="F977" s="13" t="s">
        <v>1982</v>
      </c>
      <c r="G977" s="12"/>
      <c r="H977" s="12"/>
      <c r="I977" s="12"/>
      <c r="J977" s="12"/>
      <c r="K977" s="12"/>
      <c r="L977" s="12"/>
      <c r="M977" s="12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9"/>
    </row>
    <row r="978">
      <c r="A978" s="5">
        <v>2.3301425E7</v>
      </c>
      <c r="B978" s="5" t="s">
        <v>1983</v>
      </c>
      <c r="C978" s="35" t="s">
        <v>1941</v>
      </c>
      <c r="D978" s="14" t="s">
        <v>36</v>
      </c>
      <c r="E978" s="48"/>
      <c r="F978" s="14" t="s">
        <v>1984</v>
      </c>
      <c r="G978" s="7"/>
      <c r="H978" s="7"/>
      <c r="I978" s="7"/>
      <c r="J978" s="7"/>
      <c r="K978" s="7"/>
      <c r="L978" s="7"/>
      <c r="M978" s="7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9"/>
    </row>
    <row r="979">
      <c r="A979" s="10">
        <v>1.000054988E9</v>
      </c>
      <c r="B979" s="10" t="s">
        <v>1985</v>
      </c>
      <c r="C979" s="36" t="s">
        <v>1941</v>
      </c>
      <c r="D979" s="13" t="s">
        <v>45</v>
      </c>
      <c r="E979" s="47"/>
      <c r="F979" s="13" t="s">
        <v>1986</v>
      </c>
      <c r="G979" s="12"/>
      <c r="H979" s="12"/>
      <c r="I979" s="12"/>
      <c r="J979" s="12"/>
      <c r="K979" s="12"/>
      <c r="L979" s="12"/>
      <c r="M979" s="12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9"/>
    </row>
    <row r="980">
      <c r="A980" s="5">
        <v>1.000055412E9</v>
      </c>
      <c r="B980" s="5" t="s">
        <v>1987</v>
      </c>
      <c r="C980" s="35" t="s">
        <v>1941</v>
      </c>
      <c r="D980" s="14" t="s">
        <v>45</v>
      </c>
      <c r="E980" s="48"/>
      <c r="F980" s="14" t="s">
        <v>1988</v>
      </c>
      <c r="G980" s="7"/>
      <c r="H980" s="7"/>
      <c r="I980" s="7"/>
      <c r="J980" s="7"/>
      <c r="K980" s="7"/>
      <c r="L980" s="7"/>
      <c r="M980" s="7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9"/>
    </row>
    <row r="981">
      <c r="A981" s="10">
        <v>1.000054125E9</v>
      </c>
      <c r="B981" s="10" t="s">
        <v>1989</v>
      </c>
      <c r="C981" s="36" t="s">
        <v>1941</v>
      </c>
      <c r="D981" s="13" t="s">
        <v>45</v>
      </c>
      <c r="E981" s="47"/>
      <c r="F981" s="13" t="s">
        <v>1990</v>
      </c>
      <c r="G981" s="12"/>
      <c r="H981" s="12"/>
      <c r="I981" s="12"/>
      <c r="J981" s="12"/>
      <c r="K981" s="12"/>
      <c r="L981" s="12"/>
      <c r="M981" s="12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9"/>
    </row>
    <row r="982">
      <c r="A982" s="5">
        <v>2.4121288E7</v>
      </c>
      <c r="B982" s="5" t="s">
        <v>1991</v>
      </c>
      <c r="C982" s="35" t="s">
        <v>1941</v>
      </c>
      <c r="D982" s="14" t="s">
        <v>45</v>
      </c>
      <c r="E982" s="48"/>
      <c r="F982" s="14" t="s">
        <v>1992</v>
      </c>
      <c r="G982" s="7"/>
      <c r="H982" s="7"/>
      <c r="I982" s="7"/>
      <c r="J982" s="7"/>
      <c r="K982" s="7"/>
      <c r="L982" s="7"/>
      <c r="M982" s="7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9"/>
    </row>
    <row r="983">
      <c r="A983" s="10">
        <v>2.4321354E7</v>
      </c>
      <c r="B983" s="10" t="s">
        <v>1993</v>
      </c>
      <c r="C983" s="36" t="s">
        <v>1941</v>
      </c>
      <c r="D983" s="13" t="s">
        <v>45</v>
      </c>
      <c r="E983" s="47"/>
      <c r="F983" s="13" t="s">
        <v>1994</v>
      </c>
      <c r="G983" s="12"/>
      <c r="H983" s="12"/>
      <c r="I983" s="12"/>
      <c r="J983" s="12"/>
      <c r="K983" s="12"/>
      <c r="L983" s="12"/>
      <c r="M983" s="12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9"/>
    </row>
    <row r="984">
      <c r="A984" s="5">
        <v>2.3101033E7</v>
      </c>
      <c r="B984" s="5" t="s">
        <v>1995</v>
      </c>
      <c r="C984" s="35" t="s">
        <v>1941</v>
      </c>
      <c r="D984" s="14" t="s">
        <v>45</v>
      </c>
      <c r="E984" s="48"/>
      <c r="F984" s="14" t="s">
        <v>1996</v>
      </c>
      <c r="G984" s="7"/>
      <c r="H984" s="7"/>
      <c r="I984" s="7"/>
      <c r="J984" s="7"/>
      <c r="K984" s="7"/>
      <c r="L984" s="7"/>
      <c r="M984" s="7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9"/>
    </row>
    <row r="985">
      <c r="A985" s="10">
        <v>2.2101429E7</v>
      </c>
      <c r="B985" s="10" t="s">
        <v>1997</v>
      </c>
      <c r="C985" s="36" t="s">
        <v>1941</v>
      </c>
      <c r="D985" s="13" t="s">
        <v>45</v>
      </c>
      <c r="E985" s="47"/>
      <c r="F985" s="13" t="s">
        <v>1998</v>
      </c>
      <c r="G985" s="12"/>
      <c r="H985" s="12"/>
      <c r="I985" s="12"/>
      <c r="J985" s="12"/>
      <c r="K985" s="12"/>
      <c r="L985" s="12"/>
      <c r="M985" s="12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9"/>
    </row>
    <row r="986">
      <c r="A986" s="5">
        <v>2.3301187E7</v>
      </c>
      <c r="B986" s="5" t="s">
        <v>1999</v>
      </c>
      <c r="C986" s="35" t="s">
        <v>1941</v>
      </c>
      <c r="D986" s="14" t="s">
        <v>45</v>
      </c>
      <c r="E986" s="48"/>
      <c r="F986" s="14" t="s">
        <v>2000</v>
      </c>
      <c r="G986" s="7"/>
      <c r="H986" s="7"/>
      <c r="I986" s="7"/>
      <c r="J986" s="7"/>
      <c r="K986" s="7"/>
      <c r="L986" s="7"/>
      <c r="M986" s="7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9"/>
    </row>
    <row r="987">
      <c r="A987" s="10">
        <v>2.2299417E7</v>
      </c>
      <c r="B987" s="10" t="s">
        <v>2001</v>
      </c>
      <c r="C987" s="36" t="s">
        <v>1941</v>
      </c>
      <c r="D987" s="13" t="s">
        <v>45</v>
      </c>
      <c r="E987" s="47"/>
      <c r="F987" s="13" t="s">
        <v>2002</v>
      </c>
      <c r="G987" s="12"/>
      <c r="H987" s="12"/>
      <c r="I987" s="12"/>
      <c r="J987" s="12"/>
      <c r="K987" s="12"/>
      <c r="L987" s="12"/>
      <c r="M987" s="12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9"/>
    </row>
    <row r="988">
      <c r="A988" s="5">
        <v>2.2201225E7</v>
      </c>
      <c r="B988" s="5" t="s">
        <v>2003</v>
      </c>
      <c r="C988" s="35" t="s">
        <v>1941</v>
      </c>
      <c r="D988" s="14" t="s">
        <v>45</v>
      </c>
      <c r="E988" s="48"/>
      <c r="F988" s="14" t="s">
        <v>2004</v>
      </c>
      <c r="G988" s="7"/>
      <c r="H988" s="7"/>
      <c r="I988" s="7"/>
      <c r="J988" s="7"/>
      <c r="K988" s="7"/>
      <c r="L988" s="7"/>
      <c r="M988" s="7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9"/>
    </row>
    <row r="989">
      <c r="A989" s="10">
        <v>2.3201602E7</v>
      </c>
      <c r="B989" s="10" t="s">
        <v>2005</v>
      </c>
      <c r="C989" s="36" t="s">
        <v>1941</v>
      </c>
      <c r="D989" s="13" t="s">
        <v>45</v>
      </c>
      <c r="E989" s="47"/>
      <c r="F989" s="13" t="s">
        <v>2006</v>
      </c>
      <c r="G989" s="12"/>
      <c r="H989" s="12"/>
      <c r="I989" s="12"/>
      <c r="J989" s="12"/>
      <c r="K989" s="12"/>
      <c r="L989" s="12"/>
      <c r="M989" s="12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9"/>
    </row>
    <row r="990">
      <c r="A990" s="5">
        <v>2.4301304E7</v>
      </c>
      <c r="B990" s="5" t="s">
        <v>2007</v>
      </c>
      <c r="C990" s="35" t="s">
        <v>1941</v>
      </c>
      <c r="D990" s="14" t="s">
        <v>45</v>
      </c>
      <c r="E990" s="48"/>
      <c r="F990" s="14" t="s">
        <v>2008</v>
      </c>
      <c r="G990" s="7"/>
      <c r="H990" s="7"/>
      <c r="I990" s="7"/>
      <c r="J990" s="7"/>
      <c r="K990" s="7"/>
      <c r="L990" s="7"/>
      <c r="M990" s="7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9"/>
    </row>
    <row r="991">
      <c r="A991" s="10">
        <v>2.2241053E7</v>
      </c>
      <c r="B991" s="10" t="s">
        <v>2009</v>
      </c>
      <c r="C991" s="36" t="s">
        <v>1941</v>
      </c>
      <c r="D991" s="13" t="s">
        <v>45</v>
      </c>
      <c r="E991" s="47"/>
      <c r="F991" s="13" t="s">
        <v>2010</v>
      </c>
      <c r="G991" s="12"/>
      <c r="H991" s="12"/>
      <c r="I991" s="12"/>
      <c r="J991" s="12"/>
      <c r="K991" s="12"/>
      <c r="L991" s="12"/>
      <c r="M991" s="12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9"/>
    </row>
    <row r="992">
      <c r="A992" s="5">
        <v>2.3301144E7</v>
      </c>
      <c r="B992" s="5" t="s">
        <v>2011</v>
      </c>
      <c r="C992" s="35" t="s">
        <v>1941</v>
      </c>
      <c r="D992" s="14" t="s">
        <v>45</v>
      </c>
      <c r="E992" s="48"/>
      <c r="F992" s="14" t="s">
        <v>2012</v>
      </c>
      <c r="G992" s="7"/>
      <c r="H992" s="7"/>
      <c r="I992" s="7"/>
      <c r="J992" s="7"/>
      <c r="K992" s="7"/>
      <c r="L992" s="7"/>
      <c r="M992" s="7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9"/>
    </row>
    <row r="993">
      <c r="A993" s="10">
        <v>2.3201579E7</v>
      </c>
      <c r="B993" s="10" t="s">
        <v>2013</v>
      </c>
      <c r="C993" s="36" t="s">
        <v>1941</v>
      </c>
      <c r="D993" s="13" t="s">
        <v>45</v>
      </c>
      <c r="E993" s="47"/>
      <c r="F993" s="13" t="s">
        <v>2014</v>
      </c>
      <c r="G993" s="12"/>
      <c r="H993" s="12"/>
      <c r="I993" s="12"/>
      <c r="J993" s="12"/>
      <c r="K993" s="12"/>
      <c r="L993" s="12"/>
      <c r="M993" s="12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9"/>
    </row>
    <row r="994">
      <c r="A994" s="5">
        <v>2.3101105E7</v>
      </c>
      <c r="B994" s="5" t="s">
        <v>2015</v>
      </c>
      <c r="C994" s="35" t="s">
        <v>1941</v>
      </c>
      <c r="D994" s="14" t="s">
        <v>45</v>
      </c>
      <c r="E994" s="48"/>
      <c r="F994" s="14" t="s">
        <v>2016</v>
      </c>
      <c r="G994" s="7"/>
      <c r="H994" s="7"/>
      <c r="I994" s="7"/>
      <c r="J994" s="7"/>
      <c r="K994" s="7"/>
      <c r="L994" s="7"/>
      <c r="M994" s="7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9"/>
    </row>
    <row r="995">
      <c r="A995" s="10">
        <v>2.4101285E7</v>
      </c>
      <c r="B995" s="10" t="s">
        <v>2017</v>
      </c>
      <c r="C995" s="36" t="s">
        <v>1941</v>
      </c>
      <c r="D995" s="13" t="s">
        <v>45</v>
      </c>
      <c r="E995" s="47"/>
      <c r="F995" s="13" t="s">
        <v>2018</v>
      </c>
      <c r="G995" s="12"/>
      <c r="H995" s="12"/>
      <c r="I995" s="12"/>
      <c r="J995" s="12"/>
      <c r="K995" s="12"/>
      <c r="L995" s="12"/>
      <c r="M995" s="12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9"/>
    </row>
    <row r="996">
      <c r="A996" s="5">
        <v>2.2299378E7</v>
      </c>
      <c r="B996" s="5" t="s">
        <v>2019</v>
      </c>
      <c r="C996" s="35" t="s">
        <v>1941</v>
      </c>
      <c r="D996" s="14" t="s">
        <v>45</v>
      </c>
      <c r="E996" s="48"/>
      <c r="F996" s="14" t="s">
        <v>2020</v>
      </c>
      <c r="G996" s="7"/>
      <c r="H996" s="7"/>
      <c r="I996" s="7"/>
      <c r="J996" s="7"/>
      <c r="K996" s="7"/>
      <c r="L996" s="7"/>
      <c r="M996" s="7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9"/>
    </row>
    <row r="997">
      <c r="A997" s="10">
        <v>2.4315011E7</v>
      </c>
      <c r="B997" s="10" t="s">
        <v>2021</v>
      </c>
      <c r="C997" s="36" t="s">
        <v>1941</v>
      </c>
      <c r="D997" s="13" t="s">
        <v>45</v>
      </c>
      <c r="E997" s="47"/>
      <c r="F997" s="13" t="s">
        <v>2022</v>
      </c>
      <c r="G997" s="12"/>
      <c r="H997" s="12"/>
      <c r="I997" s="12"/>
      <c r="J997" s="12"/>
      <c r="K997" s="12"/>
      <c r="L997" s="12"/>
      <c r="M997" s="12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9"/>
    </row>
    <row r="998">
      <c r="A998" s="5">
        <v>2.420106E7</v>
      </c>
      <c r="B998" s="5" t="s">
        <v>2023</v>
      </c>
      <c r="C998" s="35" t="s">
        <v>1941</v>
      </c>
      <c r="D998" s="14" t="s">
        <v>45</v>
      </c>
      <c r="E998" s="48"/>
      <c r="F998" s="14" t="s">
        <v>2024</v>
      </c>
      <c r="G998" s="7"/>
      <c r="H998" s="20"/>
      <c r="I998" s="7"/>
      <c r="J998" s="7"/>
      <c r="K998" s="7"/>
      <c r="L998" s="7"/>
      <c r="M998" s="7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9"/>
    </row>
    <row r="999">
      <c r="A999" s="10">
        <v>2.4101555E7</v>
      </c>
      <c r="B999" s="10" t="s">
        <v>2025</v>
      </c>
      <c r="C999" s="36" t="s">
        <v>1941</v>
      </c>
      <c r="D999" s="13" t="s">
        <v>45</v>
      </c>
      <c r="E999" s="47"/>
      <c r="F999" s="13" t="s">
        <v>2026</v>
      </c>
      <c r="G999" s="12"/>
      <c r="H999" s="19"/>
      <c r="I999" s="12"/>
      <c r="J999" s="12"/>
      <c r="K999" s="12"/>
      <c r="L999" s="12"/>
      <c r="M999" s="12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9"/>
    </row>
    <row r="1000">
      <c r="A1000" s="5">
        <v>2.4121292E7</v>
      </c>
      <c r="B1000" s="5" t="s">
        <v>2027</v>
      </c>
      <c r="C1000" s="35" t="s">
        <v>1941</v>
      </c>
      <c r="D1000" s="14" t="s">
        <v>45</v>
      </c>
      <c r="E1000" s="48"/>
      <c r="F1000" s="14" t="s">
        <v>2028</v>
      </c>
      <c r="G1000" s="7"/>
      <c r="H1000" s="20"/>
      <c r="I1000" s="7"/>
      <c r="J1000" s="7"/>
      <c r="K1000" s="7"/>
      <c r="L1000" s="7"/>
      <c r="M1000" s="7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9"/>
    </row>
    <row r="1001">
      <c r="A1001" s="10">
        <v>2.4201303E7</v>
      </c>
      <c r="B1001" s="10" t="s">
        <v>2029</v>
      </c>
      <c r="C1001" s="36" t="s">
        <v>1941</v>
      </c>
      <c r="D1001" s="13" t="s">
        <v>45</v>
      </c>
      <c r="E1001" s="47"/>
      <c r="F1001" s="13" t="s">
        <v>2030</v>
      </c>
      <c r="G1001" s="12"/>
      <c r="H1001" s="12"/>
      <c r="I1001" s="12"/>
      <c r="J1001" s="12"/>
      <c r="K1001" s="12"/>
      <c r="L1001" s="12"/>
      <c r="M1001" s="12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9"/>
    </row>
    <row r="1002">
      <c r="A1002" s="5">
        <v>1.000054039E9</v>
      </c>
      <c r="B1002" s="5" t="s">
        <v>2031</v>
      </c>
      <c r="C1002" s="35" t="s">
        <v>1941</v>
      </c>
      <c r="D1002" s="14" t="s">
        <v>45</v>
      </c>
      <c r="E1002" s="48"/>
      <c r="F1002" s="14" t="s">
        <v>2032</v>
      </c>
      <c r="G1002" s="7"/>
      <c r="H1002" s="7"/>
      <c r="I1002" s="7"/>
      <c r="J1002" s="7"/>
      <c r="K1002" s="7"/>
      <c r="L1002" s="7"/>
      <c r="M1002" s="7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9"/>
    </row>
    <row r="1003">
      <c r="A1003" s="10">
        <v>2.330152E7</v>
      </c>
      <c r="B1003" s="10" t="s">
        <v>2033</v>
      </c>
      <c r="C1003" s="36" t="s">
        <v>1941</v>
      </c>
      <c r="D1003" s="13" t="s">
        <v>45</v>
      </c>
      <c r="E1003" s="47"/>
      <c r="F1003" s="13" t="s">
        <v>2034</v>
      </c>
      <c r="G1003" s="12"/>
      <c r="H1003" s="12"/>
      <c r="I1003" s="12"/>
      <c r="J1003" s="12"/>
      <c r="K1003" s="12"/>
      <c r="L1003" s="12"/>
      <c r="M1003" s="12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9"/>
    </row>
    <row r="1004">
      <c r="A1004" s="5">
        <v>2.330114E7</v>
      </c>
      <c r="B1004" s="5" t="s">
        <v>2035</v>
      </c>
      <c r="C1004" s="35" t="s">
        <v>1941</v>
      </c>
      <c r="D1004" s="14" t="s">
        <v>95</v>
      </c>
      <c r="E1004" s="48"/>
      <c r="F1004" s="14" t="s">
        <v>2036</v>
      </c>
      <c r="G1004" s="7"/>
      <c r="H1004" s="7"/>
      <c r="I1004" s="7"/>
      <c r="J1004" s="7"/>
      <c r="K1004" s="7"/>
      <c r="L1004" s="7"/>
      <c r="M1004" s="7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9"/>
    </row>
    <row r="1005">
      <c r="A1005" s="10">
        <v>2.3301017E7</v>
      </c>
      <c r="B1005" s="10" t="s">
        <v>2037</v>
      </c>
      <c r="C1005" s="36" t="s">
        <v>1941</v>
      </c>
      <c r="D1005" s="13" t="s">
        <v>95</v>
      </c>
      <c r="E1005" s="47"/>
      <c r="F1005" s="13" t="s">
        <v>2038</v>
      </c>
      <c r="G1005" s="12"/>
      <c r="H1005" s="12"/>
      <c r="I1005" s="12"/>
      <c r="J1005" s="12"/>
      <c r="K1005" s="12"/>
      <c r="L1005" s="12"/>
      <c r="M1005" s="12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9"/>
    </row>
    <row r="1006">
      <c r="A1006" s="5">
        <v>2.3241021E7</v>
      </c>
      <c r="B1006" s="5" t="s">
        <v>2039</v>
      </c>
      <c r="C1006" s="35" t="s">
        <v>1941</v>
      </c>
      <c r="D1006" s="14" t="s">
        <v>95</v>
      </c>
      <c r="E1006" s="48"/>
      <c r="F1006" s="14" t="s">
        <v>2040</v>
      </c>
      <c r="G1006" s="7"/>
      <c r="H1006" s="7"/>
      <c r="I1006" s="7"/>
      <c r="J1006" s="7"/>
      <c r="K1006" s="7"/>
      <c r="L1006" s="7"/>
      <c r="M1006" s="7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9"/>
    </row>
    <row r="1007">
      <c r="A1007" s="10">
        <v>2.324102E7</v>
      </c>
      <c r="B1007" s="10" t="s">
        <v>2041</v>
      </c>
      <c r="C1007" s="36" t="s">
        <v>1941</v>
      </c>
      <c r="D1007" s="13" t="s">
        <v>95</v>
      </c>
      <c r="E1007" s="47"/>
      <c r="F1007" s="13" t="s">
        <v>2042</v>
      </c>
      <c r="G1007" s="12"/>
      <c r="H1007" s="12"/>
      <c r="I1007" s="12"/>
      <c r="J1007" s="12"/>
      <c r="K1007" s="12"/>
      <c r="L1007" s="12"/>
      <c r="M1007" s="12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9"/>
    </row>
    <row r="1008">
      <c r="A1008" s="5">
        <v>2.3241015E7</v>
      </c>
      <c r="B1008" s="5" t="s">
        <v>2043</v>
      </c>
      <c r="C1008" s="35" t="s">
        <v>1941</v>
      </c>
      <c r="D1008" s="14" t="s">
        <v>95</v>
      </c>
      <c r="E1008" s="48"/>
      <c r="F1008" s="14" t="s">
        <v>2044</v>
      </c>
      <c r="G1008" s="7"/>
      <c r="H1008" s="7"/>
      <c r="I1008" s="7"/>
      <c r="J1008" s="7"/>
      <c r="K1008" s="7"/>
      <c r="L1008" s="7"/>
      <c r="M1008" s="7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9"/>
    </row>
    <row r="1009">
      <c r="A1009" s="10">
        <v>2.3241002E7</v>
      </c>
      <c r="B1009" s="10" t="s">
        <v>2045</v>
      </c>
      <c r="C1009" s="36" t="s">
        <v>1941</v>
      </c>
      <c r="D1009" s="13" t="s">
        <v>95</v>
      </c>
      <c r="E1009" s="47"/>
      <c r="F1009" s="13" t="s">
        <v>2046</v>
      </c>
      <c r="G1009" s="12"/>
      <c r="H1009" s="12"/>
      <c r="I1009" s="12"/>
      <c r="J1009" s="12"/>
      <c r="K1009" s="12"/>
      <c r="L1009" s="12"/>
      <c r="M1009" s="12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9"/>
    </row>
    <row r="1010">
      <c r="A1010" s="5">
        <v>2.3210005E7</v>
      </c>
      <c r="B1010" s="5" t="s">
        <v>2047</v>
      </c>
      <c r="C1010" s="35" t="s">
        <v>1941</v>
      </c>
      <c r="D1010" s="14" t="s">
        <v>95</v>
      </c>
      <c r="E1010" s="48"/>
      <c r="F1010" s="14" t="s">
        <v>2048</v>
      </c>
      <c r="G1010" s="7"/>
      <c r="H1010" s="7"/>
      <c r="I1010" s="7"/>
      <c r="J1010" s="7"/>
      <c r="K1010" s="7"/>
      <c r="L1010" s="7"/>
      <c r="M1010" s="7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9"/>
    </row>
    <row r="1011">
      <c r="A1011" s="10">
        <v>2.3201572E7</v>
      </c>
      <c r="B1011" s="10" t="s">
        <v>2049</v>
      </c>
      <c r="C1011" s="36" t="s">
        <v>1941</v>
      </c>
      <c r="D1011" s="13" t="s">
        <v>95</v>
      </c>
      <c r="E1011" s="47"/>
      <c r="F1011" s="13" t="s">
        <v>2050</v>
      </c>
      <c r="G1011" s="12"/>
      <c r="H1011" s="12"/>
      <c r="I1011" s="12"/>
      <c r="J1011" s="12"/>
      <c r="K1011" s="12"/>
      <c r="L1011" s="12"/>
      <c r="M1011" s="12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9"/>
    </row>
    <row r="1012">
      <c r="A1012" s="5">
        <v>2.3201488E7</v>
      </c>
      <c r="B1012" s="5" t="s">
        <v>2051</v>
      </c>
      <c r="C1012" s="35" t="s">
        <v>1941</v>
      </c>
      <c r="D1012" s="14" t="s">
        <v>95</v>
      </c>
      <c r="E1012" s="48"/>
      <c r="F1012" s="14" t="s">
        <v>2052</v>
      </c>
      <c r="G1012" s="7"/>
      <c r="H1012" s="7"/>
      <c r="I1012" s="7"/>
      <c r="J1012" s="7"/>
      <c r="K1012" s="7"/>
      <c r="L1012" s="7"/>
      <c r="M1012" s="7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9"/>
    </row>
    <row r="1013">
      <c r="A1013" s="10">
        <v>2.3201434E7</v>
      </c>
      <c r="B1013" s="10" t="s">
        <v>2053</v>
      </c>
      <c r="C1013" s="36" t="s">
        <v>1941</v>
      </c>
      <c r="D1013" s="13" t="s">
        <v>95</v>
      </c>
      <c r="E1013" s="47"/>
      <c r="F1013" s="13" t="s">
        <v>2054</v>
      </c>
      <c r="G1013" s="12"/>
      <c r="H1013" s="12"/>
      <c r="I1013" s="12"/>
      <c r="J1013" s="12"/>
      <c r="K1013" s="12"/>
      <c r="L1013" s="12"/>
      <c r="M1013" s="12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9"/>
    </row>
    <row r="1014">
      <c r="A1014" s="5">
        <v>2.3201294E7</v>
      </c>
      <c r="B1014" s="5" t="s">
        <v>2055</v>
      </c>
      <c r="C1014" s="35" t="s">
        <v>1941</v>
      </c>
      <c r="D1014" s="14" t="s">
        <v>95</v>
      </c>
      <c r="E1014" s="48"/>
      <c r="F1014" s="14" t="s">
        <v>2056</v>
      </c>
      <c r="G1014" s="7"/>
      <c r="H1014" s="7"/>
      <c r="I1014" s="7"/>
      <c r="J1014" s="7"/>
      <c r="K1014" s="7"/>
      <c r="L1014" s="7"/>
      <c r="M1014" s="7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9"/>
    </row>
    <row r="1015">
      <c r="A1015" s="10">
        <v>2.3101456E7</v>
      </c>
      <c r="B1015" s="10" t="s">
        <v>2057</v>
      </c>
      <c r="C1015" s="36" t="s">
        <v>1941</v>
      </c>
      <c r="D1015" s="13" t="s">
        <v>95</v>
      </c>
      <c r="E1015" s="47"/>
      <c r="F1015" s="13" t="s">
        <v>2058</v>
      </c>
      <c r="G1015" s="12"/>
      <c r="H1015" s="12"/>
      <c r="I1015" s="12"/>
      <c r="J1015" s="12"/>
      <c r="K1015" s="12"/>
      <c r="L1015" s="12"/>
      <c r="M1015" s="12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9"/>
    </row>
    <row r="1016">
      <c r="A1016" s="5">
        <v>2.3101452E7</v>
      </c>
      <c r="B1016" s="5" t="s">
        <v>2059</v>
      </c>
      <c r="C1016" s="35" t="s">
        <v>1941</v>
      </c>
      <c r="D1016" s="14" t="s">
        <v>95</v>
      </c>
      <c r="E1016" s="48"/>
      <c r="F1016" s="14" t="s">
        <v>2060</v>
      </c>
      <c r="G1016" s="7"/>
      <c r="H1016" s="7"/>
      <c r="I1016" s="7"/>
      <c r="J1016" s="7"/>
      <c r="K1016" s="7"/>
      <c r="L1016" s="7"/>
      <c r="M1016" s="7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9"/>
    </row>
    <row r="1017">
      <c r="A1017" s="10">
        <v>2.3101387E7</v>
      </c>
      <c r="B1017" s="10" t="s">
        <v>2061</v>
      </c>
      <c r="C1017" s="36" t="s">
        <v>1941</v>
      </c>
      <c r="D1017" s="13" t="s">
        <v>95</v>
      </c>
      <c r="E1017" s="47"/>
      <c r="F1017" s="13" t="s">
        <v>2062</v>
      </c>
      <c r="G1017" s="12"/>
      <c r="H1017" s="12"/>
      <c r="I1017" s="12"/>
      <c r="J1017" s="12"/>
      <c r="K1017" s="12"/>
      <c r="L1017" s="12"/>
      <c r="M1017" s="12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9"/>
    </row>
    <row r="1018">
      <c r="A1018" s="5">
        <v>2.3101343E7</v>
      </c>
      <c r="B1018" s="5" t="s">
        <v>2063</v>
      </c>
      <c r="C1018" s="35" t="s">
        <v>1941</v>
      </c>
      <c r="D1018" s="14" t="s">
        <v>95</v>
      </c>
      <c r="E1018" s="48"/>
      <c r="F1018" s="14" t="s">
        <v>2064</v>
      </c>
      <c r="G1018" s="7"/>
      <c r="H1018" s="7"/>
      <c r="I1018" s="7"/>
      <c r="J1018" s="7"/>
      <c r="K1018" s="7"/>
      <c r="L1018" s="7"/>
      <c r="M1018" s="7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9"/>
    </row>
    <row r="1019">
      <c r="A1019" s="10">
        <v>2.3101326E7</v>
      </c>
      <c r="B1019" s="10" t="s">
        <v>2065</v>
      </c>
      <c r="C1019" s="36" t="s">
        <v>1941</v>
      </c>
      <c r="D1019" s="13" t="s">
        <v>95</v>
      </c>
      <c r="E1019" s="47"/>
      <c r="F1019" s="13" t="s">
        <v>2066</v>
      </c>
      <c r="G1019" s="12"/>
      <c r="H1019" s="12"/>
      <c r="I1019" s="12"/>
      <c r="J1019" s="12"/>
      <c r="K1019" s="12"/>
      <c r="L1019" s="12"/>
      <c r="M1019" s="12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9"/>
    </row>
    <row r="1020">
      <c r="A1020" s="5">
        <v>2.3101277E7</v>
      </c>
      <c r="B1020" s="5" t="s">
        <v>2067</v>
      </c>
      <c r="C1020" s="35" t="s">
        <v>1941</v>
      </c>
      <c r="D1020" s="14" t="s">
        <v>95</v>
      </c>
      <c r="E1020" s="48"/>
      <c r="F1020" s="14" t="s">
        <v>2068</v>
      </c>
      <c r="G1020" s="7"/>
      <c r="H1020" s="7"/>
      <c r="I1020" s="7"/>
      <c r="J1020" s="7"/>
      <c r="K1020" s="7"/>
      <c r="L1020" s="7"/>
      <c r="M1020" s="7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9"/>
    </row>
    <row r="1021">
      <c r="A1021" s="10">
        <v>2.3101268E7</v>
      </c>
      <c r="B1021" s="10" t="s">
        <v>2069</v>
      </c>
      <c r="C1021" s="36" t="s">
        <v>1941</v>
      </c>
      <c r="D1021" s="13" t="s">
        <v>95</v>
      </c>
      <c r="E1021" s="47"/>
      <c r="F1021" s="13" t="s">
        <v>2070</v>
      </c>
      <c r="G1021" s="12"/>
      <c r="H1021" s="12"/>
      <c r="I1021" s="12"/>
      <c r="J1021" s="12"/>
      <c r="K1021" s="12"/>
      <c r="L1021" s="12"/>
      <c r="M1021" s="12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9"/>
    </row>
    <row r="1022">
      <c r="A1022" s="5">
        <v>2.3101261E7</v>
      </c>
      <c r="B1022" s="5" t="s">
        <v>2071</v>
      </c>
      <c r="C1022" s="35" t="s">
        <v>1941</v>
      </c>
      <c r="D1022" s="14" t="s">
        <v>95</v>
      </c>
      <c r="E1022" s="48"/>
      <c r="F1022" s="14" t="s">
        <v>2072</v>
      </c>
      <c r="G1022" s="7"/>
      <c r="H1022" s="7"/>
      <c r="I1022" s="7"/>
      <c r="J1022" s="7"/>
      <c r="K1022" s="7"/>
      <c r="L1022" s="7"/>
      <c r="M1022" s="7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9"/>
    </row>
    <row r="1023">
      <c r="A1023" s="10">
        <v>2.3101196E7</v>
      </c>
      <c r="B1023" s="10" t="s">
        <v>2073</v>
      </c>
      <c r="C1023" s="36" t="s">
        <v>1941</v>
      </c>
      <c r="D1023" s="13" t="s">
        <v>95</v>
      </c>
      <c r="E1023" s="47"/>
      <c r="F1023" s="13" t="s">
        <v>2074</v>
      </c>
      <c r="G1023" s="12"/>
      <c r="H1023" s="12"/>
      <c r="I1023" s="12"/>
      <c r="J1023" s="12"/>
      <c r="K1023" s="12"/>
      <c r="L1023" s="12"/>
      <c r="M1023" s="12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9"/>
    </row>
    <row r="1024">
      <c r="A1024" s="5">
        <v>2.3101119E7</v>
      </c>
      <c r="B1024" s="5" t="s">
        <v>2075</v>
      </c>
      <c r="C1024" s="35" t="s">
        <v>1941</v>
      </c>
      <c r="D1024" s="14" t="s">
        <v>95</v>
      </c>
      <c r="E1024" s="48"/>
      <c r="F1024" s="14" t="s">
        <v>2076</v>
      </c>
      <c r="G1024" s="7"/>
      <c r="H1024" s="7"/>
      <c r="I1024" s="7"/>
      <c r="J1024" s="7"/>
      <c r="K1024" s="7"/>
      <c r="L1024" s="7"/>
      <c r="M1024" s="7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9"/>
    </row>
    <row r="1025">
      <c r="A1025" s="10">
        <v>2.3101089E7</v>
      </c>
      <c r="B1025" s="10" t="s">
        <v>2077</v>
      </c>
      <c r="C1025" s="36" t="s">
        <v>1941</v>
      </c>
      <c r="D1025" s="13" t="s">
        <v>95</v>
      </c>
      <c r="E1025" s="47"/>
      <c r="F1025" s="13" t="s">
        <v>2078</v>
      </c>
      <c r="G1025" s="12"/>
      <c r="H1025" s="12"/>
      <c r="I1025" s="12"/>
      <c r="J1025" s="12"/>
      <c r="K1025" s="12"/>
      <c r="L1025" s="12"/>
      <c r="M1025" s="12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9"/>
    </row>
    <row r="1026">
      <c r="A1026" s="5">
        <v>2.3101087E7</v>
      </c>
      <c r="B1026" s="5" t="s">
        <v>2079</v>
      </c>
      <c r="C1026" s="35" t="s">
        <v>1941</v>
      </c>
      <c r="D1026" s="14" t="s">
        <v>95</v>
      </c>
      <c r="E1026" s="48"/>
      <c r="F1026" s="14" t="s">
        <v>2080</v>
      </c>
      <c r="G1026" s="7"/>
      <c r="H1026" s="7"/>
      <c r="I1026" s="7"/>
      <c r="J1026" s="7"/>
      <c r="K1026" s="7"/>
      <c r="L1026" s="7"/>
      <c r="M1026" s="7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9"/>
    </row>
    <row r="1027">
      <c r="A1027" s="10">
        <v>2.2341028E7</v>
      </c>
      <c r="B1027" s="10" t="s">
        <v>2081</v>
      </c>
      <c r="C1027" s="36" t="s">
        <v>1941</v>
      </c>
      <c r="D1027" s="13" t="s">
        <v>95</v>
      </c>
      <c r="E1027" s="47"/>
      <c r="F1027" s="13" t="s">
        <v>2082</v>
      </c>
      <c r="G1027" s="12"/>
      <c r="H1027" s="12"/>
      <c r="I1027" s="12"/>
      <c r="J1027" s="12"/>
      <c r="K1027" s="12"/>
      <c r="L1027" s="12"/>
      <c r="M1027" s="12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9"/>
    </row>
    <row r="1028">
      <c r="A1028" s="5">
        <v>2.234102E7</v>
      </c>
      <c r="B1028" s="5" t="s">
        <v>2083</v>
      </c>
      <c r="C1028" s="35" t="s">
        <v>1941</v>
      </c>
      <c r="D1028" s="14" t="s">
        <v>95</v>
      </c>
      <c r="E1028" s="48"/>
      <c r="F1028" s="14" t="s">
        <v>2084</v>
      </c>
      <c r="G1028" s="7"/>
      <c r="H1028" s="7"/>
      <c r="I1028" s="7"/>
      <c r="J1028" s="7"/>
      <c r="K1028" s="7"/>
      <c r="L1028" s="7"/>
      <c r="M1028" s="7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9"/>
    </row>
    <row r="1029">
      <c r="A1029" s="10">
        <v>2.2301651E7</v>
      </c>
      <c r="B1029" s="10" t="s">
        <v>2085</v>
      </c>
      <c r="C1029" s="36" t="s">
        <v>1941</v>
      </c>
      <c r="D1029" s="13" t="s">
        <v>95</v>
      </c>
      <c r="E1029" s="47"/>
      <c r="F1029" s="13" t="s">
        <v>2086</v>
      </c>
      <c r="G1029" s="12"/>
      <c r="H1029" s="12"/>
      <c r="I1029" s="12"/>
      <c r="J1029" s="12"/>
      <c r="K1029" s="12"/>
      <c r="L1029" s="12"/>
      <c r="M1029" s="12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9"/>
    </row>
    <row r="1030">
      <c r="A1030" s="5">
        <v>2.230153E7</v>
      </c>
      <c r="B1030" s="5" t="s">
        <v>2087</v>
      </c>
      <c r="C1030" s="35" t="s">
        <v>1941</v>
      </c>
      <c r="D1030" s="14" t="s">
        <v>95</v>
      </c>
      <c r="E1030" s="48"/>
      <c r="F1030" s="14" t="s">
        <v>2088</v>
      </c>
      <c r="G1030" s="7"/>
      <c r="H1030" s="7"/>
      <c r="I1030" s="7"/>
      <c r="J1030" s="7"/>
      <c r="K1030" s="7"/>
      <c r="L1030" s="7"/>
      <c r="M1030" s="7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9"/>
    </row>
    <row r="1031">
      <c r="A1031" s="10">
        <v>2.2301481E7</v>
      </c>
      <c r="B1031" s="10" t="s">
        <v>2089</v>
      </c>
      <c r="C1031" s="36" t="s">
        <v>1941</v>
      </c>
      <c r="D1031" s="13" t="s">
        <v>95</v>
      </c>
      <c r="E1031" s="47"/>
      <c r="F1031" s="13" t="s">
        <v>2090</v>
      </c>
      <c r="G1031" s="12"/>
      <c r="H1031" s="12"/>
      <c r="I1031" s="12"/>
      <c r="J1031" s="12"/>
      <c r="K1031" s="12"/>
      <c r="L1031" s="12"/>
      <c r="M1031" s="12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9"/>
    </row>
    <row r="1032">
      <c r="A1032" s="5">
        <v>2.2301354E7</v>
      </c>
      <c r="B1032" s="5" t="s">
        <v>2091</v>
      </c>
      <c r="C1032" s="35" t="s">
        <v>1941</v>
      </c>
      <c r="D1032" s="14" t="s">
        <v>95</v>
      </c>
      <c r="E1032" s="48"/>
      <c r="F1032" s="14" t="s">
        <v>2092</v>
      </c>
      <c r="G1032" s="7"/>
      <c r="H1032" s="7"/>
      <c r="I1032" s="7"/>
      <c r="J1032" s="7"/>
      <c r="K1032" s="7"/>
      <c r="L1032" s="7"/>
      <c r="M1032" s="7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9"/>
    </row>
    <row r="1033">
      <c r="A1033" s="10">
        <v>2.2301291E7</v>
      </c>
      <c r="B1033" s="10" t="s">
        <v>2093</v>
      </c>
      <c r="C1033" s="36" t="s">
        <v>1941</v>
      </c>
      <c r="D1033" s="13" t="s">
        <v>95</v>
      </c>
      <c r="E1033" s="47"/>
      <c r="F1033" s="13" t="s">
        <v>2094</v>
      </c>
      <c r="G1033" s="12"/>
      <c r="H1033" s="12"/>
      <c r="I1033" s="12"/>
      <c r="J1033" s="12"/>
      <c r="K1033" s="12"/>
      <c r="L1033" s="12"/>
      <c r="M1033" s="12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9"/>
    </row>
    <row r="1034">
      <c r="A1034" s="5">
        <v>2.2301097E7</v>
      </c>
      <c r="B1034" s="5" t="s">
        <v>2095</v>
      </c>
      <c r="C1034" s="35" t="s">
        <v>1941</v>
      </c>
      <c r="D1034" s="14" t="s">
        <v>95</v>
      </c>
      <c r="E1034" s="48"/>
      <c r="F1034" s="14" t="s">
        <v>2096</v>
      </c>
      <c r="G1034" s="7"/>
      <c r="H1034" s="7"/>
      <c r="I1034" s="7"/>
      <c r="J1034" s="7"/>
      <c r="K1034" s="7"/>
      <c r="L1034" s="7"/>
      <c r="M1034" s="7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9"/>
    </row>
    <row r="1035">
      <c r="A1035" s="10">
        <v>2.2301096E7</v>
      </c>
      <c r="B1035" s="10" t="s">
        <v>2097</v>
      </c>
      <c r="C1035" s="36" t="s">
        <v>1941</v>
      </c>
      <c r="D1035" s="13" t="s">
        <v>95</v>
      </c>
      <c r="E1035" s="47"/>
      <c r="F1035" s="13" t="s">
        <v>2098</v>
      </c>
      <c r="G1035" s="12"/>
      <c r="H1035" s="12"/>
      <c r="I1035" s="12"/>
      <c r="J1035" s="12"/>
      <c r="K1035" s="12"/>
      <c r="L1035" s="12"/>
      <c r="M1035" s="12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9"/>
    </row>
    <row r="1036">
      <c r="A1036" s="5">
        <v>2.2299505E7</v>
      </c>
      <c r="B1036" s="5" t="s">
        <v>2099</v>
      </c>
      <c r="C1036" s="35" t="s">
        <v>1941</v>
      </c>
      <c r="D1036" s="14" t="s">
        <v>95</v>
      </c>
      <c r="E1036" s="48"/>
      <c r="F1036" s="14" t="s">
        <v>2100</v>
      </c>
      <c r="G1036" s="7"/>
      <c r="H1036" s="7"/>
      <c r="I1036" s="7"/>
      <c r="J1036" s="7"/>
      <c r="K1036" s="7"/>
      <c r="L1036" s="7"/>
      <c r="M1036" s="7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9"/>
    </row>
    <row r="1037">
      <c r="A1037" s="10">
        <v>2.2299439E7</v>
      </c>
      <c r="B1037" s="10" t="s">
        <v>2101</v>
      </c>
      <c r="C1037" s="36" t="s">
        <v>1941</v>
      </c>
      <c r="D1037" s="13" t="s">
        <v>95</v>
      </c>
      <c r="E1037" s="47"/>
      <c r="F1037" s="13" t="s">
        <v>2102</v>
      </c>
      <c r="G1037" s="12"/>
      <c r="H1037" s="12"/>
      <c r="I1037" s="12"/>
      <c r="J1037" s="12"/>
      <c r="K1037" s="12"/>
      <c r="L1037" s="12"/>
      <c r="M1037" s="12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9"/>
    </row>
    <row r="1038">
      <c r="A1038" s="5">
        <v>2.2299333E7</v>
      </c>
      <c r="B1038" s="5" t="s">
        <v>2103</v>
      </c>
      <c r="C1038" s="35" t="s">
        <v>1941</v>
      </c>
      <c r="D1038" s="14" t="s">
        <v>95</v>
      </c>
      <c r="E1038" s="48"/>
      <c r="F1038" s="14" t="s">
        <v>2104</v>
      </c>
      <c r="G1038" s="7"/>
      <c r="H1038" s="7"/>
      <c r="I1038" s="7"/>
      <c r="J1038" s="7"/>
      <c r="K1038" s="7"/>
      <c r="L1038" s="7"/>
      <c r="M1038" s="7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9"/>
    </row>
    <row r="1039">
      <c r="A1039" s="10">
        <v>2.2299262E7</v>
      </c>
      <c r="B1039" s="10" t="s">
        <v>2105</v>
      </c>
      <c r="C1039" s="36" t="s">
        <v>1941</v>
      </c>
      <c r="D1039" s="13" t="s">
        <v>95</v>
      </c>
      <c r="E1039" s="47"/>
      <c r="F1039" s="13" t="s">
        <v>2106</v>
      </c>
      <c r="G1039" s="12"/>
      <c r="H1039" s="12"/>
      <c r="I1039" s="12"/>
      <c r="J1039" s="12"/>
      <c r="K1039" s="12"/>
      <c r="L1039" s="12"/>
      <c r="M1039" s="12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9"/>
    </row>
    <row r="1040">
      <c r="A1040" s="5">
        <v>2.2299122E7</v>
      </c>
      <c r="B1040" s="5" t="s">
        <v>2107</v>
      </c>
      <c r="C1040" s="35" t="s">
        <v>1941</v>
      </c>
      <c r="D1040" s="14" t="s">
        <v>95</v>
      </c>
      <c r="E1040" s="48"/>
      <c r="F1040" s="14" t="s">
        <v>2108</v>
      </c>
      <c r="G1040" s="7"/>
      <c r="H1040" s="7"/>
      <c r="I1040" s="7"/>
      <c r="J1040" s="7"/>
      <c r="K1040" s="7"/>
      <c r="L1040" s="7"/>
      <c r="M1040" s="7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9"/>
    </row>
    <row r="1041">
      <c r="A1041" s="10">
        <v>2.2201866E7</v>
      </c>
      <c r="B1041" s="10" t="s">
        <v>2109</v>
      </c>
      <c r="C1041" s="36" t="s">
        <v>1941</v>
      </c>
      <c r="D1041" s="13" t="s">
        <v>95</v>
      </c>
      <c r="E1041" s="47"/>
      <c r="F1041" s="13" t="s">
        <v>2110</v>
      </c>
      <c r="G1041" s="12"/>
      <c r="H1041" s="12"/>
      <c r="I1041" s="12"/>
      <c r="J1041" s="12"/>
      <c r="K1041" s="12"/>
      <c r="L1041" s="12"/>
      <c r="M1041" s="12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9"/>
    </row>
    <row r="1042">
      <c r="A1042" s="5">
        <v>2.2201748E7</v>
      </c>
      <c r="B1042" s="5" t="s">
        <v>2111</v>
      </c>
      <c r="C1042" s="35" t="s">
        <v>1941</v>
      </c>
      <c r="D1042" s="14" t="s">
        <v>95</v>
      </c>
      <c r="E1042" s="48"/>
      <c r="F1042" s="14" t="s">
        <v>2112</v>
      </c>
      <c r="G1042" s="7"/>
      <c r="H1042" s="7"/>
      <c r="I1042" s="7"/>
      <c r="J1042" s="7"/>
      <c r="K1042" s="7"/>
      <c r="L1042" s="7"/>
      <c r="M1042" s="7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9"/>
    </row>
    <row r="1043">
      <c r="A1043" s="10">
        <v>2.2201738E7</v>
      </c>
      <c r="B1043" s="10" t="s">
        <v>2113</v>
      </c>
      <c r="C1043" s="36" t="s">
        <v>1941</v>
      </c>
      <c r="D1043" s="13" t="s">
        <v>95</v>
      </c>
      <c r="E1043" s="47"/>
      <c r="F1043" s="13" t="s">
        <v>2114</v>
      </c>
      <c r="G1043" s="12"/>
      <c r="H1043" s="12"/>
      <c r="I1043" s="12"/>
      <c r="J1043" s="12"/>
      <c r="K1043" s="12"/>
      <c r="L1043" s="12"/>
      <c r="M1043" s="12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9"/>
    </row>
    <row r="1044">
      <c r="A1044" s="5">
        <v>2.2201684E7</v>
      </c>
      <c r="B1044" s="5" t="s">
        <v>2115</v>
      </c>
      <c r="C1044" s="35" t="s">
        <v>1941</v>
      </c>
      <c r="D1044" s="14" t="s">
        <v>95</v>
      </c>
      <c r="E1044" s="48"/>
      <c r="F1044" s="14" t="s">
        <v>2116</v>
      </c>
      <c r="G1044" s="7"/>
      <c r="H1044" s="7"/>
      <c r="I1044" s="7"/>
      <c r="J1044" s="7"/>
      <c r="K1044" s="7"/>
      <c r="L1044" s="7"/>
      <c r="M1044" s="7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9"/>
    </row>
    <row r="1045">
      <c r="A1045" s="10">
        <v>2.2201561E7</v>
      </c>
      <c r="B1045" s="10" t="s">
        <v>2117</v>
      </c>
      <c r="C1045" s="36" t="s">
        <v>1941</v>
      </c>
      <c r="D1045" s="13" t="s">
        <v>95</v>
      </c>
      <c r="E1045" s="47"/>
      <c r="F1045" s="13" t="s">
        <v>2118</v>
      </c>
      <c r="G1045" s="12"/>
      <c r="H1045" s="12"/>
      <c r="I1045" s="12"/>
      <c r="J1045" s="12"/>
      <c r="K1045" s="12"/>
      <c r="L1045" s="12"/>
      <c r="M1045" s="12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9"/>
    </row>
    <row r="1046">
      <c r="A1046" s="5">
        <v>2.2201485E7</v>
      </c>
      <c r="B1046" s="5" t="s">
        <v>2119</v>
      </c>
      <c r="C1046" s="35" t="s">
        <v>1941</v>
      </c>
      <c r="D1046" s="14" t="s">
        <v>95</v>
      </c>
      <c r="E1046" s="48"/>
      <c r="F1046" s="14" t="s">
        <v>2120</v>
      </c>
      <c r="G1046" s="7"/>
      <c r="H1046" s="7"/>
      <c r="I1046" s="7"/>
      <c r="J1046" s="7"/>
      <c r="K1046" s="7"/>
      <c r="L1046" s="7"/>
      <c r="M1046" s="7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9"/>
    </row>
    <row r="1047">
      <c r="A1047" s="10">
        <v>2.2201301E7</v>
      </c>
      <c r="B1047" s="10" t="s">
        <v>2121</v>
      </c>
      <c r="C1047" s="36" t="s">
        <v>1941</v>
      </c>
      <c r="D1047" s="13" t="s">
        <v>95</v>
      </c>
      <c r="E1047" s="47"/>
      <c r="F1047" s="13" t="s">
        <v>2122</v>
      </c>
      <c r="G1047" s="12"/>
      <c r="H1047" s="12"/>
      <c r="I1047" s="12"/>
      <c r="J1047" s="12"/>
      <c r="K1047" s="12"/>
      <c r="L1047" s="12"/>
      <c r="M1047" s="12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9"/>
    </row>
    <row r="1048">
      <c r="A1048" s="5">
        <v>2.2201159E7</v>
      </c>
      <c r="B1048" s="5" t="s">
        <v>2123</v>
      </c>
      <c r="C1048" s="35" t="s">
        <v>1941</v>
      </c>
      <c r="D1048" s="14" t="s">
        <v>95</v>
      </c>
      <c r="E1048" s="48"/>
      <c r="F1048" s="14" t="s">
        <v>2124</v>
      </c>
      <c r="G1048" s="7"/>
      <c r="H1048" s="7"/>
      <c r="I1048" s="7"/>
      <c r="J1048" s="7"/>
      <c r="K1048" s="7"/>
      <c r="L1048" s="7"/>
      <c r="M1048" s="7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9"/>
    </row>
    <row r="1049">
      <c r="A1049" s="10">
        <v>2.2201028E7</v>
      </c>
      <c r="B1049" s="10" t="s">
        <v>2125</v>
      </c>
      <c r="C1049" s="36" t="s">
        <v>1941</v>
      </c>
      <c r="D1049" s="13" t="s">
        <v>95</v>
      </c>
      <c r="E1049" s="47"/>
      <c r="F1049" s="13" t="s">
        <v>2126</v>
      </c>
      <c r="G1049" s="12"/>
      <c r="H1049" s="12"/>
      <c r="I1049" s="12"/>
      <c r="J1049" s="12"/>
      <c r="K1049" s="12"/>
      <c r="L1049" s="12"/>
      <c r="M1049" s="12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9"/>
    </row>
    <row r="1050">
      <c r="A1050" s="5">
        <v>2.2101874E7</v>
      </c>
      <c r="B1050" s="5" t="s">
        <v>2127</v>
      </c>
      <c r="C1050" s="35" t="s">
        <v>1941</v>
      </c>
      <c r="D1050" s="14" t="s">
        <v>95</v>
      </c>
      <c r="E1050" s="48"/>
      <c r="F1050" s="14" t="s">
        <v>2128</v>
      </c>
      <c r="G1050" s="7"/>
      <c r="H1050" s="7"/>
      <c r="I1050" s="7"/>
      <c r="J1050" s="7"/>
      <c r="K1050" s="7"/>
      <c r="L1050" s="7"/>
      <c r="M1050" s="7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9"/>
    </row>
    <row r="1051">
      <c r="A1051" s="10">
        <v>2.2101855E7</v>
      </c>
      <c r="B1051" s="10" t="s">
        <v>2129</v>
      </c>
      <c r="C1051" s="36" t="s">
        <v>1941</v>
      </c>
      <c r="D1051" s="13" t="s">
        <v>95</v>
      </c>
      <c r="E1051" s="47"/>
      <c r="F1051" s="13" t="s">
        <v>2130</v>
      </c>
      <c r="G1051" s="12"/>
      <c r="H1051" s="12"/>
      <c r="I1051" s="12"/>
      <c r="J1051" s="12"/>
      <c r="K1051" s="12"/>
      <c r="L1051" s="12"/>
      <c r="M1051" s="12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9"/>
    </row>
    <row r="1052">
      <c r="A1052" s="5">
        <v>2.210114E7</v>
      </c>
      <c r="B1052" s="5" t="s">
        <v>2131</v>
      </c>
      <c r="C1052" s="35" t="s">
        <v>1941</v>
      </c>
      <c r="D1052" s="14" t="s">
        <v>95</v>
      </c>
      <c r="E1052" s="48"/>
      <c r="F1052" s="14" t="s">
        <v>2132</v>
      </c>
      <c r="G1052" s="7"/>
      <c r="H1052" s="7"/>
      <c r="I1052" s="7"/>
      <c r="J1052" s="7"/>
      <c r="K1052" s="7"/>
      <c r="L1052" s="7"/>
      <c r="M1052" s="7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9"/>
    </row>
    <row r="1053">
      <c r="A1053" s="10">
        <v>2.2101133E7</v>
      </c>
      <c r="B1053" s="10" t="s">
        <v>2133</v>
      </c>
      <c r="C1053" s="36" t="s">
        <v>1941</v>
      </c>
      <c r="D1053" s="13" t="s">
        <v>95</v>
      </c>
      <c r="E1053" s="47"/>
      <c r="F1053" s="13" t="s">
        <v>2134</v>
      </c>
      <c r="G1053" s="12"/>
      <c r="H1053" s="12"/>
      <c r="I1053" s="12"/>
      <c r="J1053" s="12"/>
      <c r="K1053" s="12"/>
      <c r="L1053" s="12"/>
      <c r="M1053" s="12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9"/>
    </row>
    <row r="1054">
      <c r="A1054" s="5">
        <v>2.2201651E7</v>
      </c>
      <c r="B1054" s="5" t="s">
        <v>2135</v>
      </c>
      <c r="C1054" s="35" t="s">
        <v>1941</v>
      </c>
      <c r="D1054" s="14" t="s">
        <v>95</v>
      </c>
      <c r="E1054" s="48"/>
      <c r="F1054" s="14" t="s">
        <v>2136</v>
      </c>
      <c r="G1054" s="7"/>
      <c r="H1054" s="7"/>
      <c r="I1054" s="7"/>
      <c r="J1054" s="7"/>
      <c r="K1054" s="7"/>
      <c r="L1054" s="7"/>
      <c r="M1054" s="7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9"/>
    </row>
    <row r="1055">
      <c r="A1055" s="10">
        <v>2.4101544E7</v>
      </c>
      <c r="B1055" s="10" t="s">
        <v>2137</v>
      </c>
      <c r="C1055" s="36" t="s">
        <v>1941</v>
      </c>
      <c r="D1055" s="13" t="s">
        <v>95</v>
      </c>
      <c r="E1055" s="47"/>
      <c r="F1055" s="13" t="s">
        <v>2138</v>
      </c>
      <c r="G1055" s="12"/>
      <c r="H1055" s="12"/>
      <c r="I1055" s="12"/>
      <c r="J1055" s="12"/>
      <c r="K1055" s="12"/>
      <c r="L1055" s="12"/>
      <c r="M1055" s="12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9"/>
    </row>
    <row r="1056">
      <c r="A1056" s="5">
        <v>2.4101645E7</v>
      </c>
      <c r="B1056" s="5" t="s">
        <v>2139</v>
      </c>
      <c r="C1056" s="35" t="s">
        <v>1941</v>
      </c>
      <c r="D1056" s="14" t="s">
        <v>95</v>
      </c>
      <c r="E1056" s="48"/>
      <c r="F1056" s="14" t="s">
        <v>2140</v>
      </c>
      <c r="G1056" s="7"/>
      <c r="H1056" s="7"/>
      <c r="I1056" s="7"/>
      <c r="J1056" s="7"/>
      <c r="K1056" s="7"/>
      <c r="L1056" s="7"/>
      <c r="M1056" s="7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9"/>
    </row>
    <row r="1057">
      <c r="A1057" s="10">
        <v>2.2201839E7</v>
      </c>
      <c r="B1057" s="10" t="s">
        <v>2141</v>
      </c>
      <c r="C1057" s="36" t="s">
        <v>1941</v>
      </c>
      <c r="D1057" s="13" t="s">
        <v>95</v>
      </c>
      <c r="E1057" s="47"/>
      <c r="F1057" s="13" t="s">
        <v>2142</v>
      </c>
      <c r="G1057" s="12"/>
      <c r="H1057" s="12"/>
      <c r="I1057" s="12"/>
      <c r="J1057" s="12"/>
      <c r="K1057" s="12"/>
      <c r="L1057" s="12"/>
      <c r="M1057" s="12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9"/>
    </row>
    <row r="1058">
      <c r="A1058" s="5">
        <v>2.4101436E7</v>
      </c>
      <c r="B1058" s="5" t="s">
        <v>2143</v>
      </c>
      <c r="C1058" s="35" t="s">
        <v>1941</v>
      </c>
      <c r="D1058" s="14" t="s">
        <v>95</v>
      </c>
      <c r="E1058" s="48"/>
      <c r="F1058" s="14" t="s">
        <v>2144</v>
      </c>
      <c r="G1058" s="7"/>
      <c r="H1058" s="7"/>
      <c r="I1058" s="7"/>
      <c r="J1058" s="7"/>
      <c r="K1058" s="7"/>
      <c r="L1058" s="7"/>
      <c r="M1058" s="7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9"/>
    </row>
    <row r="1059">
      <c r="A1059" s="10">
        <v>2.2301747E7</v>
      </c>
      <c r="B1059" s="10" t="s">
        <v>2145</v>
      </c>
      <c r="C1059" s="36" t="s">
        <v>1941</v>
      </c>
      <c r="D1059" s="13" t="s">
        <v>95</v>
      </c>
      <c r="E1059" s="47"/>
      <c r="F1059" s="13" t="s">
        <v>2146</v>
      </c>
      <c r="G1059" s="12"/>
      <c r="H1059" s="12"/>
      <c r="I1059" s="12"/>
      <c r="J1059" s="12"/>
      <c r="K1059" s="12"/>
      <c r="L1059" s="12"/>
      <c r="M1059" s="12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9"/>
    </row>
    <row r="1060">
      <c r="A1060" s="5">
        <v>2.229927E7</v>
      </c>
      <c r="B1060" s="5" t="s">
        <v>2147</v>
      </c>
      <c r="C1060" s="35" t="s">
        <v>1941</v>
      </c>
      <c r="D1060" s="14" t="s">
        <v>95</v>
      </c>
      <c r="E1060" s="48"/>
      <c r="F1060" s="14" t="s">
        <v>2148</v>
      </c>
      <c r="G1060" s="7"/>
      <c r="H1060" s="7"/>
      <c r="I1060" s="7"/>
      <c r="J1060" s="7"/>
      <c r="K1060" s="7"/>
      <c r="L1060" s="7"/>
      <c r="M1060" s="7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9"/>
    </row>
    <row r="1061">
      <c r="A1061" s="10">
        <v>2.3201519E7</v>
      </c>
      <c r="B1061" s="10" t="s">
        <v>2149</v>
      </c>
      <c r="C1061" s="36" t="s">
        <v>1941</v>
      </c>
      <c r="D1061" s="13" t="s">
        <v>95</v>
      </c>
      <c r="E1061" s="47"/>
      <c r="F1061" s="13" t="s">
        <v>2150</v>
      </c>
      <c r="G1061" s="12"/>
      <c r="H1061" s="12"/>
      <c r="I1061" s="12"/>
      <c r="J1061" s="12"/>
      <c r="K1061" s="12"/>
      <c r="L1061" s="12"/>
      <c r="M1061" s="12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9"/>
    </row>
    <row r="1062">
      <c r="A1062" s="5">
        <v>2.2301561E7</v>
      </c>
      <c r="B1062" s="5" t="s">
        <v>2151</v>
      </c>
      <c r="C1062" s="35" t="s">
        <v>1941</v>
      </c>
      <c r="D1062" s="14" t="s">
        <v>95</v>
      </c>
      <c r="E1062" s="48"/>
      <c r="F1062" s="14" t="s">
        <v>2152</v>
      </c>
      <c r="G1062" s="7"/>
      <c r="H1062" s="7"/>
      <c r="I1062" s="7"/>
      <c r="J1062" s="7"/>
      <c r="K1062" s="7"/>
      <c r="L1062" s="7"/>
      <c r="M1062" s="7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9"/>
    </row>
    <row r="1063">
      <c r="A1063" s="10">
        <v>2.4110031E7</v>
      </c>
      <c r="B1063" s="10" t="s">
        <v>2153</v>
      </c>
      <c r="C1063" s="36" t="s">
        <v>1941</v>
      </c>
      <c r="D1063" s="13" t="s">
        <v>95</v>
      </c>
      <c r="E1063" s="47"/>
      <c r="F1063" s="13" t="s">
        <v>2154</v>
      </c>
      <c r="G1063" s="12"/>
      <c r="H1063" s="12"/>
      <c r="I1063" s="12"/>
      <c r="J1063" s="12"/>
      <c r="K1063" s="12"/>
      <c r="L1063" s="12"/>
      <c r="M1063" s="12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9"/>
    </row>
    <row r="1064">
      <c r="A1064" s="5">
        <v>2.4321223E7</v>
      </c>
      <c r="B1064" s="5" t="s">
        <v>2155</v>
      </c>
      <c r="C1064" s="35" t="s">
        <v>1941</v>
      </c>
      <c r="D1064" s="14" t="s">
        <v>95</v>
      </c>
      <c r="E1064" s="48"/>
      <c r="F1064" s="14" t="s">
        <v>2156</v>
      </c>
      <c r="G1064" s="7"/>
      <c r="H1064" s="7"/>
      <c r="I1064" s="7"/>
      <c r="J1064" s="7"/>
      <c r="K1064" s="7"/>
      <c r="L1064" s="7"/>
      <c r="M1064" s="7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9"/>
    </row>
    <row r="1065">
      <c r="A1065" s="10">
        <v>2.430157E7</v>
      </c>
      <c r="B1065" s="10" t="s">
        <v>2157</v>
      </c>
      <c r="C1065" s="36" t="s">
        <v>1941</v>
      </c>
      <c r="D1065" s="13" t="s">
        <v>95</v>
      </c>
      <c r="E1065" s="47"/>
      <c r="F1065" s="13" t="s">
        <v>2158</v>
      </c>
      <c r="G1065" s="12"/>
      <c r="H1065" s="12"/>
      <c r="I1065" s="12"/>
      <c r="J1065" s="12"/>
      <c r="K1065" s="12"/>
      <c r="L1065" s="12"/>
      <c r="M1065" s="12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9"/>
    </row>
    <row r="1066">
      <c r="A1066" s="5">
        <v>2.4321218E7</v>
      </c>
      <c r="B1066" s="5" t="s">
        <v>2159</v>
      </c>
      <c r="C1066" s="35" t="s">
        <v>1941</v>
      </c>
      <c r="D1066" s="14" t="s">
        <v>95</v>
      </c>
      <c r="E1066" s="48"/>
      <c r="F1066" s="14" t="s">
        <v>2160</v>
      </c>
      <c r="G1066" s="7"/>
      <c r="H1066" s="7"/>
      <c r="I1066" s="7"/>
      <c r="J1066" s="7"/>
      <c r="K1066" s="7"/>
      <c r="L1066" s="7"/>
      <c r="M1066" s="7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9"/>
    </row>
    <row r="1067">
      <c r="A1067" s="10">
        <v>2.430121E7</v>
      </c>
      <c r="B1067" s="10" t="s">
        <v>2161</v>
      </c>
      <c r="C1067" s="36" t="s">
        <v>1941</v>
      </c>
      <c r="D1067" s="13" t="s">
        <v>95</v>
      </c>
      <c r="E1067" s="47"/>
      <c r="F1067" s="13" t="s">
        <v>2162</v>
      </c>
      <c r="G1067" s="12"/>
      <c r="H1067" s="12"/>
      <c r="I1067" s="12"/>
      <c r="J1067" s="12"/>
      <c r="K1067" s="12"/>
      <c r="L1067" s="12"/>
      <c r="M1067" s="12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9"/>
    </row>
    <row r="1068">
      <c r="A1068" s="5">
        <v>2.330138E7</v>
      </c>
      <c r="B1068" s="5" t="s">
        <v>2163</v>
      </c>
      <c r="C1068" s="35" t="s">
        <v>1941</v>
      </c>
      <c r="D1068" s="14" t="s">
        <v>95</v>
      </c>
      <c r="E1068" s="48"/>
      <c r="F1068" s="14" t="s">
        <v>2164</v>
      </c>
      <c r="G1068" s="7"/>
      <c r="H1068" s="7"/>
      <c r="I1068" s="7"/>
      <c r="J1068" s="7"/>
      <c r="K1068" s="7"/>
      <c r="L1068" s="7"/>
      <c r="M1068" s="7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9"/>
    </row>
    <row r="1069">
      <c r="A1069" s="10">
        <v>2.3301235E7</v>
      </c>
      <c r="B1069" s="10" t="s">
        <v>2165</v>
      </c>
      <c r="C1069" s="36" t="s">
        <v>1941</v>
      </c>
      <c r="D1069" s="13" t="s">
        <v>95</v>
      </c>
      <c r="E1069" s="47"/>
      <c r="F1069" s="13" t="s">
        <v>2166</v>
      </c>
      <c r="G1069" s="12"/>
      <c r="H1069" s="12"/>
      <c r="I1069" s="12"/>
      <c r="J1069" s="12"/>
      <c r="K1069" s="12"/>
      <c r="L1069" s="12"/>
      <c r="M1069" s="12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9"/>
    </row>
    <row r="1070">
      <c r="A1070" s="5">
        <v>2.4201144E7</v>
      </c>
      <c r="B1070" s="5" t="s">
        <v>2167</v>
      </c>
      <c r="C1070" s="35" t="s">
        <v>1941</v>
      </c>
      <c r="D1070" s="14" t="s">
        <v>95</v>
      </c>
      <c r="E1070" s="48"/>
      <c r="F1070" s="14" t="s">
        <v>2168</v>
      </c>
      <c r="G1070" s="7"/>
      <c r="H1070" s="7"/>
      <c r="I1070" s="7"/>
      <c r="J1070" s="7"/>
      <c r="K1070" s="7"/>
      <c r="L1070" s="7"/>
      <c r="M1070" s="7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9"/>
    </row>
    <row r="1071">
      <c r="A1071" s="10">
        <v>2.4315008E7</v>
      </c>
      <c r="B1071" s="10" t="s">
        <v>2169</v>
      </c>
      <c r="C1071" s="36" t="s">
        <v>1941</v>
      </c>
      <c r="D1071" s="13" t="s">
        <v>95</v>
      </c>
      <c r="E1071" s="47"/>
      <c r="F1071" s="13" t="s">
        <v>2170</v>
      </c>
      <c r="G1071" s="12"/>
      <c r="H1071" s="12"/>
      <c r="I1071" s="12"/>
      <c r="J1071" s="12"/>
      <c r="K1071" s="12"/>
      <c r="L1071" s="12"/>
      <c r="M1071" s="12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9"/>
    </row>
    <row r="1072">
      <c r="A1072" s="5">
        <v>2.4201049E7</v>
      </c>
      <c r="B1072" s="5" t="s">
        <v>2171</v>
      </c>
      <c r="C1072" s="35" t="s">
        <v>1941</v>
      </c>
      <c r="D1072" s="14" t="s">
        <v>95</v>
      </c>
      <c r="E1072" s="48"/>
      <c r="F1072" s="14" t="s">
        <v>2172</v>
      </c>
      <c r="G1072" s="7"/>
      <c r="H1072" s="7"/>
      <c r="I1072" s="7"/>
      <c r="J1072" s="7"/>
      <c r="K1072" s="7"/>
      <c r="L1072" s="7"/>
      <c r="M1072" s="7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9"/>
    </row>
    <row r="1073">
      <c r="A1073" s="10">
        <v>2.3101055E7</v>
      </c>
      <c r="B1073" s="10" t="s">
        <v>2173</v>
      </c>
      <c r="C1073" s="36" t="s">
        <v>1941</v>
      </c>
      <c r="D1073" s="13" t="s">
        <v>95</v>
      </c>
      <c r="E1073" s="47"/>
      <c r="F1073" s="13" t="s">
        <v>2174</v>
      </c>
      <c r="G1073" s="12"/>
      <c r="H1073" s="12"/>
      <c r="I1073" s="12"/>
      <c r="J1073" s="12"/>
      <c r="K1073" s="12"/>
      <c r="L1073" s="12"/>
      <c r="M1073" s="12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9"/>
    </row>
    <row r="1074">
      <c r="A1074" s="5">
        <v>2.3101115E7</v>
      </c>
      <c r="B1074" s="5" t="s">
        <v>2175</v>
      </c>
      <c r="C1074" s="35" t="s">
        <v>1941</v>
      </c>
      <c r="D1074" s="14" t="s">
        <v>95</v>
      </c>
      <c r="E1074" s="48"/>
      <c r="F1074" s="14" t="s">
        <v>2176</v>
      </c>
      <c r="G1074" s="7"/>
      <c r="H1074" s="7"/>
      <c r="I1074" s="7"/>
      <c r="J1074" s="7"/>
      <c r="K1074" s="7"/>
      <c r="L1074" s="7"/>
      <c r="M1074" s="7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9"/>
    </row>
    <row r="1075">
      <c r="A1075" s="10">
        <v>2.3201128E7</v>
      </c>
      <c r="B1075" s="10" t="s">
        <v>2177</v>
      </c>
      <c r="C1075" s="36" t="s">
        <v>1941</v>
      </c>
      <c r="D1075" s="13" t="s">
        <v>95</v>
      </c>
      <c r="E1075" s="47"/>
      <c r="F1075" s="13" t="s">
        <v>2178</v>
      </c>
      <c r="G1075" s="12"/>
      <c r="H1075" s="12"/>
      <c r="I1075" s="12"/>
      <c r="J1075" s="12"/>
      <c r="K1075" s="12"/>
      <c r="L1075" s="12"/>
      <c r="M1075" s="12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9"/>
    </row>
    <row r="1076">
      <c r="A1076" s="5">
        <v>2.4121223E7</v>
      </c>
      <c r="B1076" s="5" t="s">
        <v>2179</v>
      </c>
      <c r="C1076" s="35" t="s">
        <v>1941</v>
      </c>
      <c r="D1076" s="14" t="s">
        <v>95</v>
      </c>
      <c r="E1076" s="48"/>
      <c r="F1076" s="14" t="s">
        <v>2180</v>
      </c>
      <c r="G1076" s="7"/>
      <c r="H1076" s="7"/>
      <c r="I1076" s="7"/>
      <c r="J1076" s="7"/>
      <c r="K1076" s="7"/>
      <c r="L1076" s="7"/>
      <c r="M1076" s="7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9"/>
    </row>
    <row r="1077">
      <c r="A1077" s="10">
        <v>2.4321228E7</v>
      </c>
      <c r="B1077" s="10" t="s">
        <v>2181</v>
      </c>
      <c r="C1077" s="36" t="s">
        <v>1941</v>
      </c>
      <c r="D1077" s="13" t="s">
        <v>95</v>
      </c>
      <c r="E1077" s="47"/>
      <c r="F1077" s="13" t="s">
        <v>2182</v>
      </c>
      <c r="G1077" s="12"/>
      <c r="H1077" s="12"/>
      <c r="I1077" s="12"/>
      <c r="J1077" s="12"/>
      <c r="K1077" s="12"/>
      <c r="L1077" s="12"/>
      <c r="M1077" s="12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9"/>
    </row>
    <row r="1078">
      <c r="A1078" s="5">
        <v>1.000054073E9</v>
      </c>
      <c r="B1078" s="5" t="s">
        <v>2183</v>
      </c>
      <c r="C1078" s="35" t="s">
        <v>1941</v>
      </c>
      <c r="D1078" s="14" t="s">
        <v>95</v>
      </c>
      <c r="E1078" s="48"/>
      <c r="F1078" s="14" t="s">
        <v>2184</v>
      </c>
      <c r="G1078" s="7"/>
      <c r="H1078" s="7"/>
      <c r="I1078" s="7"/>
      <c r="J1078" s="7"/>
      <c r="K1078" s="7"/>
      <c r="L1078" s="7"/>
      <c r="M1078" s="7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9"/>
    </row>
    <row r="1079">
      <c r="A1079" s="10">
        <v>1.00005526E9</v>
      </c>
      <c r="B1079" s="10" t="s">
        <v>2185</v>
      </c>
      <c r="C1079" s="36" t="s">
        <v>1941</v>
      </c>
      <c r="D1079" s="13" t="s">
        <v>95</v>
      </c>
      <c r="E1079" s="47"/>
      <c r="F1079" s="13" t="s">
        <v>2186</v>
      </c>
      <c r="G1079" s="12"/>
      <c r="H1079" s="12"/>
      <c r="I1079" s="12"/>
      <c r="J1079" s="12"/>
      <c r="K1079" s="12"/>
      <c r="L1079" s="12"/>
      <c r="M1079" s="12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9"/>
    </row>
    <row r="1080">
      <c r="A1080" s="5">
        <v>1.000055485E9</v>
      </c>
      <c r="B1080" s="5" t="s">
        <v>2187</v>
      </c>
      <c r="C1080" s="35" t="s">
        <v>1941</v>
      </c>
      <c r="D1080" s="14" t="s">
        <v>95</v>
      </c>
      <c r="E1080" s="48"/>
      <c r="F1080" s="14" t="s">
        <v>2188</v>
      </c>
      <c r="G1080" s="7"/>
      <c r="H1080" s="7"/>
      <c r="I1080" s="7"/>
      <c r="J1080" s="7"/>
      <c r="K1080" s="7"/>
      <c r="L1080" s="7"/>
      <c r="M1080" s="7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9"/>
    </row>
    <row r="1081">
      <c r="A1081" s="10">
        <v>2.420143E7</v>
      </c>
      <c r="B1081" s="10" t="s">
        <v>2189</v>
      </c>
      <c r="C1081" s="36" t="s">
        <v>1941</v>
      </c>
      <c r="D1081" s="13" t="s">
        <v>95</v>
      </c>
      <c r="E1081" s="47"/>
      <c r="F1081" s="13" t="s">
        <v>2190</v>
      </c>
      <c r="G1081" s="12"/>
      <c r="H1081" s="12"/>
      <c r="I1081" s="12"/>
      <c r="J1081" s="12"/>
      <c r="K1081" s="12"/>
      <c r="L1081" s="12"/>
      <c r="M1081" s="12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9"/>
    </row>
    <row r="1082">
      <c r="A1082" s="5">
        <v>1.00005516E9</v>
      </c>
      <c r="B1082" s="5" t="s">
        <v>2191</v>
      </c>
      <c r="C1082" s="35" t="s">
        <v>1941</v>
      </c>
      <c r="D1082" s="14" t="s">
        <v>95</v>
      </c>
      <c r="E1082" s="48"/>
      <c r="F1082" s="14" t="s">
        <v>2192</v>
      </c>
      <c r="G1082" s="7"/>
      <c r="H1082" s="7"/>
      <c r="I1082" s="7"/>
      <c r="J1082" s="7"/>
      <c r="K1082" s="7"/>
      <c r="L1082" s="7"/>
      <c r="M1082" s="7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9"/>
    </row>
    <row r="1083">
      <c r="A1083" s="10">
        <v>2.4201349E7</v>
      </c>
      <c r="B1083" s="10" t="s">
        <v>2193</v>
      </c>
      <c r="C1083" s="36" t="s">
        <v>1941</v>
      </c>
      <c r="D1083" s="13" t="s">
        <v>95</v>
      </c>
      <c r="E1083" s="47"/>
      <c r="F1083" s="13" t="s">
        <v>2194</v>
      </c>
      <c r="G1083" s="12"/>
      <c r="H1083" s="12"/>
      <c r="I1083" s="12"/>
      <c r="J1083" s="12"/>
      <c r="K1083" s="12"/>
      <c r="L1083" s="12"/>
      <c r="M1083" s="12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9"/>
    </row>
    <row r="1084">
      <c r="A1084" s="5">
        <v>1.000057486E9</v>
      </c>
      <c r="B1084" s="5" t="s">
        <v>2195</v>
      </c>
      <c r="C1084" s="35" t="s">
        <v>1941</v>
      </c>
      <c r="D1084" s="14" t="s">
        <v>95</v>
      </c>
      <c r="E1084" s="48"/>
      <c r="F1084" s="14" t="s">
        <v>2196</v>
      </c>
      <c r="G1084" s="7"/>
      <c r="H1084" s="7"/>
      <c r="I1084" s="7"/>
      <c r="J1084" s="7"/>
      <c r="K1084" s="7"/>
      <c r="L1084" s="7"/>
      <c r="M1084" s="7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9"/>
    </row>
    <row r="1085">
      <c r="A1085" s="10">
        <v>1.000056038E9</v>
      </c>
      <c r="B1085" s="10" t="s">
        <v>2197</v>
      </c>
      <c r="C1085" s="36" t="s">
        <v>1941</v>
      </c>
      <c r="D1085" s="13" t="s">
        <v>95</v>
      </c>
      <c r="E1085" s="47"/>
      <c r="F1085" s="13" t="s">
        <v>2198</v>
      </c>
      <c r="G1085" s="12"/>
      <c r="H1085" s="12"/>
      <c r="I1085" s="12"/>
      <c r="J1085" s="12"/>
      <c r="K1085" s="12"/>
      <c r="L1085" s="12"/>
      <c r="M1085" s="12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9"/>
    </row>
    <row r="1086">
      <c r="A1086" s="5">
        <v>1.000056836E9</v>
      </c>
      <c r="B1086" s="5" t="s">
        <v>2199</v>
      </c>
      <c r="C1086" s="35" t="s">
        <v>1941</v>
      </c>
      <c r="D1086" s="14" t="s">
        <v>95</v>
      </c>
      <c r="E1086" s="48"/>
      <c r="F1086" s="14" t="s">
        <v>2200</v>
      </c>
      <c r="G1086" s="7"/>
      <c r="H1086" s="7"/>
      <c r="I1086" s="7"/>
      <c r="J1086" s="7"/>
      <c r="K1086" s="7"/>
      <c r="L1086" s="7"/>
      <c r="M1086" s="7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9"/>
    </row>
    <row r="1087">
      <c r="A1087" s="10">
        <v>1.000057528E9</v>
      </c>
      <c r="B1087" s="10" t="s">
        <v>2201</v>
      </c>
      <c r="C1087" s="36" t="s">
        <v>1941</v>
      </c>
      <c r="D1087" s="13" t="s">
        <v>95</v>
      </c>
      <c r="E1087" s="47"/>
      <c r="F1087" s="13" t="s">
        <v>2202</v>
      </c>
      <c r="G1087" s="12"/>
      <c r="H1087" s="12"/>
      <c r="I1087" s="12"/>
      <c r="J1087" s="12"/>
      <c r="K1087" s="12"/>
      <c r="L1087" s="12"/>
      <c r="M1087" s="12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9"/>
    </row>
    <row r="1088">
      <c r="A1088" s="5">
        <v>1.000060519E9</v>
      </c>
      <c r="B1088" s="5" t="s">
        <v>2203</v>
      </c>
      <c r="C1088" s="35" t="s">
        <v>1941</v>
      </c>
      <c r="D1088" s="14" t="s">
        <v>95</v>
      </c>
      <c r="E1088" s="48"/>
      <c r="F1088" s="14" t="s">
        <v>2204</v>
      </c>
      <c r="G1088" s="7"/>
      <c r="H1088" s="7"/>
      <c r="I1088" s="7"/>
      <c r="J1088" s="7"/>
      <c r="K1088" s="7"/>
      <c r="L1088" s="7"/>
      <c r="M1088" s="7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9"/>
    </row>
    <row r="1089">
      <c r="A1089" s="10">
        <v>1.000054148E9</v>
      </c>
      <c r="B1089" s="10" t="s">
        <v>2205</v>
      </c>
      <c r="C1089" s="36" t="s">
        <v>1941</v>
      </c>
      <c r="D1089" s="13" t="s">
        <v>95</v>
      </c>
      <c r="E1089" s="47"/>
      <c r="F1089" s="13" t="s">
        <v>2206</v>
      </c>
      <c r="G1089" s="12"/>
      <c r="H1089" s="12"/>
      <c r="I1089" s="12"/>
      <c r="J1089" s="12"/>
      <c r="K1089" s="12"/>
      <c r="L1089" s="12"/>
      <c r="M1089" s="12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9"/>
    </row>
    <row r="1090">
      <c r="A1090" s="5">
        <v>1.000059674E9</v>
      </c>
      <c r="B1090" s="5" t="s">
        <v>2207</v>
      </c>
      <c r="C1090" s="35" t="s">
        <v>1941</v>
      </c>
      <c r="D1090" s="14" t="s">
        <v>95</v>
      </c>
      <c r="E1090" s="48"/>
      <c r="F1090" s="14" t="s">
        <v>2208</v>
      </c>
      <c r="G1090" s="7"/>
      <c r="H1090" s="7"/>
      <c r="I1090" s="7"/>
      <c r="J1090" s="7"/>
      <c r="K1090" s="7"/>
      <c r="L1090" s="7"/>
      <c r="M1090" s="7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9"/>
    </row>
    <row r="1091">
      <c r="A1091" s="10">
        <v>1.00005709E9</v>
      </c>
      <c r="B1091" s="10" t="s">
        <v>2209</v>
      </c>
      <c r="C1091" s="36" t="s">
        <v>1941</v>
      </c>
      <c r="D1091" s="13" t="s">
        <v>95</v>
      </c>
      <c r="E1091" s="47"/>
      <c r="F1091" s="13" t="s">
        <v>2210</v>
      </c>
      <c r="G1091" s="12"/>
      <c r="H1091" s="12"/>
      <c r="I1091" s="12"/>
      <c r="J1091" s="12"/>
      <c r="K1091" s="12"/>
      <c r="L1091" s="12"/>
      <c r="M1091" s="12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9"/>
    </row>
    <row r="1092">
      <c r="A1092" s="53">
        <v>2.410116E7</v>
      </c>
      <c r="B1092" s="53" t="s">
        <v>2211</v>
      </c>
      <c r="C1092" s="54" t="s">
        <v>1941</v>
      </c>
      <c r="D1092" s="55" t="s">
        <v>95</v>
      </c>
      <c r="E1092" s="56"/>
      <c r="F1092" s="55" t="s">
        <v>2212</v>
      </c>
      <c r="G1092" s="7"/>
      <c r="H1092" s="7"/>
      <c r="I1092" s="7"/>
      <c r="J1092" s="7"/>
      <c r="K1092" s="7"/>
      <c r="L1092" s="7"/>
      <c r="M1092" s="7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9"/>
    </row>
    <row r="1093">
      <c r="A1093" s="57"/>
      <c r="B1093" s="57"/>
      <c r="C1093" s="57"/>
      <c r="D1093" s="57"/>
      <c r="E1093" s="58"/>
      <c r="F1093" s="57"/>
      <c r="G1093" s="12"/>
      <c r="H1093" s="12"/>
      <c r="I1093" s="12"/>
      <c r="J1093" s="12"/>
      <c r="K1093" s="12"/>
      <c r="L1093" s="12"/>
      <c r="M1093" s="12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9"/>
    </row>
    <row r="1094">
      <c r="A1094" s="59">
        <v>2.3201315E7</v>
      </c>
      <c r="B1094" s="59" t="s">
        <v>2213</v>
      </c>
      <c r="C1094" s="60" t="s">
        <v>2214</v>
      </c>
      <c r="D1094" s="59" t="s">
        <v>25</v>
      </c>
      <c r="E1094" s="60" t="s">
        <v>2215</v>
      </c>
      <c r="F1094" s="59" t="s">
        <v>2216</v>
      </c>
      <c r="G1094" s="7"/>
      <c r="H1094" s="7"/>
      <c r="I1094" s="7"/>
      <c r="J1094" s="7"/>
      <c r="K1094" s="7"/>
      <c r="L1094" s="7"/>
      <c r="M1094" s="7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9"/>
    </row>
    <row r="1095">
      <c r="A1095" s="10">
        <v>2.2201884E7</v>
      </c>
      <c r="B1095" s="10" t="s">
        <v>2217</v>
      </c>
      <c r="C1095" s="13" t="s">
        <v>2214</v>
      </c>
      <c r="D1095" s="10" t="s">
        <v>25</v>
      </c>
      <c r="E1095" s="13" t="s">
        <v>2218</v>
      </c>
      <c r="F1095" s="10" t="s">
        <v>2219</v>
      </c>
      <c r="G1095" s="12"/>
      <c r="H1095" s="12"/>
      <c r="I1095" s="12"/>
      <c r="J1095" s="12"/>
      <c r="K1095" s="12"/>
      <c r="L1095" s="12"/>
      <c r="M1095" s="12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9"/>
    </row>
    <row r="1096">
      <c r="A1096" s="5">
        <v>2.2201676E7</v>
      </c>
      <c r="B1096" s="5" t="s">
        <v>2220</v>
      </c>
      <c r="C1096" s="14" t="s">
        <v>2214</v>
      </c>
      <c r="D1096" s="5" t="s">
        <v>32</v>
      </c>
      <c r="E1096" s="14" t="s">
        <v>2221</v>
      </c>
      <c r="F1096" s="5" t="s">
        <v>2222</v>
      </c>
      <c r="G1096" s="7"/>
      <c r="H1096" s="7"/>
      <c r="I1096" s="7"/>
      <c r="J1096" s="7"/>
      <c r="K1096" s="7"/>
      <c r="L1096" s="7"/>
      <c r="M1096" s="7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9"/>
    </row>
    <row r="1097">
      <c r="A1097" s="10">
        <v>2.3301334E7</v>
      </c>
      <c r="B1097" s="10" t="s">
        <v>2223</v>
      </c>
      <c r="C1097" s="13" t="s">
        <v>2214</v>
      </c>
      <c r="D1097" s="10" t="s">
        <v>32</v>
      </c>
      <c r="E1097" s="13" t="s">
        <v>2224</v>
      </c>
      <c r="F1097" s="10" t="s">
        <v>2225</v>
      </c>
      <c r="G1097" s="12"/>
      <c r="H1097" s="12"/>
      <c r="I1097" s="12"/>
      <c r="J1097" s="12"/>
      <c r="K1097" s="12"/>
      <c r="L1097" s="12"/>
      <c r="M1097" s="12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9"/>
    </row>
    <row r="1098">
      <c r="A1098" s="5">
        <v>2.3201171E7</v>
      </c>
      <c r="B1098" s="5" t="s">
        <v>2226</v>
      </c>
      <c r="C1098" s="14" t="s">
        <v>2214</v>
      </c>
      <c r="D1098" s="5" t="s">
        <v>36</v>
      </c>
      <c r="E1098" s="14" t="s">
        <v>2227</v>
      </c>
      <c r="F1098" s="5" t="s">
        <v>2228</v>
      </c>
      <c r="G1098" s="7"/>
      <c r="H1098" s="7"/>
      <c r="I1098" s="7"/>
      <c r="J1098" s="7"/>
      <c r="K1098" s="7"/>
      <c r="L1098" s="7"/>
      <c r="M1098" s="7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9"/>
    </row>
    <row r="1099">
      <c r="A1099" s="10">
        <v>2.4301202E7</v>
      </c>
      <c r="B1099" s="10" t="s">
        <v>2229</v>
      </c>
      <c r="C1099" s="13" t="s">
        <v>2214</v>
      </c>
      <c r="D1099" s="10" t="s">
        <v>36</v>
      </c>
      <c r="E1099" s="13"/>
      <c r="F1099" s="10" t="s">
        <v>2230</v>
      </c>
      <c r="G1099" s="12"/>
      <c r="H1099" s="12"/>
      <c r="I1099" s="12"/>
      <c r="J1099" s="12"/>
      <c r="K1099" s="12"/>
      <c r="L1099" s="12"/>
      <c r="M1099" s="12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9"/>
    </row>
    <row r="1100">
      <c r="A1100" s="5">
        <v>2.3201662E7</v>
      </c>
      <c r="B1100" s="5" t="s">
        <v>2231</v>
      </c>
      <c r="C1100" s="14" t="s">
        <v>2214</v>
      </c>
      <c r="D1100" s="5" t="s">
        <v>36</v>
      </c>
      <c r="E1100" s="14"/>
      <c r="F1100" s="5" t="s">
        <v>2232</v>
      </c>
      <c r="G1100" s="7"/>
      <c r="H1100" s="7"/>
      <c r="I1100" s="7"/>
      <c r="J1100" s="7"/>
      <c r="K1100" s="7"/>
      <c r="L1100" s="7"/>
      <c r="M1100" s="7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9"/>
    </row>
    <row r="1101">
      <c r="A1101" s="10">
        <v>2.3241027E7</v>
      </c>
      <c r="B1101" s="10" t="s">
        <v>2233</v>
      </c>
      <c r="C1101" s="13" t="s">
        <v>2214</v>
      </c>
      <c r="D1101" s="10" t="s">
        <v>36</v>
      </c>
      <c r="E1101" s="13" t="s">
        <v>2234</v>
      </c>
      <c r="F1101" s="10" t="s">
        <v>2235</v>
      </c>
      <c r="G1101" s="12"/>
      <c r="H1101" s="12"/>
      <c r="I1101" s="12"/>
      <c r="J1101" s="12"/>
      <c r="K1101" s="12"/>
      <c r="L1101" s="12"/>
      <c r="M1101" s="12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9"/>
    </row>
    <row r="1102">
      <c r="A1102" s="5">
        <v>2.4101404E7</v>
      </c>
      <c r="B1102" s="5" t="s">
        <v>2236</v>
      </c>
      <c r="C1102" s="14" t="s">
        <v>2214</v>
      </c>
      <c r="D1102" s="5" t="s">
        <v>36</v>
      </c>
      <c r="E1102" s="14"/>
      <c r="F1102" s="5" t="s">
        <v>2237</v>
      </c>
      <c r="G1102" s="7"/>
      <c r="H1102" s="7"/>
      <c r="I1102" s="7"/>
      <c r="J1102" s="7"/>
      <c r="K1102" s="7"/>
      <c r="L1102" s="7"/>
      <c r="M1102" s="7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9"/>
    </row>
    <row r="1103">
      <c r="A1103" s="10">
        <v>2.3201312E7</v>
      </c>
      <c r="B1103" s="10" t="s">
        <v>2238</v>
      </c>
      <c r="C1103" s="13" t="s">
        <v>2214</v>
      </c>
      <c r="D1103" s="10" t="s">
        <v>36</v>
      </c>
      <c r="E1103" s="13"/>
      <c r="F1103" s="10" t="s">
        <v>2239</v>
      </c>
      <c r="G1103" s="12"/>
      <c r="H1103" s="12"/>
      <c r="I1103" s="12"/>
      <c r="J1103" s="12"/>
      <c r="K1103" s="12"/>
      <c r="L1103" s="12"/>
      <c r="M1103" s="12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9"/>
    </row>
    <row r="1104">
      <c r="A1104" s="5">
        <v>2.3301142E7</v>
      </c>
      <c r="B1104" s="5" t="s">
        <v>2240</v>
      </c>
      <c r="C1104" s="14" t="s">
        <v>2214</v>
      </c>
      <c r="D1104" s="5" t="s">
        <v>36</v>
      </c>
      <c r="E1104" s="14"/>
      <c r="F1104" s="5" t="s">
        <v>2241</v>
      </c>
      <c r="G1104" s="7"/>
      <c r="H1104" s="7"/>
      <c r="I1104" s="7"/>
      <c r="J1104" s="7"/>
      <c r="K1104" s="7"/>
      <c r="L1104" s="7"/>
      <c r="M1104" s="7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9"/>
    </row>
    <row r="1105">
      <c r="A1105" s="10">
        <v>2.3301588E7</v>
      </c>
      <c r="B1105" s="10" t="s">
        <v>2242</v>
      </c>
      <c r="C1105" s="13" t="s">
        <v>2214</v>
      </c>
      <c r="D1105" s="10" t="s">
        <v>36</v>
      </c>
      <c r="E1105" s="13"/>
      <c r="F1105" s="10" t="s">
        <v>2243</v>
      </c>
      <c r="G1105" s="12"/>
      <c r="H1105" s="12"/>
      <c r="I1105" s="12"/>
      <c r="J1105" s="12"/>
      <c r="K1105" s="12"/>
      <c r="L1105" s="12"/>
      <c r="M1105" s="12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9"/>
    </row>
    <row r="1106">
      <c r="A1106" s="5">
        <v>1.000056868E9</v>
      </c>
      <c r="B1106" s="5" t="s">
        <v>2244</v>
      </c>
      <c r="C1106" s="14" t="s">
        <v>2214</v>
      </c>
      <c r="D1106" s="5" t="s">
        <v>45</v>
      </c>
      <c r="E1106" s="14"/>
      <c r="F1106" s="5" t="s">
        <v>2245</v>
      </c>
      <c r="G1106" s="7"/>
      <c r="H1106" s="7"/>
      <c r="I1106" s="7"/>
      <c r="J1106" s="7"/>
      <c r="K1106" s="7"/>
      <c r="L1106" s="7"/>
      <c r="M1106" s="7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9"/>
    </row>
    <row r="1107">
      <c r="A1107" s="10">
        <v>2.4301059E7</v>
      </c>
      <c r="B1107" s="10" t="s">
        <v>2246</v>
      </c>
      <c r="C1107" s="13" t="s">
        <v>2214</v>
      </c>
      <c r="D1107" s="10" t="s">
        <v>45</v>
      </c>
      <c r="E1107" s="13"/>
      <c r="F1107" s="10" t="s">
        <v>2247</v>
      </c>
      <c r="G1107" s="12"/>
      <c r="H1107" s="12"/>
      <c r="I1107" s="12"/>
      <c r="J1107" s="12"/>
      <c r="K1107" s="12"/>
      <c r="L1107" s="12"/>
      <c r="M1107" s="12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9"/>
    </row>
    <row r="1108">
      <c r="A1108" s="5">
        <v>1.000055924E9</v>
      </c>
      <c r="B1108" s="5" t="s">
        <v>2248</v>
      </c>
      <c r="C1108" s="14" t="s">
        <v>2214</v>
      </c>
      <c r="D1108" s="5" t="s">
        <v>45</v>
      </c>
      <c r="E1108" s="14"/>
      <c r="F1108" s="5" t="s">
        <v>2249</v>
      </c>
      <c r="G1108" s="7"/>
      <c r="H1108" s="7"/>
      <c r="I1108" s="7"/>
      <c r="J1108" s="7"/>
      <c r="K1108" s="7"/>
      <c r="L1108" s="7"/>
      <c r="M1108" s="7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9"/>
    </row>
    <row r="1109">
      <c r="A1109" s="10">
        <v>1.000055085E9</v>
      </c>
      <c r="B1109" s="10" t="s">
        <v>2250</v>
      </c>
      <c r="C1109" s="13" t="s">
        <v>2214</v>
      </c>
      <c r="D1109" s="10" t="s">
        <v>45</v>
      </c>
      <c r="E1109" s="13"/>
      <c r="F1109" s="10" t="s">
        <v>2251</v>
      </c>
      <c r="G1109" s="12"/>
      <c r="H1109" s="12"/>
      <c r="I1109" s="12"/>
      <c r="J1109" s="12"/>
      <c r="K1109" s="12"/>
      <c r="L1109" s="12"/>
      <c r="M1109" s="12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9"/>
    </row>
    <row r="1110">
      <c r="A1110" s="5">
        <v>2.2299261E7</v>
      </c>
      <c r="B1110" s="5" t="s">
        <v>2252</v>
      </c>
      <c r="C1110" s="14" t="s">
        <v>2214</v>
      </c>
      <c r="D1110" s="5" t="s">
        <v>45</v>
      </c>
      <c r="E1110" s="14" t="s">
        <v>2253</v>
      </c>
      <c r="F1110" s="5" t="s">
        <v>2254</v>
      </c>
      <c r="G1110" s="7"/>
      <c r="H1110" s="7"/>
      <c r="I1110" s="7"/>
      <c r="J1110" s="7"/>
      <c r="K1110" s="7"/>
      <c r="L1110" s="7"/>
      <c r="M1110" s="7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9"/>
    </row>
    <row r="1111">
      <c r="A1111" s="10">
        <v>2.2201127E7</v>
      </c>
      <c r="B1111" s="10" t="s">
        <v>2255</v>
      </c>
      <c r="C1111" s="13" t="s">
        <v>2214</v>
      </c>
      <c r="D1111" s="10" t="s">
        <v>45</v>
      </c>
      <c r="E1111" s="13" t="s">
        <v>2256</v>
      </c>
      <c r="F1111" s="10" t="s">
        <v>2257</v>
      </c>
      <c r="G1111" s="12"/>
      <c r="H1111" s="12"/>
      <c r="I1111" s="12"/>
      <c r="J1111" s="12"/>
      <c r="K1111" s="12"/>
      <c r="L1111" s="12"/>
      <c r="M1111" s="12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9"/>
    </row>
    <row r="1112">
      <c r="A1112" s="5">
        <v>2.2101185E7</v>
      </c>
      <c r="B1112" s="5" t="s">
        <v>2258</v>
      </c>
      <c r="C1112" s="14" t="s">
        <v>2214</v>
      </c>
      <c r="D1112" s="5" t="s">
        <v>45</v>
      </c>
      <c r="E1112" s="14"/>
      <c r="F1112" s="5" t="s">
        <v>2259</v>
      </c>
      <c r="G1112" s="7"/>
      <c r="H1112" s="7"/>
      <c r="I1112" s="7"/>
      <c r="J1112" s="7"/>
      <c r="K1112" s="7"/>
      <c r="L1112" s="7"/>
      <c r="M1112" s="7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9"/>
    </row>
    <row r="1113">
      <c r="A1113" s="10">
        <v>2.2101126E7</v>
      </c>
      <c r="B1113" s="10" t="s">
        <v>2260</v>
      </c>
      <c r="C1113" s="13" t="s">
        <v>2214</v>
      </c>
      <c r="D1113" s="10" t="s">
        <v>45</v>
      </c>
      <c r="E1113" s="13"/>
      <c r="F1113" s="10" t="s">
        <v>2261</v>
      </c>
      <c r="G1113" s="12"/>
      <c r="H1113" s="12"/>
      <c r="I1113" s="12"/>
      <c r="J1113" s="12"/>
      <c r="K1113" s="12"/>
      <c r="L1113" s="12"/>
      <c r="M1113" s="12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9"/>
    </row>
    <row r="1114">
      <c r="A1114" s="5">
        <v>2.2311009E7</v>
      </c>
      <c r="B1114" s="5" t="s">
        <v>2262</v>
      </c>
      <c r="C1114" s="14" t="s">
        <v>2214</v>
      </c>
      <c r="D1114" s="5" t="s">
        <v>45</v>
      </c>
      <c r="E1114" s="14" t="s">
        <v>2263</v>
      </c>
      <c r="F1114" s="5" t="s">
        <v>2264</v>
      </c>
      <c r="G1114" s="7"/>
      <c r="H1114" s="7"/>
      <c r="I1114" s="7"/>
      <c r="J1114" s="7"/>
      <c r="K1114" s="7"/>
      <c r="L1114" s="7"/>
      <c r="M1114" s="7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9"/>
    </row>
    <row r="1115">
      <c r="A1115" s="10">
        <v>2.3201027E7</v>
      </c>
      <c r="B1115" s="10" t="s">
        <v>2265</v>
      </c>
      <c r="C1115" s="13" t="s">
        <v>2214</v>
      </c>
      <c r="D1115" s="10" t="s">
        <v>45</v>
      </c>
      <c r="E1115" s="13" t="s">
        <v>2266</v>
      </c>
      <c r="F1115" s="10" t="s">
        <v>2267</v>
      </c>
      <c r="G1115" s="12"/>
      <c r="H1115" s="12"/>
      <c r="I1115" s="12"/>
      <c r="J1115" s="12"/>
      <c r="K1115" s="12"/>
      <c r="L1115" s="12"/>
      <c r="M1115" s="12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9"/>
    </row>
    <row r="1116">
      <c r="A1116" s="5">
        <v>2.3201015E7</v>
      </c>
      <c r="B1116" s="5" t="s">
        <v>2268</v>
      </c>
      <c r="C1116" s="14" t="s">
        <v>2214</v>
      </c>
      <c r="D1116" s="5" t="s">
        <v>45</v>
      </c>
      <c r="E1116" s="14" t="s">
        <v>2269</v>
      </c>
      <c r="F1116" s="5" t="s">
        <v>2270</v>
      </c>
      <c r="G1116" s="7"/>
      <c r="H1116" s="7"/>
      <c r="I1116" s="7"/>
      <c r="J1116" s="7"/>
      <c r="K1116" s="7"/>
      <c r="L1116" s="7"/>
      <c r="M1116" s="7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9"/>
    </row>
    <row r="1117">
      <c r="A1117" s="10">
        <v>2.4101465E7</v>
      </c>
      <c r="B1117" s="10" t="s">
        <v>2271</v>
      </c>
      <c r="C1117" s="13" t="s">
        <v>2214</v>
      </c>
      <c r="D1117" s="10" t="s">
        <v>45</v>
      </c>
      <c r="E1117" s="13" t="s">
        <v>2272</v>
      </c>
      <c r="F1117" s="10" t="s">
        <v>2273</v>
      </c>
      <c r="G1117" s="12"/>
      <c r="H1117" s="12"/>
      <c r="I1117" s="12"/>
      <c r="J1117" s="12"/>
      <c r="K1117" s="12"/>
      <c r="L1117" s="12"/>
      <c r="M1117" s="12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9"/>
    </row>
    <row r="1118">
      <c r="A1118" s="5">
        <v>2.3201551E7</v>
      </c>
      <c r="B1118" s="5" t="s">
        <v>2274</v>
      </c>
      <c r="C1118" s="14" t="s">
        <v>2214</v>
      </c>
      <c r="D1118" s="5" t="s">
        <v>45</v>
      </c>
      <c r="E1118" s="14"/>
      <c r="F1118" s="5" t="s">
        <v>2275</v>
      </c>
      <c r="G1118" s="7"/>
      <c r="H1118" s="7"/>
      <c r="I1118" s="7"/>
      <c r="J1118" s="7"/>
      <c r="K1118" s="7"/>
      <c r="L1118" s="7"/>
      <c r="M1118" s="7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9"/>
    </row>
    <row r="1119">
      <c r="A1119" s="10">
        <v>1.000055033E9</v>
      </c>
      <c r="B1119" s="10" t="s">
        <v>2276</v>
      </c>
      <c r="C1119" s="13" t="s">
        <v>2214</v>
      </c>
      <c r="D1119" s="10" t="s">
        <v>45</v>
      </c>
      <c r="E1119" s="13"/>
      <c r="F1119" s="10" t="s">
        <v>2277</v>
      </c>
      <c r="G1119" s="12"/>
      <c r="H1119" s="12"/>
      <c r="I1119" s="12"/>
      <c r="J1119" s="12"/>
      <c r="K1119" s="12"/>
      <c r="L1119" s="12"/>
      <c r="M1119" s="12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9"/>
    </row>
    <row r="1120">
      <c r="A1120" s="5">
        <v>2.3241003E7</v>
      </c>
      <c r="B1120" s="5" t="s">
        <v>2278</v>
      </c>
      <c r="C1120" s="14" t="s">
        <v>2214</v>
      </c>
      <c r="D1120" s="5" t="s">
        <v>45</v>
      </c>
      <c r="E1120" s="14"/>
      <c r="F1120" s="5" t="s">
        <v>2279</v>
      </c>
      <c r="G1120" s="7"/>
      <c r="H1120" s="7"/>
      <c r="I1120" s="7"/>
      <c r="J1120" s="7"/>
      <c r="K1120" s="7"/>
      <c r="L1120" s="7"/>
      <c r="M1120" s="7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9"/>
    </row>
    <row r="1121">
      <c r="A1121" s="10">
        <v>2.4301214E7</v>
      </c>
      <c r="B1121" s="10" t="s">
        <v>2280</v>
      </c>
      <c r="C1121" s="13" t="s">
        <v>2214</v>
      </c>
      <c r="D1121" s="10" t="s">
        <v>45</v>
      </c>
      <c r="E1121" s="13"/>
      <c r="F1121" s="10" t="s">
        <v>2281</v>
      </c>
      <c r="G1121" s="12"/>
      <c r="H1121" s="12"/>
      <c r="I1121" s="12"/>
      <c r="J1121" s="12"/>
      <c r="K1121" s="12"/>
      <c r="L1121" s="12"/>
      <c r="M1121" s="12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9"/>
    </row>
    <row r="1122">
      <c r="A1122" s="5">
        <v>2.3301576E7</v>
      </c>
      <c r="B1122" s="5" t="s">
        <v>2282</v>
      </c>
      <c r="C1122" s="14" t="s">
        <v>2214</v>
      </c>
      <c r="D1122" s="5" t="s">
        <v>95</v>
      </c>
      <c r="E1122" s="14" t="s">
        <v>2283</v>
      </c>
      <c r="F1122" s="5" t="s">
        <v>2284</v>
      </c>
      <c r="G1122" s="7"/>
      <c r="H1122" s="7"/>
      <c r="I1122" s="7"/>
      <c r="J1122" s="7"/>
      <c r="K1122" s="7"/>
      <c r="L1122" s="7"/>
      <c r="M1122" s="7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9"/>
    </row>
    <row r="1123">
      <c r="A1123" s="10">
        <v>2.3301571E7</v>
      </c>
      <c r="B1123" s="10" t="s">
        <v>2285</v>
      </c>
      <c r="C1123" s="13" t="s">
        <v>2214</v>
      </c>
      <c r="D1123" s="10" t="s">
        <v>95</v>
      </c>
      <c r="E1123" s="13" t="s">
        <v>2286</v>
      </c>
      <c r="F1123" s="10" t="s">
        <v>2287</v>
      </c>
      <c r="G1123" s="12"/>
      <c r="H1123" s="12"/>
      <c r="I1123" s="12"/>
      <c r="J1123" s="12"/>
      <c r="K1123" s="12"/>
      <c r="L1123" s="12"/>
      <c r="M1123" s="12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9"/>
    </row>
    <row r="1124">
      <c r="A1124" s="5">
        <v>2.3301514E7</v>
      </c>
      <c r="B1124" s="5" t="s">
        <v>2288</v>
      </c>
      <c r="C1124" s="14" t="s">
        <v>2214</v>
      </c>
      <c r="D1124" s="5" t="s">
        <v>95</v>
      </c>
      <c r="E1124" s="14" t="s">
        <v>2289</v>
      </c>
      <c r="F1124" s="5" t="s">
        <v>2290</v>
      </c>
      <c r="G1124" s="7"/>
      <c r="H1124" s="7"/>
      <c r="I1124" s="7"/>
      <c r="J1124" s="7"/>
      <c r="K1124" s="7"/>
      <c r="L1124" s="7"/>
      <c r="M1124" s="7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9"/>
    </row>
    <row r="1125">
      <c r="A1125" s="10">
        <v>2.330137E7</v>
      </c>
      <c r="B1125" s="10" t="s">
        <v>2291</v>
      </c>
      <c r="C1125" s="13" t="s">
        <v>2214</v>
      </c>
      <c r="D1125" s="10" t="s">
        <v>95</v>
      </c>
      <c r="E1125" s="13" t="s">
        <v>2292</v>
      </c>
      <c r="F1125" s="10" t="s">
        <v>2293</v>
      </c>
      <c r="G1125" s="12"/>
      <c r="H1125" s="12"/>
      <c r="I1125" s="12"/>
      <c r="J1125" s="12"/>
      <c r="K1125" s="12"/>
      <c r="L1125" s="12"/>
      <c r="M1125" s="12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9"/>
    </row>
    <row r="1126">
      <c r="A1126" s="5">
        <v>2.3301292E7</v>
      </c>
      <c r="B1126" s="5" t="s">
        <v>2294</v>
      </c>
      <c r="C1126" s="14" t="s">
        <v>2214</v>
      </c>
      <c r="D1126" s="5" t="s">
        <v>95</v>
      </c>
      <c r="E1126" s="14" t="s">
        <v>2295</v>
      </c>
      <c r="F1126" s="5" t="s">
        <v>2296</v>
      </c>
      <c r="G1126" s="7"/>
      <c r="H1126" s="7"/>
      <c r="I1126" s="7"/>
      <c r="J1126" s="7"/>
      <c r="K1126" s="7"/>
      <c r="L1126" s="7"/>
      <c r="M1126" s="7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9"/>
    </row>
    <row r="1127">
      <c r="A1127" s="10">
        <v>2.330103E7</v>
      </c>
      <c r="B1127" s="10" t="s">
        <v>2297</v>
      </c>
      <c r="C1127" s="13" t="s">
        <v>2214</v>
      </c>
      <c r="D1127" s="10" t="s">
        <v>95</v>
      </c>
      <c r="E1127" s="13" t="s">
        <v>2298</v>
      </c>
      <c r="F1127" s="10" t="s">
        <v>2299</v>
      </c>
      <c r="G1127" s="12"/>
      <c r="H1127" s="12"/>
      <c r="I1127" s="12"/>
      <c r="J1127" s="12"/>
      <c r="K1127" s="12"/>
      <c r="L1127" s="12"/>
      <c r="M1127" s="12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9"/>
    </row>
    <row r="1128">
      <c r="A1128" s="5">
        <v>2.3301021E7</v>
      </c>
      <c r="B1128" s="5" t="s">
        <v>2300</v>
      </c>
      <c r="C1128" s="14" t="s">
        <v>2214</v>
      </c>
      <c r="D1128" s="5" t="s">
        <v>95</v>
      </c>
      <c r="E1128" s="14" t="s">
        <v>2301</v>
      </c>
      <c r="F1128" s="5" t="s">
        <v>2302</v>
      </c>
      <c r="G1128" s="7"/>
      <c r="H1128" s="7"/>
      <c r="I1128" s="7"/>
      <c r="J1128" s="7"/>
      <c r="K1128" s="7"/>
      <c r="L1128" s="7"/>
      <c r="M1128" s="7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9"/>
    </row>
    <row r="1129">
      <c r="A1129" s="10">
        <v>2.3201677E7</v>
      </c>
      <c r="B1129" s="10" t="s">
        <v>2303</v>
      </c>
      <c r="C1129" s="13" t="s">
        <v>2214</v>
      </c>
      <c r="D1129" s="10" t="s">
        <v>95</v>
      </c>
      <c r="E1129" s="13" t="s">
        <v>2304</v>
      </c>
      <c r="F1129" s="10" t="s">
        <v>2305</v>
      </c>
      <c r="G1129" s="12"/>
      <c r="H1129" s="12"/>
      <c r="I1129" s="12"/>
      <c r="J1129" s="12"/>
      <c r="K1129" s="12"/>
      <c r="L1129" s="12"/>
      <c r="M1129" s="12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9"/>
    </row>
    <row r="1130">
      <c r="A1130" s="5">
        <v>2.3201585E7</v>
      </c>
      <c r="B1130" s="5" t="s">
        <v>2306</v>
      </c>
      <c r="C1130" s="14" t="s">
        <v>2214</v>
      </c>
      <c r="D1130" s="5" t="s">
        <v>95</v>
      </c>
      <c r="E1130" s="14" t="s">
        <v>2307</v>
      </c>
      <c r="F1130" s="5" t="s">
        <v>2308</v>
      </c>
      <c r="G1130" s="7"/>
      <c r="H1130" s="7"/>
      <c r="I1130" s="7"/>
      <c r="J1130" s="7"/>
      <c r="K1130" s="7"/>
      <c r="L1130" s="7"/>
      <c r="M1130" s="7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9"/>
    </row>
    <row r="1131">
      <c r="A1131" s="10">
        <v>2.3201503E7</v>
      </c>
      <c r="B1131" s="10" t="s">
        <v>2309</v>
      </c>
      <c r="C1131" s="13" t="s">
        <v>2214</v>
      </c>
      <c r="D1131" s="10" t="s">
        <v>95</v>
      </c>
      <c r="E1131" s="13" t="s">
        <v>2310</v>
      </c>
      <c r="F1131" s="10" t="s">
        <v>2311</v>
      </c>
      <c r="G1131" s="12"/>
      <c r="H1131" s="12"/>
      <c r="I1131" s="12"/>
      <c r="J1131" s="12"/>
      <c r="K1131" s="12"/>
      <c r="L1131" s="12"/>
      <c r="M1131" s="12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9"/>
    </row>
    <row r="1132">
      <c r="A1132" s="5">
        <v>2.3141019E7</v>
      </c>
      <c r="B1132" s="5" t="s">
        <v>2312</v>
      </c>
      <c r="C1132" s="14" t="s">
        <v>2214</v>
      </c>
      <c r="D1132" s="5" t="s">
        <v>95</v>
      </c>
      <c r="E1132" s="14" t="s">
        <v>2313</v>
      </c>
      <c r="F1132" s="5" t="s">
        <v>2314</v>
      </c>
      <c r="G1132" s="7"/>
      <c r="H1132" s="7"/>
      <c r="I1132" s="7"/>
      <c r="J1132" s="7"/>
      <c r="K1132" s="7"/>
      <c r="L1132" s="7"/>
      <c r="M1132" s="7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9"/>
    </row>
    <row r="1133">
      <c r="A1133" s="10">
        <v>2.3121087E7</v>
      </c>
      <c r="B1133" s="10" t="s">
        <v>2315</v>
      </c>
      <c r="C1133" s="13" t="s">
        <v>2214</v>
      </c>
      <c r="D1133" s="10" t="s">
        <v>95</v>
      </c>
      <c r="E1133" s="13" t="s">
        <v>2316</v>
      </c>
      <c r="F1133" s="10" t="s">
        <v>2317</v>
      </c>
      <c r="G1133" s="12"/>
      <c r="H1133" s="12"/>
      <c r="I1133" s="12"/>
      <c r="J1133" s="12"/>
      <c r="K1133" s="12"/>
      <c r="L1133" s="12"/>
      <c r="M1133" s="12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9"/>
    </row>
    <row r="1134">
      <c r="A1134" s="5">
        <v>2.3101554E7</v>
      </c>
      <c r="B1134" s="5" t="s">
        <v>2318</v>
      </c>
      <c r="C1134" s="14" t="s">
        <v>2214</v>
      </c>
      <c r="D1134" s="5" t="s">
        <v>95</v>
      </c>
      <c r="E1134" s="14" t="s">
        <v>2319</v>
      </c>
      <c r="F1134" s="5" t="s">
        <v>2320</v>
      </c>
      <c r="G1134" s="7"/>
      <c r="H1134" s="7"/>
      <c r="I1134" s="7"/>
      <c r="J1134" s="7"/>
      <c r="K1134" s="7"/>
      <c r="L1134" s="7"/>
      <c r="M1134" s="7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9"/>
    </row>
    <row r="1135">
      <c r="A1135" s="10">
        <v>2.3101468E7</v>
      </c>
      <c r="B1135" s="10" t="s">
        <v>2321</v>
      </c>
      <c r="C1135" s="13" t="s">
        <v>2214</v>
      </c>
      <c r="D1135" s="10" t="s">
        <v>95</v>
      </c>
      <c r="E1135" s="13" t="s">
        <v>2322</v>
      </c>
      <c r="F1135" s="10" t="s">
        <v>2323</v>
      </c>
      <c r="G1135" s="12"/>
      <c r="H1135" s="12"/>
      <c r="I1135" s="12"/>
      <c r="J1135" s="12"/>
      <c r="K1135" s="12"/>
      <c r="L1135" s="12"/>
      <c r="M1135" s="12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9"/>
    </row>
    <row r="1136">
      <c r="A1136" s="5">
        <v>2.3101464E7</v>
      </c>
      <c r="B1136" s="5" t="s">
        <v>2324</v>
      </c>
      <c r="C1136" s="14" t="s">
        <v>2214</v>
      </c>
      <c r="D1136" s="5" t="s">
        <v>95</v>
      </c>
      <c r="E1136" s="14" t="s">
        <v>2325</v>
      </c>
      <c r="F1136" s="5" t="s">
        <v>2326</v>
      </c>
      <c r="G1136" s="7"/>
      <c r="H1136" s="7"/>
      <c r="I1136" s="7"/>
      <c r="J1136" s="7"/>
      <c r="K1136" s="7"/>
      <c r="L1136" s="7"/>
      <c r="M1136" s="7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9"/>
    </row>
    <row r="1137">
      <c r="A1137" s="10">
        <v>2.3101434E7</v>
      </c>
      <c r="B1137" s="10" t="s">
        <v>2327</v>
      </c>
      <c r="C1137" s="13" t="s">
        <v>2214</v>
      </c>
      <c r="D1137" s="10" t="s">
        <v>95</v>
      </c>
      <c r="E1137" s="13" t="s">
        <v>2328</v>
      </c>
      <c r="F1137" s="10" t="s">
        <v>2329</v>
      </c>
      <c r="G1137" s="12"/>
      <c r="H1137" s="12"/>
      <c r="I1137" s="12"/>
      <c r="J1137" s="12"/>
      <c r="K1137" s="12"/>
      <c r="L1137" s="12"/>
      <c r="M1137" s="12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9"/>
    </row>
    <row r="1138">
      <c r="A1138" s="5">
        <v>2.3101049E7</v>
      </c>
      <c r="B1138" s="5" t="s">
        <v>2330</v>
      </c>
      <c r="C1138" s="14" t="s">
        <v>2214</v>
      </c>
      <c r="D1138" s="5" t="s">
        <v>95</v>
      </c>
      <c r="E1138" s="14" t="s">
        <v>2331</v>
      </c>
      <c r="F1138" s="5" t="s">
        <v>2332</v>
      </c>
      <c r="G1138" s="7"/>
      <c r="H1138" s="7"/>
      <c r="I1138" s="7"/>
      <c r="J1138" s="7"/>
      <c r="K1138" s="7"/>
      <c r="L1138" s="7"/>
      <c r="M1138" s="7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9"/>
    </row>
    <row r="1139">
      <c r="A1139" s="10">
        <v>2.2301629E7</v>
      </c>
      <c r="B1139" s="10" t="s">
        <v>2333</v>
      </c>
      <c r="C1139" s="13" t="s">
        <v>2214</v>
      </c>
      <c r="D1139" s="10" t="s">
        <v>95</v>
      </c>
      <c r="E1139" s="13" t="s">
        <v>2334</v>
      </c>
      <c r="F1139" s="10" t="s">
        <v>2335</v>
      </c>
      <c r="G1139" s="12"/>
      <c r="H1139" s="12"/>
      <c r="I1139" s="12"/>
      <c r="J1139" s="12"/>
      <c r="K1139" s="12"/>
      <c r="L1139" s="12"/>
      <c r="M1139" s="12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9"/>
    </row>
    <row r="1140">
      <c r="A1140" s="5">
        <v>2.2301002E7</v>
      </c>
      <c r="B1140" s="5" t="s">
        <v>2336</v>
      </c>
      <c r="C1140" s="14" t="s">
        <v>2214</v>
      </c>
      <c r="D1140" s="5" t="s">
        <v>95</v>
      </c>
      <c r="E1140" s="14" t="s">
        <v>2337</v>
      </c>
      <c r="F1140" s="5" t="s">
        <v>2338</v>
      </c>
      <c r="G1140" s="7"/>
      <c r="H1140" s="7"/>
      <c r="I1140" s="7"/>
      <c r="J1140" s="7"/>
      <c r="K1140" s="7"/>
      <c r="L1140" s="7"/>
      <c r="M1140" s="7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9"/>
    </row>
    <row r="1141">
      <c r="A1141" s="10">
        <v>2.2299459E7</v>
      </c>
      <c r="B1141" s="10" t="s">
        <v>2339</v>
      </c>
      <c r="C1141" s="13" t="s">
        <v>2214</v>
      </c>
      <c r="D1141" s="10" t="s">
        <v>95</v>
      </c>
      <c r="E1141" s="13" t="s">
        <v>2340</v>
      </c>
      <c r="F1141" s="10" t="s">
        <v>2341</v>
      </c>
      <c r="G1141" s="12"/>
      <c r="H1141" s="12"/>
      <c r="I1141" s="12"/>
      <c r="J1141" s="12"/>
      <c r="K1141" s="12"/>
      <c r="L1141" s="12"/>
      <c r="M1141" s="12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9"/>
    </row>
    <row r="1142">
      <c r="A1142" s="5">
        <v>2.2299373E7</v>
      </c>
      <c r="B1142" s="5" t="s">
        <v>2342</v>
      </c>
      <c r="C1142" s="14" t="s">
        <v>2214</v>
      </c>
      <c r="D1142" s="5" t="s">
        <v>95</v>
      </c>
      <c r="E1142" s="14" t="s">
        <v>2343</v>
      </c>
      <c r="F1142" s="5" t="s">
        <v>2344</v>
      </c>
      <c r="G1142" s="7"/>
      <c r="H1142" s="7"/>
      <c r="I1142" s="7"/>
      <c r="J1142" s="7"/>
      <c r="K1142" s="7"/>
      <c r="L1142" s="7"/>
      <c r="M1142" s="7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9"/>
    </row>
    <row r="1143">
      <c r="A1143" s="10">
        <v>2.2299116E7</v>
      </c>
      <c r="B1143" s="10" t="s">
        <v>2345</v>
      </c>
      <c r="C1143" s="13" t="s">
        <v>2214</v>
      </c>
      <c r="D1143" s="10" t="s">
        <v>95</v>
      </c>
      <c r="E1143" s="13" t="s">
        <v>2346</v>
      </c>
      <c r="F1143" s="10" t="s">
        <v>2347</v>
      </c>
      <c r="G1143" s="12"/>
      <c r="H1143" s="12"/>
      <c r="I1143" s="12"/>
      <c r="J1143" s="12"/>
      <c r="K1143" s="12"/>
      <c r="L1143" s="12"/>
      <c r="M1143" s="12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9"/>
    </row>
    <row r="1144">
      <c r="A1144" s="5">
        <v>2.220189E7</v>
      </c>
      <c r="B1144" s="5" t="s">
        <v>2348</v>
      </c>
      <c r="C1144" s="14" t="s">
        <v>2214</v>
      </c>
      <c r="D1144" s="5" t="s">
        <v>95</v>
      </c>
      <c r="E1144" s="14" t="s">
        <v>2349</v>
      </c>
      <c r="F1144" s="5" t="s">
        <v>2350</v>
      </c>
      <c r="G1144" s="7"/>
      <c r="H1144" s="7"/>
      <c r="I1144" s="7"/>
      <c r="J1144" s="7"/>
      <c r="K1144" s="7"/>
      <c r="L1144" s="7"/>
      <c r="M1144" s="7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9"/>
    </row>
    <row r="1145">
      <c r="A1145" s="10">
        <v>2.2201692E7</v>
      </c>
      <c r="B1145" s="10" t="s">
        <v>2351</v>
      </c>
      <c r="C1145" s="13" t="s">
        <v>2214</v>
      </c>
      <c r="D1145" s="10" t="s">
        <v>95</v>
      </c>
      <c r="E1145" s="13" t="s">
        <v>2352</v>
      </c>
      <c r="F1145" s="10" t="s">
        <v>2353</v>
      </c>
      <c r="G1145" s="12"/>
      <c r="H1145" s="12"/>
      <c r="I1145" s="12"/>
      <c r="J1145" s="12"/>
      <c r="K1145" s="12"/>
      <c r="L1145" s="12"/>
      <c r="M1145" s="12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9"/>
    </row>
    <row r="1146">
      <c r="A1146" s="5">
        <v>2.2201427E7</v>
      </c>
      <c r="B1146" s="5" t="s">
        <v>2354</v>
      </c>
      <c r="C1146" s="14" t="s">
        <v>2214</v>
      </c>
      <c r="D1146" s="5" t="s">
        <v>95</v>
      </c>
      <c r="E1146" s="14" t="s">
        <v>2355</v>
      </c>
      <c r="F1146" s="5" t="s">
        <v>2356</v>
      </c>
      <c r="G1146" s="7"/>
      <c r="H1146" s="7"/>
      <c r="I1146" s="7"/>
      <c r="J1146" s="7"/>
      <c r="K1146" s="7"/>
      <c r="L1146" s="7"/>
      <c r="M1146" s="7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9"/>
    </row>
    <row r="1147">
      <c r="A1147" s="10">
        <v>2.2201168E7</v>
      </c>
      <c r="B1147" s="10" t="s">
        <v>2357</v>
      </c>
      <c r="C1147" s="13" t="s">
        <v>2214</v>
      </c>
      <c r="D1147" s="10" t="s">
        <v>95</v>
      </c>
      <c r="E1147" s="13" t="s">
        <v>2358</v>
      </c>
      <c r="F1147" s="10" t="s">
        <v>2359</v>
      </c>
      <c r="G1147" s="12"/>
      <c r="H1147" s="12"/>
      <c r="I1147" s="12"/>
      <c r="J1147" s="12"/>
      <c r="K1147" s="12"/>
      <c r="L1147" s="12"/>
      <c r="M1147" s="12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9"/>
    </row>
    <row r="1148">
      <c r="A1148" s="5">
        <v>2.2201032E7</v>
      </c>
      <c r="B1148" s="5" t="s">
        <v>2360</v>
      </c>
      <c r="C1148" s="14" t="s">
        <v>2214</v>
      </c>
      <c r="D1148" s="5" t="s">
        <v>95</v>
      </c>
      <c r="E1148" s="14" t="s">
        <v>2361</v>
      </c>
      <c r="F1148" s="5" t="s">
        <v>2362</v>
      </c>
      <c r="G1148" s="7"/>
      <c r="H1148" s="7"/>
      <c r="I1148" s="7"/>
      <c r="J1148" s="7"/>
      <c r="K1148" s="7"/>
      <c r="L1148" s="7"/>
      <c r="M1148" s="7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9"/>
    </row>
    <row r="1149">
      <c r="A1149" s="10">
        <v>2.2101452E7</v>
      </c>
      <c r="B1149" s="10" t="s">
        <v>2363</v>
      </c>
      <c r="C1149" s="13" t="s">
        <v>2214</v>
      </c>
      <c r="D1149" s="10" t="s">
        <v>95</v>
      </c>
      <c r="E1149" s="13"/>
      <c r="F1149" s="10" t="s">
        <v>2364</v>
      </c>
      <c r="G1149" s="12"/>
      <c r="H1149" s="12"/>
      <c r="I1149" s="12"/>
      <c r="J1149" s="12"/>
      <c r="K1149" s="12"/>
      <c r="L1149" s="12"/>
      <c r="M1149" s="12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9"/>
    </row>
    <row r="1150">
      <c r="A1150" s="5">
        <v>2.2101411E7</v>
      </c>
      <c r="B1150" s="5" t="s">
        <v>2365</v>
      </c>
      <c r="C1150" s="14" t="s">
        <v>2214</v>
      </c>
      <c r="D1150" s="5" t="s">
        <v>95</v>
      </c>
      <c r="E1150" s="14" t="s">
        <v>2366</v>
      </c>
      <c r="F1150" s="5" t="s">
        <v>2367</v>
      </c>
      <c r="G1150" s="7"/>
      <c r="H1150" s="7"/>
      <c r="I1150" s="7"/>
      <c r="J1150" s="7"/>
      <c r="K1150" s="7"/>
      <c r="L1150" s="7"/>
      <c r="M1150" s="7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9"/>
    </row>
    <row r="1151">
      <c r="A1151" s="10">
        <v>2.2101281E7</v>
      </c>
      <c r="B1151" s="10" t="s">
        <v>2368</v>
      </c>
      <c r="C1151" s="13" t="s">
        <v>2214</v>
      </c>
      <c r="D1151" s="10" t="s">
        <v>95</v>
      </c>
      <c r="E1151" s="13" t="s">
        <v>2369</v>
      </c>
      <c r="F1151" s="10" t="s">
        <v>2370</v>
      </c>
      <c r="G1151" s="12"/>
      <c r="H1151" s="12"/>
      <c r="I1151" s="12"/>
      <c r="J1151" s="12"/>
      <c r="K1151" s="12"/>
      <c r="L1151" s="12"/>
      <c r="M1151" s="12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9"/>
    </row>
    <row r="1152">
      <c r="A1152" s="5">
        <v>2.4101526E7</v>
      </c>
      <c r="B1152" s="5" t="s">
        <v>2371</v>
      </c>
      <c r="C1152" s="14" t="s">
        <v>2214</v>
      </c>
      <c r="D1152" s="5" t="s">
        <v>95</v>
      </c>
      <c r="E1152" s="14" t="s">
        <v>2372</v>
      </c>
      <c r="F1152" s="5" t="s">
        <v>2373</v>
      </c>
      <c r="G1152" s="7"/>
      <c r="H1152" s="7"/>
      <c r="I1152" s="7"/>
      <c r="J1152" s="7"/>
      <c r="K1152" s="7"/>
      <c r="L1152" s="7"/>
      <c r="M1152" s="7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9"/>
    </row>
    <row r="1153">
      <c r="A1153" s="10">
        <v>2.4301588E7</v>
      </c>
      <c r="B1153" s="10" t="s">
        <v>2374</v>
      </c>
      <c r="C1153" s="13" t="s">
        <v>2214</v>
      </c>
      <c r="D1153" s="10" t="s">
        <v>95</v>
      </c>
      <c r="E1153" s="13" t="s">
        <v>2375</v>
      </c>
      <c r="F1153" s="10" t="s">
        <v>2376</v>
      </c>
      <c r="G1153" s="12"/>
      <c r="H1153" s="12"/>
      <c r="I1153" s="12"/>
      <c r="J1153" s="12"/>
      <c r="K1153" s="12"/>
      <c r="L1153" s="12"/>
      <c r="M1153" s="12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9"/>
    </row>
    <row r="1154">
      <c r="A1154" s="5">
        <v>2.3121068E7</v>
      </c>
      <c r="B1154" s="5" t="s">
        <v>2377</v>
      </c>
      <c r="C1154" s="14" t="s">
        <v>2214</v>
      </c>
      <c r="D1154" s="5" t="s">
        <v>95</v>
      </c>
      <c r="E1154" s="14" t="s">
        <v>2378</v>
      </c>
      <c r="F1154" s="5" t="s">
        <v>2379</v>
      </c>
      <c r="G1154" s="7"/>
      <c r="H1154" s="7"/>
      <c r="I1154" s="7"/>
      <c r="J1154" s="7"/>
      <c r="K1154" s="7"/>
      <c r="L1154" s="7"/>
      <c r="M1154" s="7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9"/>
    </row>
    <row r="1155">
      <c r="A1155" s="10">
        <v>2.2101649E7</v>
      </c>
      <c r="B1155" s="10" t="s">
        <v>2380</v>
      </c>
      <c r="C1155" s="13" t="s">
        <v>2214</v>
      </c>
      <c r="D1155" s="10" t="s">
        <v>95</v>
      </c>
      <c r="E1155" s="13" t="s">
        <v>2381</v>
      </c>
      <c r="F1155" s="10" t="s">
        <v>2382</v>
      </c>
      <c r="G1155" s="12"/>
      <c r="H1155" s="12"/>
      <c r="I1155" s="12"/>
      <c r="J1155" s="12"/>
      <c r="K1155" s="12"/>
      <c r="L1155" s="12"/>
      <c r="M1155" s="12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9"/>
    </row>
    <row r="1156">
      <c r="A1156" s="5">
        <v>2.2201739E7</v>
      </c>
      <c r="B1156" s="5" t="s">
        <v>2383</v>
      </c>
      <c r="C1156" s="14" t="s">
        <v>2214</v>
      </c>
      <c r="D1156" s="5" t="s">
        <v>95</v>
      </c>
      <c r="E1156" s="14" t="s">
        <v>2384</v>
      </c>
      <c r="F1156" s="5" t="s">
        <v>2385</v>
      </c>
      <c r="G1156" s="7"/>
      <c r="H1156" s="7"/>
      <c r="I1156" s="7"/>
      <c r="J1156" s="7"/>
      <c r="K1156" s="7"/>
      <c r="L1156" s="7"/>
      <c r="M1156" s="7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9"/>
    </row>
    <row r="1157">
      <c r="A1157" s="10">
        <v>2.2201852E7</v>
      </c>
      <c r="B1157" s="10" t="s">
        <v>2386</v>
      </c>
      <c r="C1157" s="13" t="s">
        <v>2214</v>
      </c>
      <c r="D1157" s="10" t="s">
        <v>95</v>
      </c>
      <c r="E1157" s="13" t="s">
        <v>2387</v>
      </c>
      <c r="F1157" s="10" t="s">
        <v>2388</v>
      </c>
      <c r="G1157" s="12"/>
      <c r="H1157" s="12"/>
      <c r="I1157" s="12"/>
      <c r="J1157" s="12"/>
      <c r="K1157" s="12"/>
      <c r="L1157" s="12"/>
      <c r="M1157" s="12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9"/>
    </row>
    <row r="1158">
      <c r="A1158" s="5">
        <v>2.4101634E7</v>
      </c>
      <c r="B1158" s="5" t="s">
        <v>2389</v>
      </c>
      <c r="C1158" s="14" t="s">
        <v>2214</v>
      </c>
      <c r="D1158" s="5" t="s">
        <v>95</v>
      </c>
      <c r="E1158" s="14" t="s">
        <v>2390</v>
      </c>
      <c r="F1158" s="5" t="s">
        <v>2391</v>
      </c>
      <c r="G1158" s="7"/>
      <c r="H1158" s="7"/>
      <c r="I1158" s="7"/>
      <c r="J1158" s="7"/>
      <c r="K1158" s="7"/>
      <c r="L1158" s="7"/>
      <c r="M1158" s="7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9"/>
    </row>
    <row r="1159">
      <c r="A1159" s="10">
        <v>2.430114E7</v>
      </c>
      <c r="B1159" s="10" t="s">
        <v>2392</v>
      </c>
      <c r="C1159" s="13" t="s">
        <v>2214</v>
      </c>
      <c r="D1159" s="10" t="s">
        <v>95</v>
      </c>
      <c r="E1159" s="13"/>
      <c r="F1159" s="10" t="s">
        <v>2393</v>
      </c>
      <c r="G1159" s="12"/>
      <c r="H1159" s="12"/>
      <c r="I1159" s="12"/>
      <c r="J1159" s="12"/>
      <c r="K1159" s="12"/>
      <c r="L1159" s="12"/>
      <c r="M1159" s="12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9"/>
    </row>
    <row r="1160">
      <c r="A1160" s="5">
        <v>2.4301249E7</v>
      </c>
      <c r="B1160" s="5" t="s">
        <v>2394</v>
      </c>
      <c r="C1160" s="14" t="s">
        <v>2214</v>
      </c>
      <c r="D1160" s="5" t="s">
        <v>95</v>
      </c>
      <c r="E1160" s="14"/>
      <c r="F1160" s="5" t="s">
        <v>2395</v>
      </c>
      <c r="G1160" s="7"/>
      <c r="H1160" s="7"/>
      <c r="I1160" s="7"/>
      <c r="J1160" s="7"/>
      <c r="K1160" s="7"/>
      <c r="L1160" s="7"/>
      <c r="M1160" s="7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9"/>
    </row>
    <row r="1161">
      <c r="A1161" s="10">
        <v>2.2201003E7</v>
      </c>
      <c r="B1161" s="10" t="s">
        <v>2396</v>
      </c>
      <c r="C1161" s="13" t="s">
        <v>2214</v>
      </c>
      <c r="D1161" s="10" t="s">
        <v>95</v>
      </c>
      <c r="E1161" s="13"/>
      <c r="F1161" s="10" t="s">
        <v>2397</v>
      </c>
      <c r="G1161" s="12"/>
      <c r="H1161" s="12"/>
      <c r="I1161" s="12"/>
      <c r="J1161" s="12"/>
      <c r="K1161" s="12"/>
      <c r="L1161" s="12"/>
      <c r="M1161" s="12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9"/>
    </row>
    <row r="1162">
      <c r="A1162" s="5">
        <v>2.4301171E7</v>
      </c>
      <c r="B1162" s="5" t="s">
        <v>2398</v>
      </c>
      <c r="C1162" s="14" t="s">
        <v>2214</v>
      </c>
      <c r="D1162" s="5" t="s">
        <v>95</v>
      </c>
      <c r="E1162" s="14"/>
      <c r="F1162" s="5" t="s">
        <v>2399</v>
      </c>
      <c r="G1162" s="7"/>
      <c r="H1162" s="7"/>
      <c r="I1162" s="7"/>
      <c r="J1162" s="7"/>
      <c r="K1162" s="7"/>
      <c r="L1162" s="7"/>
      <c r="M1162" s="7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9"/>
    </row>
    <row r="1163">
      <c r="A1163" s="10">
        <v>2.4301244E7</v>
      </c>
      <c r="B1163" s="10" t="s">
        <v>2400</v>
      </c>
      <c r="C1163" s="13" t="s">
        <v>2214</v>
      </c>
      <c r="D1163" s="10" t="s">
        <v>95</v>
      </c>
      <c r="E1163" s="13"/>
      <c r="F1163" s="10" t="s">
        <v>2401</v>
      </c>
      <c r="G1163" s="12"/>
      <c r="H1163" s="12"/>
      <c r="I1163" s="12"/>
      <c r="J1163" s="12"/>
      <c r="K1163" s="12"/>
      <c r="L1163" s="12"/>
      <c r="M1163" s="12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9"/>
    </row>
    <row r="1164">
      <c r="A1164" s="5">
        <v>2.3201273E7</v>
      </c>
      <c r="B1164" s="5" t="s">
        <v>2402</v>
      </c>
      <c r="C1164" s="14" t="s">
        <v>2214</v>
      </c>
      <c r="D1164" s="5" t="s">
        <v>95</v>
      </c>
      <c r="E1164" s="14"/>
      <c r="F1164" s="5" t="s">
        <v>2403</v>
      </c>
      <c r="G1164" s="7"/>
      <c r="H1164" s="7"/>
      <c r="I1164" s="7"/>
      <c r="J1164" s="7"/>
      <c r="K1164" s="7"/>
      <c r="L1164" s="7"/>
      <c r="M1164" s="7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9"/>
    </row>
    <row r="1165">
      <c r="A1165" s="10">
        <v>2.2101362E7</v>
      </c>
      <c r="B1165" s="10" t="s">
        <v>2404</v>
      </c>
      <c r="C1165" s="13" t="s">
        <v>2214</v>
      </c>
      <c r="D1165" s="10" t="s">
        <v>95</v>
      </c>
      <c r="E1165" s="13"/>
      <c r="F1165" s="10" t="s">
        <v>2405</v>
      </c>
      <c r="G1165" s="12"/>
      <c r="H1165" s="12"/>
      <c r="I1165" s="12"/>
      <c r="J1165" s="12"/>
      <c r="K1165" s="12"/>
      <c r="L1165" s="12"/>
      <c r="M1165" s="12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9"/>
    </row>
    <row r="1166">
      <c r="A1166" s="5">
        <v>2.3103013E7</v>
      </c>
      <c r="B1166" s="5" t="s">
        <v>2406</v>
      </c>
      <c r="C1166" s="14" t="s">
        <v>2214</v>
      </c>
      <c r="D1166" s="5" t="s">
        <v>95</v>
      </c>
      <c r="E1166" s="14"/>
      <c r="F1166" s="5" t="s">
        <v>2407</v>
      </c>
      <c r="G1166" s="7"/>
      <c r="H1166" s="7"/>
      <c r="I1166" s="7"/>
      <c r="J1166" s="7"/>
      <c r="K1166" s="7"/>
      <c r="L1166" s="7"/>
      <c r="M1166" s="7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9"/>
    </row>
    <row r="1167">
      <c r="A1167" s="10">
        <v>2.3201512E7</v>
      </c>
      <c r="B1167" s="10" t="s">
        <v>2408</v>
      </c>
      <c r="C1167" s="13" t="s">
        <v>2214</v>
      </c>
      <c r="D1167" s="10" t="s">
        <v>95</v>
      </c>
      <c r="E1167" s="13"/>
      <c r="F1167" s="10" t="s">
        <v>2409</v>
      </c>
      <c r="G1167" s="12"/>
      <c r="H1167" s="12"/>
      <c r="I1167" s="12"/>
      <c r="J1167" s="12"/>
      <c r="K1167" s="12"/>
      <c r="L1167" s="12"/>
      <c r="M1167" s="12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9"/>
    </row>
    <row r="1168">
      <c r="A1168" s="5">
        <v>2.3201651E7</v>
      </c>
      <c r="B1168" s="5" t="s">
        <v>2410</v>
      </c>
      <c r="C1168" s="14" t="s">
        <v>2214</v>
      </c>
      <c r="D1168" s="5" t="s">
        <v>95</v>
      </c>
      <c r="E1168" s="14"/>
      <c r="F1168" s="5" t="s">
        <v>2411</v>
      </c>
      <c r="G1168" s="7"/>
      <c r="H1168" s="7"/>
      <c r="I1168" s="7"/>
      <c r="J1168" s="7"/>
      <c r="K1168" s="7"/>
      <c r="L1168" s="7"/>
      <c r="M1168" s="7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9"/>
    </row>
    <row r="1169">
      <c r="A1169" s="10">
        <v>2.3301305E7</v>
      </c>
      <c r="B1169" s="10" t="s">
        <v>2412</v>
      </c>
      <c r="C1169" s="13" t="s">
        <v>2214</v>
      </c>
      <c r="D1169" s="10" t="s">
        <v>95</v>
      </c>
      <c r="E1169" s="13"/>
      <c r="F1169" s="10" t="s">
        <v>2413</v>
      </c>
      <c r="G1169" s="12"/>
      <c r="H1169" s="12"/>
      <c r="I1169" s="12"/>
      <c r="J1169" s="12"/>
      <c r="K1169" s="12"/>
      <c r="L1169" s="12"/>
      <c r="M1169" s="12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9"/>
    </row>
    <row r="1170">
      <c r="A1170" s="5">
        <v>2.3301669E7</v>
      </c>
      <c r="B1170" s="5" t="s">
        <v>2414</v>
      </c>
      <c r="C1170" s="14" t="s">
        <v>2214</v>
      </c>
      <c r="D1170" s="5" t="s">
        <v>95</v>
      </c>
      <c r="E1170" s="14"/>
      <c r="F1170" s="5" t="s">
        <v>2415</v>
      </c>
      <c r="G1170" s="7"/>
      <c r="H1170" s="7"/>
      <c r="I1170" s="7"/>
      <c r="J1170" s="7"/>
      <c r="K1170" s="7"/>
      <c r="L1170" s="7"/>
      <c r="M1170" s="7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9"/>
    </row>
    <row r="1171">
      <c r="A1171" s="10">
        <v>2.4101239E7</v>
      </c>
      <c r="B1171" s="10" t="s">
        <v>2416</v>
      </c>
      <c r="C1171" s="13" t="s">
        <v>2214</v>
      </c>
      <c r="D1171" s="10" t="s">
        <v>95</v>
      </c>
      <c r="E1171" s="13"/>
      <c r="F1171" s="10" t="s">
        <v>2417</v>
      </c>
      <c r="G1171" s="12"/>
      <c r="H1171" s="12"/>
      <c r="I1171" s="12"/>
      <c r="J1171" s="12"/>
      <c r="K1171" s="12"/>
      <c r="L1171" s="12"/>
      <c r="M1171" s="12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9"/>
    </row>
    <row r="1172">
      <c r="A1172" s="5">
        <v>2.4101427E7</v>
      </c>
      <c r="B1172" s="5" t="s">
        <v>2418</v>
      </c>
      <c r="C1172" s="14" t="s">
        <v>2214</v>
      </c>
      <c r="D1172" s="5" t="s">
        <v>95</v>
      </c>
      <c r="E1172" s="14"/>
      <c r="F1172" s="5" t="s">
        <v>2419</v>
      </c>
      <c r="G1172" s="7"/>
      <c r="H1172" s="7"/>
      <c r="I1172" s="7"/>
      <c r="J1172" s="7"/>
      <c r="K1172" s="7"/>
      <c r="L1172" s="7"/>
      <c r="M1172" s="7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9"/>
    </row>
    <row r="1173">
      <c r="A1173" s="10">
        <v>2.4101582E7</v>
      </c>
      <c r="B1173" s="10" t="s">
        <v>2420</v>
      </c>
      <c r="C1173" s="13" t="s">
        <v>2214</v>
      </c>
      <c r="D1173" s="10" t="s">
        <v>95</v>
      </c>
      <c r="E1173" s="13"/>
      <c r="F1173" s="10" t="s">
        <v>2421</v>
      </c>
      <c r="G1173" s="12"/>
      <c r="H1173" s="12"/>
      <c r="I1173" s="12"/>
      <c r="J1173" s="12"/>
      <c r="K1173" s="12"/>
      <c r="L1173" s="12"/>
      <c r="M1173" s="12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9"/>
    </row>
    <row r="1174">
      <c r="A1174" s="5">
        <v>2.4201295E7</v>
      </c>
      <c r="B1174" s="5" t="s">
        <v>2422</v>
      </c>
      <c r="C1174" s="14" t="s">
        <v>2214</v>
      </c>
      <c r="D1174" s="5" t="s">
        <v>95</v>
      </c>
      <c r="E1174" s="14"/>
      <c r="F1174" s="5" t="s">
        <v>2423</v>
      </c>
      <c r="G1174" s="7"/>
      <c r="H1174" s="7"/>
      <c r="I1174" s="7"/>
      <c r="J1174" s="7"/>
      <c r="K1174" s="7"/>
      <c r="L1174" s="7"/>
      <c r="M1174" s="7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9"/>
    </row>
    <row r="1175">
      <c r="A1175" s="10">
        <v>2.420136E7</v>
      </c>
      <c r="B1175" s="10" t="s">
        <v>2424</v>
      </c>
      <c r="C1175" s="13" t="s">
        <v>2214</v>
      </c>
      <c r="D1175" s="10" t="s">
        <v>95</v>
      </c>
      <c r="E1175" s="13"/>
      <c r="F1175" s="10" t="s">
        <v>2425</v>
      </c>
      <c r="G1175" s="12"/>
      <c r="H1175" s="12"/>
      <c r="I1175" s="12"/>
      <c r="J1175" s="12"/>
      <c r="K1175" s="12"/>
      <c r="L1175" s="12"/>
      <c r="M1175" s="12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9"/>
    </row>
    <row r="1176">
      <c r="A1176" s="5">
        <v>2.4301194E7</v>
      </c>
      <c r="B1176" s="5" t="s">
        <v>2426</v>
      </c>
      <c r="C1176" s="14" t="s">
        <v>2214</v>
      </c>
      <c r="D1176" s="5" t="s">
        <v>95</v>
      </c>
      <c r="E1176" s="14"/>
      <c r="F1176" s="5" t="s">
        <v>2427</v>
      </c>
      <c r="G1176" s="7"/>
      <c r="H1176" s="7"/>
      <c r="I1176" s="7"/>
      <c r="J1176" s="7"/>
      <c r="K1176" s="7"/>
      <c r="L1176" s="7"/>
      <c r="M1176" s="7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9"/>
    </row>
    <row r="1177">
      <c r="A1177" s="10">
        <v>1.000054729E9</v>
      </c>
      <c r="B1177" s="10" t="s">
        <v>2428</v>
      </c>
      <c r="C1177" s="13" t="s">
        <v>2214</v>
      </c>
      <c r="D1177" s="10" t="s">
        <v>95</v>
      </c>
      <c r="E1177" s="13"/>
      <c r="F1177" s="10" t="s">
        <v>2429</v>
      </c>
      <c r="G1177" s="12"/>
      <c r="H1177" s="12"/>
      <c r="I1177" s="12"/>
      <c r="J1177" s="12"/>
      <c r="K1177" s="12"/>
      <c r="L1177" s="12"/>
      <c r="M1177" s="12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9"/>
    </row>
    <row r="1178">
      <c r="A1178" s="5">
        <v>2.4101237E7</v>
      </c>
      <c r="B1178" s="5" t="s">
        <v>2430</v>
      </c>
      <c r="C1178" s="14" t="s">
        <v>2214</v>
      </c>
      <c r="D1178" s="5" t="s">
        <v>95</v>
      </c>
      <c r="E1178" s="14"/>
      <c r="F1178" s="5" t="s">
        <v>2431</v>
      </c>
      <c r="G1178" s="7"/>
      <c r="H1178" s="7"/>
      <c r="I1178" s="7"/>
      <c r="J1178" s="7"/>
      <c r="K1178" s="7"/>
      <c r="L1178" s="7"/>
      <c r="M1178" s="7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9"/>
    </row>
    <row r="1179">
      <c r="A1179" s="10">
        <v>2.4101607E7</v>
      </c>
      <c r="B1179" s="10" t="s">
        <v>2432</v>
      </c>
      <c r="C1179" s="13" t="s">
        <v>2214</v>
      </c>
      <c r="D1179" s="10" t="s">
        <v>95</v>
      </c>
      <c r="E1179" s="13"/>
      <c r="F1179" s="10" t="s">
        <v>2433</v>
      </c>
      <c r="G1179" s="12"/>
      <c r="H1179" s="12"/>
      <c r="I1179" s="12"/>
      <c r="J1179" s="12"/>
      <c r="K1179" s="12"/>
      <c r="L1179" s="12"/>
      <c r="M1179" s="12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9"/>
    </row>
    <row r="1180">
      <c r="A1180" s="5">
        <v>2.4321343E7</v>
      </c>
      <c r="B1180" s="5" t="s">
        <v>2434</v>
      </c>
      <c r="C1180" s="14" t="s">
        <v>2214</v>
      </c>
      <c r="D1180" s="5" t="s">
        <v>95</v>
      </c>
      <c r="E1180" s="14"/>
      <c r="F1180" s="5" t="s">
        <v>2435</v>
      </c>
      <c r="G1180" s="7"/>
      <c r="H1180" s="7"/>
      <c r="I1180" s="7"/>
      <c r="J1180" s="7"/>
      <c r="K1180" s="7"/>
      <c r="L1180" s="7"/>
      <c r="M1180" s="7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9"/>
    </row>
    <row r="1181">
      <c r="A1181" s="10">
        <v>2.5104006E7</v>
      </c>
      <c r="B1181" s="10" t="s">
        <v>2436</v>
      </c>
      <c r="C1181" s="13" t="s">
        <v>2214</v>
      </c>
      <c r="D1181" s="10" t="s">
        <v>95</v>
      </c>
      <c r="E1181" s="13"/>
      <c r="F1181" s="10" t="s">
        <v>2437</v>
      </c>
      <c r="G1181" s="12"/>
      <c r="H1181" s="12"/>
      <c r="I1181" s="12"/>
      <c r="J1181" s="12"/>
      <c r="K1181" s="12"/>
      <c r="L1181" s="12"/>
      <c r="M1181" s="12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9"/>
    </row>
    <row r="1182">
      <c r="A1182" s="5">
        <v>1.000055731E9</v>
      </c>
      <c r="B1182" s="5" t="s">
        <v>2438</v>
      </c>
      <c r="C1182" s="14" t="s">
        <v>2214</v>
      </c>
      <c r="D1182" s="5" t="s">
        <v>95</v>
      </c>
      <c r="E1182" s="14"/>
      <c r="F1182" s="5" t="s">
        <v>2439</v>
      </c>
      <c r="G1182" s="7"/>
      <c r="H1182" s="7"/>
      <c r="I1182" s="7"/>
      <c r="J1182" s="7"/>
      <c r="K1182" s="7"/>
      <c r="L1182" s="7"/>
      <c r="M1182" s="7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9"/>
    </row>
    <row r="1183">
      <c r="A1183" s="10">
        <v>1.000058699E9</v>
      </c>
      <c r="B1183" s="10" t="s">
        <v>2440</v>
      </c>
      <c r="C1183" s="13" t="s">
        <v>2214</v>
      </c>
      <c r="D1183" s="10" t="s">
        <v>95</v>
      </c>
      <c r="E1183" s="13"/>
      <c r="F1183" s="10" t="s">
        <v>2441</v>
      </c>
      <c r="G1183" s="12"/>
      <c r="H1183" s="12"/>
      <c r="I1183" s="12"/>
      <c r="J1183" s="12"/>
      <c r="K1183" s="12"/>
      <c r="L1183" s="12"/>
      <c r="M1183" s="12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9"/>
    </row>
    <row r="1184">
      <c r="A1184" s="5">
        <v>1.000055666E9</v>
      </c>
      <c r="B1184" s="5" t="s">
        <v>2442</v>
      </c>
      <c r="C1184" s="14" t="s">
        <v>2214</v>
      </c>
      <c r="D1184" s="5" t="s">
        <v>95</v>
      </c>
      <c r="E1184" s="14"/>
      <c r="F1184" s="5" t="s">
        <v>2443</v>
      </c>
      <c r="G1184" s="7"/>
      <c r="H1184" s="7"/>
      <c r="I1184" s="7"/>
      <c r="J1184" s="7"/>
      <c r="K1184" s="7"/>
      <c r="L1184" s="7"/>
      <c r="M1184" s="7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9"/>
    </row>
    <row r="1185">
      <c r="A1185" s="10">
        <v>2.4301164E7</v>
      </c>
      <c r="B1185" s="10" t="s">
        <v>2444</v>
      </c>
      <c r="C1185" s="13" t="s">
        <v>2214</v>
      </c>
      <c r="D1185" s="10" t="s">
        <v>95</v>
      </c>
      <c r="E1185" s="13"/>
      <c r="F1185" s="10" t="s">
        <v>2445</v>
      </c>
      <c r="G1185" s="12"/>
      <c r="H1185" s="12"/>
      <c r="I1185" s="12"/>
      <c r="J1185" s="12"/>
      <c r="K1185" s="12"/>
      <c r="L1185" s="12"/>
      <c r="M1185" s="12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9"/>
    </row>
    <row r="1186">
      <c r="A1186" s="5">
        <v>2.4121325E7</v>
      </c>
      <c r="B1186" s="5" t="s">
        <v>2446</v>
      </c>
      <c r="C1186" s="14" t="s">
        <v>2214</v>
      </c>
      <c r="D1186" s="5" t="s">
        <v>95</v>
      </c>
      <c r="E1186" s="14"/>
      <c r="F1186" s="5" t="s">
        <v>2447</v>
      </c>
      <c r="G1186" s="7"/>
      <c r="H1186" s="7"/>
      <c r="I1186" s="7"/>
      <c r="J1186" s="7"/>
      <c r="K1186" s="7"/>
      <c r="L1186" s="7"/>
      <c r="M1186" s="7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9"/>
    </row>
    <row r="1187">
      <c r="A1187" s="10">
        <v>2.4301387E7</v>
      </c>
      <c r="B1187" s="10" t="s">
        <v>2448</v>
      </c>
      <c r="C1187" s="13" t="s">
        <v>2214</v>
      </c>
      <c r="D1187" s="10" t="s">
        <v>95</v>
      </c>
      <c r="E1187" s="13"/>
      <c r="F1187" s="10" t="s">
        <v>2449</v>
      </c>
      <c r="G1187" s="12"/>
      <c r="H1187" s="12"/>
      <c r="I1187" s="12"/>
      <c r="J1187" s="12"/>
      <c r="K1187" s="12"/>
      <c r="L1187" s="12"/>
      <c r="M1187" s="12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9"/>
    </row>
    <row r="1188">
      <c r="A1188" s="5">
        <v>2.4291309E7</v>
      </c>
      <c r="B1188" s="5" t="s">
        <v>2450</v>
      </c>
      <c r="C1188" s="14" t="s">
        <v>2214</v>
      </c>
      <c r="D1188" s="5" t="s">
        <v>95</v>
      </c>
      <c r="E1188" s="14"/>
      <c r="F1188" s="5" t="s">
        <v>2451</v>
      </c>
      <c r="G1188" s="7"/>
      <c r="H1188" s="7"/>
      <c r="I1188" s="7"/>
      <c r="J1188" s="7"/>
      <c r="K1188" s="7"/>
      <c r="L1188" s="7"/>
      <c r="M1188" s="7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9"/>
    </row>
    <row r="1189">
      <c r="A1189" s="10">
        <v>1.000060456E9</v>
      </c>
      <c r="B1189" s="10" t="s">
        <v>2452</v>
      </c>
      <c r="C1189" s="13" t="s">
        <v>2214</v>
      </c>
      <c r="D1189" s="10" t="s">
        <v>95</v>
      </c>
      <c r="E1189" s="13"/>
      <c r="F1189" s="10" t="s">
        <v>2453</v>
      </c>
      <c r="G1189" s="12"/>
      <c r="H1189" s="12"/>
      <c r="I1189" s="12"/>
      <c r="J1189" s="12"/>
      <c r="K1189" s="12"/>
      <c r="L1189" s="12"/>
      <c r="M1189" s="12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9"/>
    </row>
    <row r="1190">
      <c r="A1190" s="5">
        <v>2.4201072E7</v>
      </c>
      <c r="B1190" s="5" t="s">
        <v>2454</v>
      </c>
      <c r="C1190" s="14" t="s">
        <v>2214</v>
      </c>
      <c r="D1190" s="5" t="s">
        <v>95</v>
      </c>
      <c r="E1190" s="14"/>
      <c r="F1190" s="5" t="s">
        <v>2455</v>
      </c>
      <c r="G1190" s="7"/>
      <c r="H1190" s="7"/>
      <c r="I1190" s="7"/>
      <c r="J1190" s="7"/>
      <c r="K1190" s="7"/>
      <c r="L1190" s="7"/>
      <c r="M1190" s="7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9"/>
    </row>
    <row r="1191">
      <c r="A1191" s="10">
        <v>2.4101393E7</v>
      </c>
      <c r="B1191" s="10" t="s">
        <v>2456</v>
      </c>
      <c r="C1191" s="13" t="s">
        <v>2214</v>
      </c>
      <c r="D1191" s="10" t="s">
        <v>95</v>
      </c>
      <c r="E1191" s="13"/>
      <c r="F1191" s="10" t="s">
        <v>2457</v>
      </c>
      <c r="G1191" s="12"/>
      <c r="H1191" s="12"/>
      <c r="I1191" s="12"/>
      <c r="J1191" s="12"/>
      <c r="K1191" s="12"/>
      <c r="L1191" s="12"/>
      <c r="M1191" s="12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9"/>
    </row>
    <row r="1192">
      <c r="A1192" s="5">
        <v>1.000054191E9</v>
      </c>
      <c r="B1192" s="5" t="s">
        <v>2458</v>
      </c>
      <c r="C1192" s="14" t="s">
        <v>2214</v>
      </c>
      <c r="D1192" s="5" t="s">
        <v>95</v>
      </c>
      <c r="E1192" s="14"/>
      <c r="F1192" s="5" t="s">
        <v>2459</v>
      </c>
      <c r="G1192" s="7"/>
      <c r="H1192" s="7"/>
      <c r="I1192" s="7"/>
      <c r="J1192" s="7"/>
      <c r="K1192" s="7"/>
      <c r="L1192" s="7"/>
      <c r="M1192" s="7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9"/>
    </row>
    <row r="1193">
      <c r="A1193" s="10">
        <v>2.4301389E7</v>
      </c>
      <c r="B1193" s="10" t="s">
        <v>2460</v>
      </c>
      <c r="C1193" s="13" t="s">
        <v>2214</v>
      </c>
      <c r="D1193" s="10" t="s">
        <v>95</v>
      </c>
      <c r="E1193" s="13"/>
      <c r="F1193" s="10" t="s">
        <v>2461</v>
      </c>
      <c r="G1193" s="12"/>
      <c r="H1193" s="12"/>
      <c r="I1193" s="12"/>
      <c r="J1193" s="12"/>
      <c r="K1193" s="12"/>
      <c r="L1193" s="12"/>
      <c r="M1193" s="12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9"/>
    </row>
    <row r="1194">
      <c r="A1194" s="5">
        <v>1.000054085E9</v>
      </c>
      <c r="B1194" s="5" t="s">
        <v>2462</v>
      </c>
      <c r="C1194" s="14" t="s">
        <v>2214</v>
      </c>
      <c r="D1194" s="5" t="s">
        <v>95</v>
      </c>
      <c r="E1194" s="14"/>
      <c r="F1194" s="5" t="s">
        <v>2463</v>
      </c>
      <c r="G1194" s="7"/>
      <c r="H1194" s="7"/>
      <c r="I1194" s="7"/>
      <c r="J1194" s="7"/>
      <c r="K1194" s="7"/>
      <c r="L1194" s="7"/>
      <c r="M1194" s="7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9"/>
    </row>
    <row r="1195">
      <c r="A1195" s="10">
        <v>2.4301566E7</v>
      </c>
      <c r="B1195" s="10" t="s">
        <v>2464</v>
      </c>
      <c r="C1195" s="13" t="s">
        <v>2214</v>
      </c>
      <c r="D1195" s="10" t="s">
        <v>95</v>
      </c>
      <c r="E1195" s="13"/>
      <c r="F1195" s="10" t="s">
        <v>2465</v>
      </c>
      <c r="G1195" s="12"/>
      <c r="H1195" s="12"/>
      <c r="I1195" s="12"/>
      <c r="J1195" s="12"/>
      <c r="K1195" s="12"/>
      <c r="L1195" s="12"/>
      <c r="M1195" s="12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9"/>
    </row>
    <row r="1196">
      <c r="A1196" s="61">
        <v>1.000055323E9</v>
      </c>
      <c r="B1196" s="61" t="s">
        <v>2466</v>
      </c>
      <c r="C1196" s="62" t="s">
        <v>2214</v>
      </c>
      <c r="D1196" s="61" t="s">
        <v>95</v>
      </c>
      <c r="E1196" s="62"/>
      <c r="F1196" s="61" t="s">
        <v>2467</v>
      </c>
      <c r="G1196" s="7"/>
      <c r="H1196" s="7"/>
      <c r="I1196" s="7"/>
      <c r="J1196" s="7"/>
      <c r="K1196" s="7"/>
      <c r="L1196" s="7"/>
      <c r="M1196" s="7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9"/>
    </row>
    <row r="1197">
      <c r="A1197" s="63"/>
      <c r="B1197" s="63"/>
      <c r="C1197" s="64"/>
      <c r="D1197" s="63"/>
      <c r="E1197" s="64"/>
      <c r="F1197" s="63"/>
      <c r="G1197" s="12"/>
      <c r="H1197" s="12"/>
      <c r="I1197" s="12"/>
      <c r="J1197" s="12"/>
      <c r="K1197" s="12"/>
      <c r="L1197" s="12"/>
      <c r="M1197" s="12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9"/>
    </row>
    <row r="1198">
      <c r="A1198" s="65">
        <v>2.3101364E7</v>
      </c>
      <c r="B1198" s="65" t="s">
        <v>2468</v>
      </c>
      <c r="C1198" s="66" t="s">
        <v>2469</v>
      </c>
      <c r="D1198" s="65" t="s">
        <v>25</v>
      </c>
      <c r="E1198" s="65">
        <v>1.751968326E9</v>
      </c>
      <c r="F1198" s="66" t="s">
        <v>2470</v>
      </c>
      <c r="G1198" s="7"/>
      <c r="H1198" s="7"/>
      <c r="I1198" s="7"/>
      <c r="J1198" s="7"/>
      <c r="K1198" s="7"/>
      <c r="L1198" s="7"/>
      <c r="M1198" s="7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9"/>
    </row>
    <row r="1199">
      <c r="A1199" s="67">
        <v>2.2201631E7</v>
      </c>
      <c r="B1199" s="67" t="s">
        <v>2471</v>
      </c>
      <c r="C1199" s="36" t="s">
        <v>2469</v>
      </c>
      <c r="D1199" s="67" t="s">
        <v>32</v>
      </c>
      <c r="E1199" s="67">
        <v>1.711418961E9</v>
      </c>
      <c r="F1199" s="36" t="s">
        <v>2472</v>
      </c>
      <c r="G1199" s="12"/>
      <c r="H1199" s="12"/>
      <c r="I1199" s="12"/>
      <c r="J1199" s="12"/>
      <c r="K1199" s="12"/>
      <c r="L1199" s="12"/>
      <c r="M1199" s="12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9"/>
    </row>
    <row r="1200">
      <c r="A1200" s="68">
        <v>2.4241267E7</v>
      </c>
      <c r="B1200" s="68" t="s">
        <v>2473</v>
      </c>
      <c r="C1200" s="35" t="s">
        <v>2469</v>
      </c>
      <c r="D1200" s="68" t="s">
        <v>32</v>
      </c>
      <c r="E1200" s="68">
        <v>1.768059361E9</v>
      </c>
      <c r="F1200" s="35" t="s">
        <v>2474</v>
      </c>
      <c r="G1200" s="7"/>
      <c r="H1200" s="7"/>
      <c r="I1200" s="7"/>
      <c r="J1200" s="7"/>
      <c r="K1200" s="7"/>
      <c r="L1200" s="7"/>
      <c r="M1200" s="7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9"/>
    </row>
    <row r="1201">
      <c r="A1201" s="67">
        <v>2.2201247E7</v>
      </c>
      <c r="B1201" s="67" t="s">
        <v>2475</v>
      </c>
      <c r="C1201" s="36" t="s">
        <v>2469</v>
      </c>
      <c r="D1201" s="67" t="s">
        <v>36</v>
      </c>
      <c r="E1201" s="47"/>
      <c r="F1201" s="36" t="s">
        <v>2476</v>
      </c>
      <c r="G1201" s="12"/>
      <c r="H1201" s="12"/>
      <c r="I1201" s="12"/>
      <c r="J1201" s="12"/>
      <c r="K1201" s="12"/>
      <c r="L1201" s="12"/>
      <c r="M1201" s="12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9"/>
    </row>
    <row r="1202">
      <c r="A1202" s="68">
        <v>2.4241162E7</v>
      </c>
      <c r="B1202" s="68" t="s">
        <v>2477</v>
      </c>
      <c r="C1202" s="35" t="s">
        <v>2469</v>
      </c>
      <c r="D1202" s="68" t="s">
        <v>36</v>
      </c>
      <c r="E1202" s="48"/>
      <c r="F1202" s="35" t="s">
        <v>2478</v>
      </c>
      <c r="G1202" s="7"/>
      <c r="H1202" s="7"/>
      <c r="I1202" s="7"/>
      <c r="J1202" s="7"/>
      <c r="K1202" s="7"/>
      <c r="L1202" s="7"/>
      <c r="M1202" s="7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9"/>
    </row>
    <row r="1203">
      <c r="A1203" s="67">
        <v>2.2341036E7</v>
      </c>
      <c r="B1203" s="67" t="s">
        <v>2479</v>
      </c>
      <c r="C1203" s="36" t="s">
        <v>2469</v>
      </c>
      <c r="D1203" s="67" t="s">
        <v>36</v>
      </c>
      <c r="E1203" s="47"/>
      <c r="F1203" s="36" t="s">
        <v>2480</v>
      </c>
      <c r="G1203" s="12"/>
      <c r="H1203" s="12"/>
      <c r="I1203" s="12"/>
      <c r="J1203" s="12"/>
      <c r="K1203" s="12"/>
      <c r="L1203" s="12"/>
      <c r="M1203" s="12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9"/>
    </row>
    <row r="1204">
      <c r="A1204" s="68">
        <v>2.4203012E7</v>
      </c>
      <c r="B1204" s="68" t="s">
        <v>2481</v>
      </c>
      <c r="C1204" s="35" t="s">
        <v>2469</v>
      </c>
      <c r="D1204" s="68" t="s">
        <v>36</v>
      </c>
      <c r="E1204" s="48"/>
      <c r="F1204" s="35" t="s">
        <v>2482</v>
      </c>
      <c r="G1204" s="7"/>
      <c r="H1204" s="7"/>
      <c r="I1204" s="7"/>
      <c r="J1204" s="7"/>
      <c r="K1204" s="7"/>
      <c r="L1204" s="7"/>
      <c r="M1204" s="7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9"/>
    </row>
    <row r="1205">
      <c r="A1205" s="67">
        <v>2.3101441E7</v>
      </c>
      <c r="B1205" s="67" t="s">
        <v>2483</v>
      </c>
      <c r="C1205" s="36" t="s">
        <v>2469</v>
      </c>
      <c r="D1205" s="67" t="s">
        <v>36</v>
      </c>
      <c r="E1205" s="67">
        <v>1.533708126E9</v>
      </c>
      <c r="F1205" s="36" t="s">
        <v>2484</v>
      </c>
      <c r="G1205" s="12"/>
      <c r="H1205" s="12"/>
      <c r="I1205" s="12"/>
      <c r="J1205" s="12"/>
      <c r="K1205" s="12"/>
      <c r="L1205" s="12"/>
      <c r="M1205" s="12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9"/>
    </row>
    <row r="1206">
      <c r="A1206" s="68">
        <v>2.4101341E7</v>
      </c>
      <c r="B1206" s="68" t="s">
        <v>2485</v>
      </c>
      <c r="C1206" s="35" t="s">
        <v>2469</v>
      </c>
      <c r="D1206" s="68" t="s">
        <v>36</v>
      </c>
      <c r="E1206" s="68">
        <v>1.856937265E9</v>
      </c>
      <c r="F1206" s="35" t="s">
        <v>2486</v>
      </c>
      <c r="G1206" s="7"/>
      <c r="H1206" s="7"/>
      <c r="I1206" s="7"/>
      <c r="J1206" s="7"/>
      <c r="K1206" s="7"/>
      <c r="L1206" s="7"/>
      <c r="M1206" s="7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9"/>
    </row>
    <row r="1207">
      <c r="A1207" s="67">
        <v>2.2101689E7</v>
      </c>
      <c r="B1207" s="67" t="s">
        <v>2487</v>
      </c>
      <c r="C1207" s="36" t="s">
        <v>2469</v>
      </c>
      <c r="D1207" s="67" t="s">
        <v>45</v>
      </c>
      <c r="E1207" s="47"/>
      <c r="F1207" s="36" t="s">
        <v>2488</v>
      </c>
      <c r="G1207" s="12"/>
      <c r="H1207" s="12"/>
      <c r="I1207" s="12"/>
      <c r="J1207" s="12"/>
      <c r="K1207" s="12"/>
      <c r="L1207" s="12"/>
      <c r="M1207" s="12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9"/>
    </row>
    <row r="1208">
      <c r="A1208" s="68">
        <v>2.3201522E7</v>
      </c>
      <c r="B1208" s="68" t="s">
        <v>2489</v>
      </c>
      <c r="C1208" s="35" t="s">
        <v>2469</v>
      </c>
      <c r="D1208" s="68" t="s">
        <v>45</v>
      </c>
      <c r="E1208" s="48"/>
      <c r="F1208" s="35" t="s">
        <v>2490</v>
      </c>
      <c r="G1208" s="7"/>
      <c r="H1208" s="7"/>
      <c r="I1208" s="7"/>
      <c r="J1208" s="7"/>
      <c r="K1208" s="7"/>
      <c r="L1208" s="7"/>
      <c r="M1208" s="7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9"/>
    </row>
    <row r="1209">
      <c r="A1209" s="67">
        <v>2.320143E7</v>
      </c>
      <c r="B1209" s="67" t="s">
        <v>2491</v>
      </c>
      <c r="C1209" s="36" t="s">
        <v>2469</v>
      </c>
      <c r="D1209" s="67" t="s">
        <v>45</v>
      </c>
      <c r="E1209" s="47"/>
      <c r="F1209" s="36" t="s">
        <v>2492</v>
      </c>
      <c r="G1209" s="12"/>
      <c r="H1209" s="12"/>
      <c r="I1209" s="12"/>
      <c r="J1209" s="12"/>
      <c r="K1209" s="12"/>
      <c r="L1209" s="12"/>
      <c r="M1209" s="12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9"/>
    </row>
    <row r="1210">
      <c r="A1210" s="68">
        <v>2.3201279E7</v>
      </c>
      <c r="B1210" s="68" t="s">
        <v>2493</v>
      </c>
      <c r="C1210" s="35" t="s">
        <v>2469</v>
      </c>
      <c r="D1210" s="68" t="s">
        <v>45</v>
      </c>
      <c r="E1210" s="48"/>
      <c r="F1210" s="35" t="s">
        <v>2494</v>
      </c>
      <c r="G1210" s="7"/>
      <c r="H1210" s="7"/>
      <c r="I1210" s="7"/>
      <c r="J1210" s="7"/>
      <c r="K1210" s="7"/>
      <c r="L1210" s="7"/>
      <c r="M1210" s="7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9"/>
    </row>
    <row r="1211">
      <c r="A1211" s="67">
        <v>2.2201308E7</v>
      </c>
      <c r="B1211" s="67" t="s">
        <v>2495</v>
      </c>
      <c r="C1211" s="36" t="s">
        <v>2469</v>
      </c>
      <c r="D1211" s="67" t="s">
        <v>45</v>
      </c>
      <c r="E1211" s="47"/>
      <c r="F1211" s="36" t="s">
        <v>2496</v>
      </c>
      <c r="G1211" s="12"/>
      <c r="H1211" s="12"/>
      <c r="I1211" s="12"/>
      <c r="J1211" s="12"/>
      <c r="K1211" s="12"/>
      <c r="L1211" s="12"/>
      <c r="M1211" s="12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9"/>
    </row>
    <row r="1212">
      <c r="A1212" s="68">
        <v>2.3201478E7</v>
      </c>
      <c r="B1212" s="68" t="s">
        <v>2497</v>
      </c>
      <c r="C1212" s="35" t="s">
        <v>2469</v>
      </c>
      <c r="D1212" s="68" t="s">
        <v>45</v>
      </c>
      <c r="E1212" s="48"/>
      <c r="F1212" s="35" t="s">
        <v>2498</v>
      </c>
      <c r="G1212" s="7"/>
      <c r="H1212" s="7"/>
      <c r="I1212" s="7"/>
      <c r="J1212" s="7"/>
      <c r="K1212" s="7"/>
      <c r="L1212" s="7"/>
      <c r="M1212" s="7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9"/>
    </row>
    <row r="1213">
      <c r="A1213" s="67">
        <v>2.3321009E7</v>
      </c>
      <c r="B1213" s="67" t="s">
        <v>2499</v>
      </c>
      <c r="C1213" s="36" t="s">
        <v>2469</v>
      </c>
      <c r="D1213" s="67" t="s">
        <v>45</v>
      </c>
      <c r="E1213" s="47"/>
      <c r="F1213" s="36" t="s">
        <v>2500</v>
      </c>
      <c r="G1213" s="12"/>
      <c r="H1213" s="12"/>
      <c r="I1213" s="12"/>
      <c r="J1213" s="12"/>
      <c r="K1213" s="12"/>
      <c r="L1213" s="12"/>
      <c r="M1213" s="12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9"/>
    </row>
    <row r="1214">
      <c r="A1214" s="68">
        <v>2.3201492E7</v>
      </c>
      <c r="B1214" s="68" t="s">
        <v>2501</v>
      </c>
      <c r="C1214" s="35" t="s">
        <v>2469</v>
      </c>
      <c r="D1214" s="68" t="s">
        <v>45</v>
      </c>
      <c r="E1214" s="48"/>
      <c r="F1214" s="35" t="s">
        <v>2502</v>
      </c>
      <c r="G1214" s="7"/>
      <c r="H1214" s="7"/>
      <c r="I1214" s="7"/>
      <c r="J1214" s="7"/>
      <c r="K1214" s="7"/>
      <c r="L1214" s="7"/>
      <c r="M1214" s="7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9"/>
    </row>
    <row r="1215">
      <c r="A1215" s="67">
        <v>2.4321077E7</v>
      </c>
      <c r="B1215" s="67" t="s">
        <v>2503</v>
      </c>
      <c r="C1215" s="36" t="s">
        <v>2469</v>
      </c>
      <c r="D1215" s="67" t="s">
        <v>45</v>
      </c>
      <c r="E1215" s="47"/>
      <c r="F1215" s="36" t="s">
        <v>2504</v>
      </c>
      <c r="G1215" s="12"/>
      <c r="H1215" s="12"/>
      <c r="I1215" s="12"/>
      <c r="J1215" s="12"/>
      <c r="K1215" s="12"/>
      <c r="L1215" s="12"/>
      <c r="M1215" s="12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9"/>
    </row>
    <row r="1216">
      <c r="A1216" s="68">
        <v>2.4201233E7</v>
      </c>
      <c r="B1216" s="68" t="s">
        <v>983</v>
      </c>
      <c r="C1216" s="35" t="s">
        <v>2469</v>
      </c>
      <c r="D1216" s="68" t="s">
        <v>45</v>
      </c>
      <c r="E1216" s="48"/>
      <c r="F1216" s="35" t="s">
        <v>2505</v>
      </c>
      <c r="G1216" s="7"/>
      <c r="H1216" s="7"/>
      <c r="I1216" s="7"/>
      <c r="J1216" s="7"/>
      <c r="K1216" s="7"/>
      <c r="L1216" s="7"/>
      <c r="M1216" s="7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9"/>
    </row>
    <row r="1217">
      <c r="A1217" s="67">
        <v>1.00005497E9</v>
      </c>
      <c r="B1217" s="67" t="s">
        <v>2506</v>
      </c>
      <c r="C1217" s="36" t="s">
        <v>2469</v>
      </c>
      <c r="D1217" s="67" t="s">
        <v>45</v>
      </c>
      <c r="E1217" s="47"/>
      <c r="F1217" s="36" t="s">
        <v>2507</v>
      </c>
      <c r="G1217" s="12"/>
      <c r="H1217" s="12"/>
      <c r="I1217" s="12"/>
      <c r="J1217" s="12"/>
      <c r="K1217" s="12"/>
      <c r="L1217" s="12"/>
      <c r="M1217" s="12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9"/>
    </row>
    <row r="1218">
      <c r="A1218" s="68">
        <v>2.4201017E7</v>
      </c>
      <c r="B1218" s="68" t="s">
        <v>2508</v>
      </c>
      <c r="C1218" s="35" t="s">
        <v>2469</v>
      </c>
      <c r="D1218" s="68" t="s">
        <v>45</v>
      </c>
      <c r="E1218" s="48"/>
      <c r="F1218" s="35" t="s">
        <v>2509</v>
      </c>
      <c r="G1218" s="7"/>
      <c r="H1218" s="7"/>
      <c r="I1218" s="7"/>
      <c r="J1218" s="7"/>
      <c r="K1218" s="7"/>
      <c r="L1218" s="7"/>
      <c r="M1218" s="7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9"/>
    </row>
    <row r="1219">
      <c r="A1219" s="67">
        <v>2.3301622E7</v>
      </c>
      <c r="B1219" s="67" t="s">
        <v>2510</v>
      </c>
      <c r="C1219" s="36" t="s">
        <v>2469</v>
      </c>
      <c r="D1219" s="67" t="s">
        <v>95</v>
      </c>
      <c r="E1219" s="47"/>
      <c r="F1219" s="36" t="s">
        <v>2511</v>
      </c>
      <c r="G1219" s="12"/>
      <c r="H1219" s="12"/>
      <c r="I1219" s="12"/>
      <c r="J1219" s="12"/>
      <c r="K1219" s="12"/>
      <c r="L1219" s="12"/>
      <c r="M1219" s="12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9"/>
    </row>
    <row r="1220">
      <c r="A1220" s="68">
        <v>2.3301259E7</v>
      </c>
      <c r="B1220" s="68" t="s">
        <v>2512</v>
      </c>
      <c r="C1220" s="35" t="s">
        <v>2469</v>
      </c>
      <c r="D1220" s="68" t="s">
        <v>95</v>
      </c>
      <c r="E1220" s="48"/>
      <c r="F1220" s="35" t="s">
        <v>2513</v>
      </c>
      <c r="G1220" s="7"/>
      <c r="H1220" s="7"/>
      <c r="I1220" s="7"/>
      <c r="J1220" s="7"/>
      <c r="K1220" s="7"/>
      <c r="L1220" s="7"/>
      <c r="M1220" s="7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9"/>
    </row>
    <row r="1221">
      <c r="A1221" s="67">
        <v>2.3301257E7</v>
      </c>
      <c r="B1221" s="67" t="s">
        <v>2514</v>
      </c>
      <c r="C1221" s="36" t="s">
        <v>2469</v>
      </c>
      <c r="D1221" s="67" t="s">
        <v>95</v>
      </c>
      <c r="E1221" s="47"/>
      <c r="F1221" s="36" t="s">
        <v>2515</v>
      </c>
      <c r="G1221" s="12"/>
      <c r="H1221" s="12"/>
      <c r="I1221" s="12"/>
      <c r="J1221" s="12"/>
      <c r="K1221" s="12"/>
      <c r="L1221" s="12"/>
      <c r="M1221" s="12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9"/>
    </row>
    <row r="1222">
      <c r="A1222" s="68">
        <v>2.320164E7</v>
      </c>
      <c r="B1222" s="68" t="s">
        <v>2516</v>
      </c>
      <c r="C1222" s="35" t="s">
        <v>2469</v>
      </c>
      <c r="D1222" s="68" t="s">
        <v>95</v>
      </c>
      <c r="E1222" s="48"/>
      <c r="F1222" s="35" t="s">
        <v>2517</v>
      </c>
      <c r="G1222" s="7"/>
      <c r="H1222" s="7"/>
      <c r="I1222" s="7"/>
      <c r="J1222" s="7"/>
      <c r="K1222" s="7"/>
      <c r="L1222" s="7"/>
      <c r="M1222" s="7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9"/>
    </row>
    <row r="1223">
      <c r="A1223" s="67">
        <v>2.3201627E7</v>
      </c>
      <c r="B1223" s="67" t="s">
        <v>2518</v>
      </c>
      <c r="C1223" s="36" t="s">
        <v>2469</v>
      </c>
      <c r="D1223" s="67" t="s">
        <v>95</v>
      </c>
      <c r="E1223" s="47"/>
      <c r="F1223" s="36" t="s">
        <v>2519</v>
      </c>
      <c r="G1223" s="12"/>
      <c r="H1223" s="12"/>
      <c r="I1223" s="12"/>
      <c r="J1223" s="12"/>
      <c r="K1223" s="12"/>
      <c r="L1223" s="12"/>
      <c r="M1223" s="12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9"/>
    </row>
    <row r="1224">
      <c r="A1224" s="68">
        <v>2.3201609E7</v>
      </c>
      <c r="B1224" s="68" t="s">
        <v>2520</v>
      </c>
      <c r="C1224" s="35" t="s">
        <v>2469</v>
      </c>
      <c r="D1224" s="68" t="s">
        <v>95</v>
      </c>
      <c r="E1224" s="48"/>
      <c r="F1224" s="35" t="s">
        <v>2521</v>
      </c>
      <c r="G1224" s="7"/>
      <c r="H1224" s="7"/>
      <c r="I1224" s="7"/>
      <c r="J1224" s="7"/>
      <c r="K1224" s="7"/>
      <c r="L1224" s="7"/>
      <c r="M1224" s="7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9"/>
    </row>
    <row r="1225">
      <c r="A1225" s="67">
        <v>2.3201022E7</v>
      </c>
      <c r="B1225" s="67" t="s">
        <v>2522</v>
      </c>
      <c r="C1225" s="36" t="s">
        <v>2469</v>
      </c>
      <c r="D1225" s="67" t="s">
        <v>95</v>
      </c>
      <c r="E1225" s="47"/>
      <c r="F1225" s="36" t="s">
        <v>2523</v>
      </c>
      <c r="G1225" s="12"/>
      <c r="H1225" s="12"/>
      <c r="I1225" s="12"/>
      <c r="J1225" s="12"/>
      <c r="K1225" s="12"/>
      <c r="L1225" s="12"/>
      <c r="M1225" s="12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9"/>
    </row>
    <row r="1226">
      <c r="A1226" s="68">
        <v>2.3101519E7</v>
      </c>
      <c r="B1226" s="68" t="s">
        <v>2524</v>
      </c>
      <c r="C1226" s="35" t="s">
        <v>2469</v>
      </c>
      <c r="D1226" s="68" t="s">
        <v>95</v>
      </c>
      <c r="E1226" s="48"/>
      <c r="F1226" s="35" t="s">
        <v>2525</v>
      </c>
      <c r="G1226" s="7"/>
      <c r="H1226" s="7"/>
      <c r="I1226" s="7"/>
      <c r="J1226" s="7"/>
      <c r="K1226" s="7"/>
      <c r="L1226" s="7"/>
      <c r="M1226" s="7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9"/>
    </row>
    <row r="1227">
      <c r="A1227" s="67">
        <v>2.3101485E7</v>
      </c>
      <c r="B1227" s="67" t="s">
        <v>2526</v>
      </c>
      <c r="C1227" s="36" t="s">
        <v>2469</v>
      </c>
      <c r="D1227" s="67" t="s">
        <v>95</v>
      </c>
      <c r="E1227" s="47"/>
      <c r="F1227" s="36" t="s">
        <v>2527</v>
      </c>
      <c r="G1227" s="12"/>
      <c r="H1227" s="12"/>
      <c r="I1227" s="12"/>
      <c r="J1227" s="12"/>
      <c r="K1227" s="12"/>
      <c r="L1227" s="12"/>
      <c r="M1227" s="12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9"/>
    </row>
    <row r="1228">
      <c r="A1228" s="68">
        <v>2.310127E7</v>
      </c>
      <c r="B1228" s="68" t="s">
        <v>2528</v>
      </c>
      <c r="C1228" s="35" t="s">
        <v>2469</v>
      </c>
      <c r="D1228" s="68" t="s">
        <v>95</v>
      </c>
      <c r="E1228" s="48"/>
      <c r="F1228" s="35" t="s">
        <v>2529</v>
      </c>
      <c r="G1228" s="7"/>
      <c r="H1228" s="7"/>
      <c r="I1228" s="7"/>
      <c r="J1228" s="7"/>
      <c r="K1228" s="7"/>
      <c r="L1228" s="7"/>
      <c r="M1228" s="7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9"/>
    </row>
    <row r="1229">
      <c r="A1229" s="67">
        <v>2.3101246E7</v>
      </c>
      <c r="B1229" s="67" t="s">
        <v>2530</v>
      </c>
      <c r="C1229" s="36" t="s">
        <v>2469</v>
      </c>
      <c r="D1229" s="67" t="s">
        <v>95</v>
      </c>
      <c r="E1229" s="47"/>
      <c r="F1229" s="36" t="s">
        <v>2531</v>
      </c>
      <c r="G1229" s="12"/>
      <c r="H1229" s="12"/>
      <c r="I1229" s="12"/>
      <c r="J1229" s="12"/>
      <c r="K1229" s="12"/>
      <c r="L1229" s="12"/>
      <c r="M1229" s="12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9"/>
    </row>
    <row r="1230">
      <c r="A1230" s="68">
        <v>2.2301694E7</v>
      </c>
      <c r="B1230" s="68" t="s">
        <v>2532</v>
      </c>
      <c r="C1230" s="35" t="s">
        <v>2469</v>
      </c>
      <c r="D1230" s="68" t="s">
        <v>95</v>
      </c>
      <c r="E1230" s="48"/>
      <c r="F1230" s="35" t="s">
        <v>2533</v>
      </c>
      <c r="G1230" s="7"/>
      <c r="H1230" s="7"/>
      <c r="I1230" s="7"/>
      <c r="J1230" s="7"/>
      <c r="K1230" s="7"/>
      <c r="L1230" s="7"/>
      <c r="M1230" s="7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9"/>
    </row>
    <row r="1231">
      <c r="A1231" s="67">
        <v>2.2301523E7</v>
      </c>
      <c r="B1231" s="67" t="s">
        <v>2534</v>
      </c>
      <c r="C1231" s="36" t="s">
        <v>2469</v>
      </c>
      <c r="D1231" s="67" t="s">
        <v>95</v>
      </c>
      <c r="E1231" s="47"/>
      <c r="F1231" s="36" t="s">
        <v>2535</v>
      </c>
      <c r="G1231" s="12"/>
      <c r="H1231" s="12"/>
      <c r="I1231" s="12"/>
      <c r="J1231" s="12"/>
      <c r="K1231" s="12"/>
      <c r="L1231" s="12"/>
      <c r="M1231" s="12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9"/>
    </row>
    <row r="1232">
      <c r="A1232" s="68">
        <v>2.2301179E7</v>
      </c>
      <c r="B1232" s="68" t="s">
        <v>2536</v>
      </c>
      <c r="C1232" s="35" t="s">
        <v>2469</v>
      </c>
      <c r="D1232" s="68" t="s">
        <v>95</v>
      </c>
      <c r="E1232" s="48"/>
      <c r="F1232" s="35" t="s">
        <v>2537</v>
      </c>
      <c r="G1232" s="7"/>
      <c r="H1232" s="7"/>
      <c r="I1232" s="7"/>
      <c r="J1232" s="7"/>
      <c r="K1232" s="7"/>
      <c r="L1232" s="7"/>
      <c r="M1232" s="7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9"/>
    </row>
    <row r="1233">
      <c r="A1233" s="67">
        <v>2.2301158E7</v>
      </c>
      <c r="B1233" s="67" t="s">
        <v>2538</v>
      </c>
      <c r="C1233" s="36" t="s">
        <v>2469</v>
      </c>
      <c r="D1233" s="67" t="s">
        <v>95</v>
      </c>
      <c r="E1233" s="47"/>
      <c r="F1233" s="36" t="s">
        <v>2539</v>
      </c>
      <c r="G1233" s="12"/>
      <c r="H1233" s="12"/>
      <c r="I1233" s="12"/>
      <c r="J1233" s="12"/>
      <c r="K1233" s="12"/>
      <c r="L1233" s="12"/>
      <c r="M1233" s="12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9"/>
    </row>
    <row r="1234">
      <c r="A1234" s="68">
        <v>2.2301105E7</v>
      </c>
      <c r="B1234" s="68" t="s">
        <v>2540</v>
      </c>
      <c r="C1234" s="35" t="s">
        <v>2469</v>
      </c>
      <c r="D1234" s="68" t="s">
        <v>95</v>
      </c>
      <c r="E1234" s="48"/>
      <c r="F1234" s="35" t="s">
        <v>2541</v>
      </c>
      <c r="G1234" s="7"/>
      <c r="H1234" s="7"/>
      <c r="I1234" s="7"/>
      <c r="J1234" s="7"/>
      <c r="K1234" s="7"/>
      <c r="L1234" s="7"/>
      <c r="M1234" s="7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9"/>
    </row>
    <row r="1235">
      <c r="A1235" s="67">
        <v>2.2301009E7</v>
      </c>
      <c r="B1235" s="67" t="s">
        <v>2542</v>
      </c>
      <c r="C1235" s="36" t="s">
        <v>2469</v>
      </c>
      <c r="D1235" s="67" t="s">
        <v>95</v>
      </c>
      <c r="E1235" s="47"/>
      <c r="F1235" s="36" t="s">
        <v>2543</v>
      </c>
      <c r="G1235" s="12"/>
      <c r="H1235" s="12"/>
      <c r="I1235" s="12"/>
      <c r="J1235" s="12"/>
      <c r="K1235" s="12"/>
      <c r="L1235" s="12"/>
      <c r="M1235" s="12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9"/>
    </row>
    <row r="1236">
      <c r="A1236" s="68">
        <v>2.2301007E7</v>
      </c>
      <c r="B1236" s="68" t="s">
        <v>2544</v>
      </c>
      <c r="C1236" s="35" t="s">
        <v>2469</v>
      </c>
      <c r="D1236" s="68" t="s">
        <v>95</v>
      </c>
      <c r="E1236" s="48"/>
      <c r="F1236" s="35" t="s">
        <v>2545</v>
      </c>
      <c r="G1236" s="7"/>
      <c r="H1236" s="7"/>
      <c r="I1236" s="7"/>
      <c r="J1236" s="7"/>
      <c r="K1236" s="7"/>
      <c r="L1236" s="7"/>
      <c r="M1236" s="7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9"/>
    </row>
    <row r="1237">
      <c r="A1237" s="67">
        <v>2.2299451E7</v>
      </c>
      <c r="B1237" s="67" t="s">
        <v>2546</v>
      </c>
      <c r="C1237" s="36" t="s">
        <v>2469</v>
      </c>
      <c r="D1237" s="67" t="s">
        <v>95</v>
      </c>
      <c r="E1237" s="47"/>
      <c r="F1237" s="36" t="s">
        <v>2547</v>
      </c>
      <c r="G1237" s="12"/>
      <c r="H1237" s="12"/>
      <c r="I1237" s="12"/>
      <c r="J1237" s="12"/>
      <c r="K1237" s="12"/>
      <c r="L1237" s="12"/>
      <c r="M1237" s="12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9"/>
    </row>
    <row r="1238">
      <c r="A1238" s="68">
        <v>2.2299001E7</v>
      </c>
      <c r="B1238" s="68" t="s">
        <v>2548</v>
      </c>
      <c r="C1238" s="35" t="s">
        <v>2469</v>
      </c>
      <c r="D1238" s="68" t="s">
        <v>95</v>
      </c>
      <c r="E1238" s="48"/>
      <c r="F1238" s="35" t="s">
        <v>2549</v>
      </c>
      <c r="G1238" s="7"/>
      <c r="H1238" s="7"/>
      <c r="I1238" s="7"/>
      <c r="J1238" s="7"/>
      <c r="K1238" s="7"/>
      <c r="L1238" s="7"/>
      <c r="M1238" s="7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9"/>
    </row>
    <row r="1239">
      <c r="A1239" s="67">
        <v>2.2241032E7</v>
      </c>
      <c r="B1239" s="67" t="s">
        <v>2550</v>
      </c>
      <c r="C1239" s="36" t="s">
        <v>2469</v>
      </c>
      <c r="D1239" s="67" t="s">
        <v>95</v>
      </c>
      <c r="E1239" s="47"/>
      <c r="F1239" s="36" t="s">
        <v>2551</v>
      </c>
      <c r="G1239" s="44"/>
      <c r="H1239" s="44"/>
      <c r="I1239" s="44"/>
      <c r="J1239" s="44"/>
      <c r="K1239" s="44"/>
      <c r="L1239" s="44"/>
      <c r="M1239" s="44"/>
      <c r="N1239" s="41"/>
      <c r="O1239" s="41"/>
      <c r="P1239" s="41"/>
      <c r="Q1239" s="41"/>
      <c r="R1239" s="41"/>
      <c r="S1239" s="41"/>
      <c r="T1239" s="41"/>
      <c r="U1239" s="41"/>
      <c r="V1239" s="41"/>
      <c r="W1239" s="41"/>
      <c r="X1239" s="41"/>
      <c r="Y1239" s="41"/>
      <c r="Z1239" s="18"/>
    </row>
    <row r="1240">
      <c r="A1240" s="68">
        <v>2.2201679E7</v>
      </c>
      <c r="B1240" s="68" t="s">
        <v>2552</v>
      </c>
      <c r="C1240" s="35" t="s">
        <v>2469</v>
      </c>
      <c r="D1240" s="68" t="s">
        <v>95</v>
      </c>
      <c r="E1240" s="48"/>
      <c r="F1240" s="35" t="s">
        <v>2553</v>
      </c>
      <c r="G1240" s="7"/>
      <c r="H1240" s="7"/>
      <c r="I1240" s="7"/>
      <c r="J1240" s="7"/>
      <c r="K1240" s="7"/>
      <c r="L1240" s="7"/>
      <c r="M1240" s="7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9"/>
    </row>
    <row r="1241">
      <c r="A1241" s="67">
        <v>2.2201644E7</v>
      </c>
      <c r="B1241" s="67" t="s">
        <v>2554</v>
      </c>
      <c r="C1241" s="36" t="s">
        <v>2469</v>
      </c>
      <c r="D1241" s="67" t="s">
        <v>95</v>
      </c>
      <c r="E1241" s="47"/>
      <c r="F1241" s="36" t="s">
        <v>2555</v>
      </c>
      <c r="G1241" s="44"/>
      <c r="H1241" s="44"/>
      <c r="I1241" s="44"/>
      <c r="J1241" s="44"/>
      <c r="K1241" s="44"/>
      <c r="L1241" s="44"/>
      <c r="M1241" s="44"/>
      <c r="N1241" s="41"/>
      <c r="O1241" s="41"/>
      <c r="P1241" s="41"/>
      <c r="Q1241" s="41"/>
      <c r="R1241" s="41"/>
      <c r="S1241" s="41"/>
      <c r="T1241" s="41"/>
      <c r="U1241" s="41"/>
      <c r="V1241" s="41"/>
      <c r="W1241" s="41"/>
      <c r="X1241" s="41"/>
      <c r="Y1241" s="41"/>
      <c r="Z1241" s="18"/>
    </row>
    <row r="1242">
      <c r="A1242" s="68">
        <v>2.2201149E7</v>
      </c>
      <c r="B1242" s="68" t="s">
        <v>2556</v>
      </c>
      <c r="C1242" s="35" t="s">
        <v>2469</v>
      </c>
      <c r="D1242" s="68" t="s">
        <v>95</v>
      </c>
      <c r="E1242" s="48"/>
      <c r="F1242" s="35" t="s">
        <v>2557</v>
      </c>
      <c r="G1242" s="7"/>
      <c r="H1242" s="7"/>
      <c r="I1242" s="7"/>
      <c r="J1242" s="7"/>
      <c r="K1242" s="7"/>
      <c r="L1242" s="7"/>
      <c r="M1242" s="7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9"/>
    </row>
    <row r="1243">
      <c r="A1243" s="67">
        <v>2.2201108E7</v>
      </c>
      <c r="B1243" s="67" t="s">
        <v>2558</v>
      </c>
      <c r="C1243" s="36" t="s">
        <v>2469</v>
      </c>
      <c r="D1243" s="67" t="s">
        <v>95</v>
      </c>
      <c r="E1243" s="47"/>
      <c r="F1243" s="36" t="s">
        <v>2559</v>
      </c>
      <c r="G1243" s="12"/>
      <c r="H1243" s="12"/>
      <c r="I1243" s="12"/>
      <c r="J1243" s="12"/>
      <c r="K1243" s="12"/>
      <c r="L1243" s="12"/>
      <c r="M1243" s="12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9"/>
    </row>
    <row r="1244">
      <c r="A1244" s="68">
        <v>2.2201067E7</v>
      </c>
      <c r="B1244" s="68" t="s">
        <v>2560</v>
      </c>
      <c r="C1244" s="35" t="s">
        <v>2469</v>
      </c>
      <c r="D1244" s="68" t="s">
        <v>95</v>
      </c>
      <c r="E1244" s="48"/>
      <c r="F1244" s="35" t="s">
        <v>2561</v>
      </c>
      <c r="G1244" s="7"/>
      <c r="H1244" s="7"/>
      <c r="I1244" s="7"/>
      <c r="J1244" s="7"/>
      <c r="K1244" s="7"/>
      <c r="L1244" s="7"/>
      <c r="M1244" s="7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9"/>
    </row>
    <row r="1245">
      <c r="A1245" s="67">
        <v>2.2101781E7</v>
      </c>
      <c r="B1245" s="67" t="s">
        <v>2562</v>
      </c>
      <c r="C1245" s="36" t="s">
        <v>2469</v>
      </c>
      <c r="D1245" s="67" t="s">
        <v>95</v>
      </c>
      <c r="E1245" s="47"/>
      <c r="F1245" s="36" t="s">
        <v>2563</v>
      </c>
      <c r="G1245" s="12"/>
      <c r="H1245" s="12"/>
      <c r="I1245" s="12"/>
      <c r="J1245" s="12"/>
      <c r="K1245" s="12"/>
      <c r="L1245" s="12"/>
      <c r="M1245" s="12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9"/>
    </row>
    <row r="1246">
      <c r="A1246" s="68">
        <v>2.2101719E7</v>
      </c>
      <c r="B1246" s="68" t="s">
        <v>2564</v>
      </c>
      <c r="C1246" s="35" t="s">
        <v>2469</v>
      </c>
      <c r="D1246" s="68" t="s">
        <v>95</v>
      </c>
      <c r="E1246" s="48"/>
      <c r="F1246" s="35" t="s">
        <v>2565</v>
      </c>
      <c r="G1246" s="7"/>
      <c r="H1246" s="7"/>
      <c r="I1246" s="7"/>
      <c r="J1246" s="7"/>
      <c r="K1246" s="7"/>
      <c r="L1246" s="7"/>
      <c r="M1246" s="7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9"/>
    </row>
    <row r="1247">
      <c r="A1247" s="67">
        <v>2.2101615E7</v>
      </c>
      <c r="B1247" s="67" t="s">
        <v>2566</v>
      </c>
      <c r="C1247" s="36" t="s">
        <v>2469</v>
      </c>
      <c r="D1247" s="67" t="s">
        <v>95</v>
      </c>
      <c r="E1247" s="47"/>
      <c r="F1247" s="36" t="s">
        <v>2567</v>
      </c>
      <c r="G1247" s="12"/>
      <c r="H1247" s="12"/>
      <c r="I1247" s="12"/>
      <c r="J1247" s="12"/>
      <c r="K1247" s="12"/>
      <c r="L1247" s="12"/>
      <c r="M1247" s="12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9"/>
    </row>
    <row r="1248">
      <c r="A1248" s="68">
        <v>2.210146E7</v>
      </c>
      <c r="B1248" s="68" t="s">
        <v>2568</v>
      </c>
      <c r="C1248" s="35" t="s">
        <v>2469</v>
      </c>
      <c r="D1248" s="68" t="s">
        <v>95</v>
      </c>
      <c r="E1248" s="48"/>
      <c r="F1248" s="35" t="s">
        <v>2569</v>
      </c>
      <c r="G1248" s="7"/>
      <c r="H1248" s="7"/>
      <c r="I1248" s="7"/>
      <c r="J1248" s="7"/>
      <c r="K1248" s="7"/>
      <c r="L1248" s="7"/>
      <c r="M1248" s="7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9"/>
    </row>
    <row r="1249">
      <c r="A1249" s="67">
        <v>2.2101419E7</v>
      </c>
      <c r="B1249" s="67" t="s">
        <v>2570</v>
      </c>
      <c r="C1249" s="36" t="s">
        <v>2469</v>
      </c>
      <c r="D1249" s="67" t="s">
        <v>95</v>
      </c>
      <c r="E1249" s="47"/>
      <c r="F1249" s="36" t="s">
        <v>2571</v>
      </c>
      <c r="G1249" s="12"/>
      <c r="H1249" s="12"/>
      <c r="I1249" s="12"/>
      <c r="J1249" s="12"/>
      <c r="K1249" s="12"/>
      <c r="L1249" s="12"/>
      <c r="M1249" s="12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9"/>
    </row>
    <row r="1250">
      <c r="A1250" s="68">
        <v>2.2101216E7</v>
      </c>
      <c r="B1250" s="68" t="s">
        <v>2572</v>
      </c>
      <c r="C1250" s="35" t="s">
        <v>2469</v>
      </c>
      <c r="D1250" s="68" t="s">
        <v>95</v>
      </c>
      <c r="E1250" s="48"/>
      <c r="F1250" s="35" t="s">
        <v>2573</v>
      </c>
      <c r="G1250" s="7"/>
      <c r="H1250" s="7"/>
      <c r="I1250" s="7"/>
      <c r="J1250" s="7"/>
      <c r="K1250" s="7"/>
      <c r="L1250" s="7"/>
      <c r="M1250" s="7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9"/>
    </row>
    <row r="1251">
      <c r="A1251" s="67">
        <v>2.210117E7</v>
      </c>
      <c r="B1251" s="67" t="s">
        <v>2574</v>
      </c>
      <c r="C1251" s="36" t="s">
        <v>2469</v>
      </c>
      <c r="D1251" s="67" t="s">
        <v>95</v>
      </c>
      <c r="E1251" s="47"/>
      <c r="F1251" s="36" t="s">
        <v>2575</v>
      </c>
      <c r="G1251" s="12"/>
      <c r="H1251" s="12"/>
      <c r="I1251" s="12"/>
      <c r="J1251" s="12"/>
      <c r="K1251" s="12"/>
      <c r="L1251" s="12"/>
      <c r="M1251" s="12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9"/>
    </row>
    <row r="1252">
      <c r="A1252" s="68">
        <v>2.2101079E7</v>
      </c>
      <c r="B1252" s="68" t="s">
        <v>2576</v>
      </c>
      <c r="C1252" s="35" t="s">
        <v>2469</v>
      </c>
      <c r="D1252" s="68" t="s">
        <v>95</v>
      </c>
      <c r="E1252" s="48"/>
      <c r="F1252" s="35" t="s">
        <v>2577</v>
      </c>
      <c r="G1252" s="7"/>
      <c r="H1252" s="7"/>
      <c r="I1252" s="7"/>
      <c r="J1252" s="7"/>
      <c r="K1252" s="7"/>
      <c r="L1252" s="7"/>
      <c r="M1252" s="7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9"/>
    </row>
    <row r="1253">
      <c r="A1253" s="67">
        <v>2.3101376E7</v>
      </c>
      <c r="B1253" s="67" t="s">
        <v>2578</v>
      </c>
      <c r="C1253" s="36" t="s">
        <v>2469</v>
      </c>
      <c r="D1253" s="67" t="s">
        <v>95</v>
      </c>
      <c r="E1253" s="47"/>
      <c r="F1253" s="36" t="s">
        <v>2579</v>
      </c>
      <c r="G1253" s="12"/>
      <c r="H1253" s="12"/>
      <c r="I1253" s="12"/>
      <c r="J1253" s="12"/>
      <c r="K1253" s="12"/>
      <c r="L1253" s="12"/>
      <c r="M1253" s="12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9"/>
    </row>
    <row r="1254">
      <c r="A1254" s="68">
        <v>2.4101086E7</v>
      </c>
      <c r="B1254" s="68" t="s">
        <v>2580</v>
      </c>
      <c r="C1254" s="35" t="s">
        <v>2469</v>
      </c>
      <c r="D1254" s="68" t="s">
        <v>95</v>
      </c>
      <c r="E1254" s="48"/>
      <c r="F1254" s="35" t="s">
        <v>2581</v>
      </c>
      <c r="G1254" s="7"/>
      <c r="H1254" s="7"/>
      <c r="I1254" s="7"/>
      <c r="J1254" s="7"/>
      <c r="K1254" s="7"/>
      <c r="L1254" s="7"/>
      <c r="M1254" s="7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9"/>
    </row>
    <row r="1255">
      <c r="A1255" s="67">
        <v>2.3201451E7</v>
      </c>
      <c r="B1255" s="67" t="s">
        <v>2582</v>
      </c>
      <c r="C1255" s="36" t="s">
        <v>2469</v>
      </c>
      <c r="D1255" s="67" t="s">
        <v>95</v>
      </c>
      <c r="E1255" s="47"/>
      <c r="F1255" s="36" t="s">
        <v>2583</v>
      </c>
      <c r="G1255" s="12"/>
      <c r="H1255" s="12"/>
      <c r="I1255" s="12"/>
      <c r="J1255" s="12"/>
      <c r="K1255" s="12"/>
      <c r="L1255" s="12"/>
      <c r="M1255" s="12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9"/>
    </row>
    <row r="1256">
      <c r="A1256" s="68">
        <v>2.2201868E7</v>
      </c>
      <c r="B1256" s="68" t="s">
        <v>2584</v>
      </c>
      <c r="C1256" s="35" t="s">
        <v>2469</v>
      </c>
      <c r="D1256" s="68" t="s">
        <v>95</v>
      </c>
      <c r="E1256" s="48"/>
      <c r="F1256" s="35" t="s">
        <v>2585</v>
      </c>
      <c r="G1256" s="7"/>
      <c r="H1256" s="7"/>
      <c r="I1256" s="7"/>
      <c r="J1256" s="7"/>
      <c r="K1256" s="7"/>
      <c r="L1256" s="7"/>
      <c r="M1256" s="7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9"/>
    </row>
    <row r="1257">
      <c r="A1257" s="67">
        <v>2.2301288E7</v>
      </c>
      <c r="B1257" s="67" t="s">
        <v>2586</v>
      </c>
      <c r="C1257" s="36" t="s">
        <v>2469</v>
      </c>
      <c r="D1257" s="67" t="s">
        <v>95</v>
      </c>
      <c r="E1257" s="47"/>
      <c r="F1257" s="36" t="s">
        <v>2587</v>
      </c>
      <c r="G1257" s="12"/>
      <c r="H1257" s="12"/>
      <c r="I1257" s="12"/>
      <c r="J1257" s="12"/>
      <c r="K1257" s="12"/>
      <c r="L1257" s="12"/>
      <c r="M1257" s="12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9"/>
    </row>
    <row r="1258">
      <c r="A1258" s="68">
        <v>2.3201084E7</v>
      </c>
      <c r="B1258" s="68" t="s">
        <v>2588</v>
      </c>
      <c r="C1258" s="35" t="s">
        <v>2469</v>
      </c>
      <c r="D1258" s="68" t="s">
        <v>95</v>
      </c>
      <c r="E1258" s="48"/>
      <c r="F1258" s="35" t="s">
        <v>2589</v>
      </c>
      <c r="G1258" s="7"/>
      <c r="H1258" s="7"/>
      <c r="I1258" s="7"/>
      <c r="J1258" s="7"/>
      <c r="K1258" s="7"/>
      <c r="L1258" s="7"/>
      <c r="M1258" s="7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9"/>
    </row>
    <row r="1259">
      <c r="A1259" s="67">
        <v>2.32016E7</v>
      </c>
      <c r="B1259" s="67" t="s">
        <v>2590</v>
      </c>
      <c r="C1259" s="36" t="s">
        <v>2469</v>
      </c>
      <c r="D1259" s="67" t="s">
        <v>95</v>
      </c>
      <c r="E1259" s="47"/>
      <c r="F1259" s="36" t="s">
        <v>2591</v>
      </c>
      <c r="G1259" s="12"/>
      <c r="H1259" s="12"/>
      <c r="I1259" s="12"/>
      <c r="J1259" s="12"/>
      <c r="K1259" s="12"/>
      <c r="L1259" s="12"/>
      <c r="M1259" s="12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9"/>
    </row>
    <row r="1260">
      <c r="A1260" s="68">
        <v>2.320109E7</v>
      </c>
      <c r="B1260" s="68" t="s">
        <v>2592</v>
      </c>
      <c r="C1260" s="35" t="s">
        <v>2469</v>
      </c>
      <c r="D1260" s="68" t="s">
        <v>95</v>
      </c>
      <c r="E1260" s="48"/>
      <c r="F1260" s="35" t="s">
        <v>2593</v>
      </c>
      <c r="G1260" s="7"/>
      <c r="H1260" s="7"/>
      <c r="I1260" s="7"/>
      <c r="J1260" s="7"/>
      <c r="K1260" s="7"/>
      <c r="L1260" s="7"/>
      <c r="M1260" s="7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9"/>
    </row>
    <row r="1261">
      <c r="A1261" s="67">
        <v>2.4101354E7</v>
      </c>
      <c r="B1261" s="67" t="s">
        <v>2594</v>
      </c>
      <c r="C1261" s="36" t="s">
        <v>2469</v>
      </c>
      <c r="D1261" s="67" t="s">
        <v>95</v>
      </c>
      <c r="E1261" s="47"/>
      <c r="F1261" s="36" t="s">
        <v>2595</v>
      </c>
      <c r="G1261" s="12"/>
      <c r="H1261" s="12"/>
      <c r="I1261" s="12"/>
      <c r="J1261" s="12"/>
      <c r="K1261" s="12"/>
      <c r="L1261" s="12"/>
      <c r="M1261" s="12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9"/>
    </row>
    <row r="1262">
      <c r="A1262" s="68">
        <v>2.4110015E7</v>
      </c>
      <c r="B1262" s="68" t="s">
        <v>2596</v>
      </c>
      <c r="C1262" s="35" t="s">
        <v>2469</v>
      </c>
      <c r="D1262" s="68" t="s">
        <v>95</v>
      </c>
      <c r="E1262" s="48"/>
      <c r="F1262" s="35" t="s">
        <v>2597</v>
      </c>
      <c r="G1262" s="7"/>
      <c r="H1262" s="7"/>
      <c r="I1262" s="7"/>
      <c r="J1262" s="7"/>
      <c r="K1262" s="7"/>
      <c r="L1262" s="7"/>
      <c r="M1262" s="7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9"/>
    </row>
    <row r="1263">
      <c r="A1263" s="67">
        <v>2.4121297E7</v>
      </c>
      <c r="B1263" s="67" t="s">
        <v>2598</v>
      </c>
      <c r="C1263" s="36" t="s">
        <v>2469</v>
      </c>
      <c r="D1263" s="67" t="s">
        <v>95</v>
      </c>
      <c r="E1263" s="47"/>
      <c r="F1263" s="36" t="s">
        <v>2599</v>
      </c>
      <c r="G1263" s="12"/>
      <c r="H1263" s="12"/>
      <c r="I1263" s="12"/>
      <c r="J1263" s="12"/>
      <c r="K1263" s="12"/>
      <c r="L1263" s="12"/>
      <c r="M1263" s="12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9"/>
    </row>
    <row r="1264">
      <c r="A1264" s="68">
        <v>2.4321202E7</v>
      </c>
      <c r="B1264" s="68" t="s">
        <v>2600</v>
      </c>
      <c r="C1264" s="35" t="s">
        <v>2469</v>
      </c>
      <c r="D1264" s="68" t="s">
        <v>95</v>
      </c>
      <c r="E1264" s="48"/>
      <c r="F1264" s="35" t="s">
        <v>2601</v>
      </c>
      <c r="G1264" s="7"/>
      <c r="H1264" s="7"/>
      <c r="I1264" s="7"/>
      <c r="J1264" s="7"/>
      <c r="K1264" s="7"/>
      <c r="L1264" s="7"/>
      <c r="M1264" s="7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9"/>
    </row>
    <row r="1265">
      <c r="A1265" s="67">
        <v>2.4301378E7</v>
      </c>
      <c r="B1265" s="67" t="s">
        <v>2602</v>
      </c>
      <c r="C1265" s="36" t="s">
        <v>2469</v>
      </c>
      <c r="D1265" s="67" t="s">
        <v>95</v>
      </c>
      <c r="E1265" s="47"/>
      <c r="F1265" s="36" t="s">
        <v>2603</v>
      </c>
      <c r="G1265" s="12"/>
      <c r="H1265" s="12"/>
      <c r="I1265" s="12"/>
      <c r="J1265" s="12"/>
      <c r="K1265" s="12"/>
      <c r="L1265" s="12"/>
      <c r="M1265" s="12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9"/>
    </row>
    <row r="1266">
      <c r="A1266" s="68">
        <v>2.4121266E7</v>
      </c>
      <c r="B1266" s="68" t="s">
        <v>2604</v>
      </c>
      <c r="C1266" s="35" t="s">
        <v>2469</v>
      </c>
      <c r="D1266" s="68" t="s">
        <v>95</v>
      </c>
      <c r="E1266" s="48"/>
      <c r="F1266" s="35" t="s">
        <v>2605</v>
      </c>
      <c r="G1266" s="7"/>
      <c r="H1266" s="7"/>
      <c r="I1266" s="7"/>
      <c r="J1266" s="7"/>
      <c r="K1266" s="7"/>
      <c r="L1266" s="7"/>
      <c r="M1266" s="7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9"/>
    </row>
    <row r="1267">
      <c r="A1267" s="67">
        <v>2.434105E7</v>
      </c>
      <c r="B1267" s="67" t="s">
        <v>2606</v>
      </c>
      <c r="C1267" s="36" t="s">
        <v>2469</v>
      </c>
      <c r="D1267" s="67" t="s">
        <v>95</v>
      </c>
      <c r="E1267" s="47"/>
      <c r="F1267" s="36" t="s">
        <v>2607</v>
      </c>
      <c r="G1267" s="12"/>
      <c r="H1267" s="12"/>
      <c r="I1267" s="12"/>
      <c r="J1267" s="12"/>
      <c r="K1267" s="12"/>
      <c r="L1267" s="12"/>
      <c r="M1267" s="12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9"/>
    </row>
    <row r="1268">
      <c r="A1268" s="68">
        <v>2.4301489E7</v>
      </c>
      <c r="B1268" s="68" t="s">
        <v>2608</v>
      </c>
      <c r="C1268" s="35" t="s">
        <v>2469</v>
      </c>
      <c r="D1268" s="68" t="s">
        <v>95</v>
      </c>
      <c r="E1268" s="48"/>
      <c r="F1268" s="35" t="s">
        <v>2609</v>
      </c>
      <c r="G1268" s="7"/>
      <c r="H1268" s="7"/>
      <c r="I1268" s="7"/>
      <c r="J1268" s="7"/>
      <c r="K1268" s="7"/>
      <c r="L1268" s="7"/>
      <c r="M1268" s="7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9"/>
    </row>
    <row r="1269">
      <c r="A1269" s="67">
        <v>2.4301283E7</v>
      </c>
      <c r="B1269" s="67" t="s">
        <v>2610</v>
      </c>
      <c r="C1269" s="36" t="s">
        <v>2469</v>
      </c>
      <c r="D1269" s="67" t="s">
        <v>95</v>
      </c>
      <c r="E1269" s="47"/>
      <c r="F1269" s="36" t="s">
        <v>2611</v>
      </c>
      <c r="G1269" s="69"/>
      <c r="H1269" s="69"/>
      <c r="I1269" s="69"/>
      <c r="J1269" s="69"/>
      <c r="K1269" s="69"/>
      <c r="L1269" s="69"/>
      <c r="M1269" s="69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9"/>
    </row>
    <row r="1270">
      <c r="A1270" s="68">
        <v>2.4301397E7</v>
      </c>
      <c r="B1270" s="68" t="s">
        <v>2612</v>
      </c>
      <c r="C1270" s="35" t="s">
        <v>2469</v>
      </c>
      <c r="D1270" s="68" t="s">
        <v>95</v>
      </c>
      <c r="E1270" s="48"/>
      <c r="F1270" s="35" t="s">
        <v>2613</v>
      </c>
      <c r="G1270" s="70"/>
      <c r="H1270" s="70"/>
      <c r="I1270" s="70"/>
      <c r="J1270" s="70"/>
      <c r="K1270" s="70"/>
      <c r="L1270" s="70"/>
      <c r="M1270" s="70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9"/>
    </row>
    <row r="1271">
      <c r="A1271" s="67">
        <v>2.4301463E7</v>
      </c>
      <c r="B1271" s="67" t="s">
        <v>2614</v>
      </c>
      <c r="C1271" s="36" t="s">
        <v>2469</v>
      </c>
      <c r="D1271" s="67" t="s">
        <v>95</v>
      </c>
      <c r="E1271" s="47"/>
      <c r="F1271" s="36" t="s">
        <v>2615</v>
      </c>
      <c r="G1271" s="71"/>
      <c r="H1271" s="71"/>
      <c r="I1271" s="71"/>
      <c r="J1271" s="71"/>
      <c r="K1271" s="71"/>
      <c r="L1271" s="71"/>
      <c r="M1271" s="71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9"/>
    </row>
    <row r="1272">
      <c r="A1272" s="68">
        <v>2.4310002E7</v>
      </c>
      <c r="B1272" s="68" t="s">
        <v>2616</v>
      </c>
      <c r="C1272" s="35" t="s">
        <v>2469</v>
      </c>
      <c r="D1272" s="68" t="s">
        <v>95</v>
      </c>
      <c r="E1272" s="48"/>
      <c r="F1272" s="35" t="s">
        <v>2617</v>
      </c>
      <c r="G1272" s="70"/>
      <c r="H1272" s="70"/>
      <c r="I1272" s="70"/>
      <c r="J1272" s="70"/>
      <c r="K1272" s="70"/>
      <c r="L1272" s="70"/>
      <c r="M1272" s="70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9"/>
    </row>
    <row r="1273">
      <c r="A1273" s="67">
        <v>2.4301186E7</v>
      </c>
      <c r="B1273" s="67" t="s">
        <v>2618</v>
      </c>
      <c r="C1273" s="36" t="s">
        <v>2469</v>
      </c>
      <c r="D1273" s="67" t="s">
        <v>95</v>
      </c>
      <c r="E1273" s="47"/>
      <c r="F1273" s="36" t="s">
        <v>2619</v>
      </c>
      <c r="G1273" s="69"/>
      <c r="H1273" s="69"/>
      <c r="I1273" s="69"/>
      <c r="J1273" s="69"/>
      <c r="K1273" s="69"/>
      <c r="L1273" s="69"/>
      <c r="M1273" s="69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9"/>
    </row>
    <row r="1274">
      <c r="A1274" s="68">
        <v>2.4201082E7</v>
      </c>
      <c r="B1274" s="68" t="s">
        <v>2620</v>
      </c>
      <c r="C1274" s="35" t="s">
        <v>2469</v>
      </c>
      <c r="D1274" s="68" t="s">
        <v>95</v>
      </c>
      <c r="E1274" s="48"/>
      <c r="F1274" s="35" t="s">
        <v>2621</v>
      </c>
      <c r="G1274" s="70"/>
      <c r="H1274" s="70"/>
      <c r="I1274" s="70"/>
      <c r="J1274" s="70"/>
      <c r="K1274" s="70"/>
      <c r="L1274" s="70"/>
      <c r="M1274" s="70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9"/>
    </row>
    <row r="1275">
      <c r="A1275" s="67">
        <v>2.4101522E7</v>
      </c>
      <c r="B1275" s="67" t="s">
        <v>2622</v>
      </c>
      <c r="C1275" s="36" t="s">
        <v>2469</v>
      </c>
      <c r="D1275" s="67" t="s">
        <v>95</v>
      </c>
      <c r="E1275" s="47"/>
      <c r="F1275" s="36" t="s">
        <v>2623</v>
      </c>
      <c r="G1275" s="69"/>
      <c r="H1275" s="69"/>
      <c r="I1275" s="69"/>
      <c r="J1275" s="69"/>
      <c r="K1275" s="69"/>
      <c r="L1275" s="69"/>
      <c r="M1275" s="69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9"/>
    </row>
    <row r="1276">
      <c r="A1276" s="68">
        <v>2.3201274E7</v>
      </c>
      <c r="B1276" s="68" t="s">
        <v>2624</v>
      </c>
      <c r="C1276" s="35" t="s">
        <v>2469</v>
      </c>
      <c r="D1276" s="68" t="s">
        <v>95</v>
      </c>
      <c r="E1276" s="48"/>
      <c r="F1276" s="35" t="s">
        <v>2625</v>
      </c>
      <c r="G1276" s="70"/>
      <c r="H1276" s="70"/>
      <c r="I1276" s="70"/>
      <c r="J1276" s="70"/>
      <c r="K1276" s="70"/>
      <c r="L1276" s="70"/>
      <c r="M1276" s="70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9"/>
    </row>
    <row r="1277">
      <c r="A1277" s="67">
        <v>2.3201637E7</v>
      </c>
      <c r="B1277" s="67" t="s">
        <v>2626</v>
      </c>
      <c r="C1277" s="36" t="s">
        <v>2469</v>
      </c>
      <c r="D1277" s="67" t="s">
        <v>95</v>
      </c>
      <c r="E1277" s="47"/>
      <c r="F1277" s="36" t="s">
        <v>2627</v>
      </c>
      <c r="G1277" s="72"/>
      <c r="H1277" s="72"/>
      <c r="I1277" s="72"/>
      <c r="J1277" s="72"/>
      <c r="K1277" s="72"/>
      <c r="L1277" s="72"/>
      <c r="M1277" s="72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9"/>
    </row>
    <row r="1278">
      <c r="A1278" s="68">
        <v>2.410121E7</v>
      </c>
      <c r="B1278" s="68" t="s">
        <v>2628</v>
      </c>
      <c r="C1278" s="35" t="s">
        <v>2469</v>
      </c>
      <c r="D1278" s="68" t="s">
        <v>95</v>
      </c>
      <c r="E1278" s="48"/>
      <c r="F1278" s="35" t="s">
        <v>2629</v>
      </c>
      <c r="G1278" s="73"/>
      <c r="H1278" s="73"/>
      <c r="I1278" s="73"/>
      <c r="J1278" s="73"/>
      <c r="K1278" s="73"/>
      <c r="L1278" s="73"/>
      <c r="M1278" s="73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9"/>
    </row>
    <row r="1279">
      <c r="A1279" s="67">
        <v>2.4101457E7</v>
      </c>
      <c r="B1279" s="67" t="s">
        <v>2630</v>
      </c>
      <c r="C1279" s="36" t="s">
        <v>2469</v>
      </c>
      <c r="D1279" s="67" t="s">
        <v>95</v>
      </c>
      <c r="E1279" s="47"/>
      <c r="F1279" s="36" t="s">
        <v>2631</v>
      </c>
      <c r="G1279" s="74"/>
      <c r="H1279" s="74"/>
      <c r="I1279" s="74"/>
      <c r="J1279" s="74"/>
      <c r="K1279" s="74"/>
      <c r="L1279" s="74"/>
      <c r="M1279" s="74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9"/>
    </row>
    <row r="1280">
      <c r="A1280" s="68">
        <v>2.420112E7</v>
      </c>
      <c r="B1280" s="68" t="s">
        <v>2632</v>
      </c>
      <c r="C1280" s="35" t="s">
        <v>2469</v>
      </c>
      <c r="D1280" s="68" t="s">
        <v>95</v>
      </c>
      <c r="E1280" s="48"/>
      <c r="F1280" s="35" t="s">
        <v>2633</v>
      </c>
      <c r="G1280" s="73"/>
      <c r="H1280" s="73"/>
      <c r="I1280" s="73"/>
      <c r="J1280" s="73"/>
      <c r="K1280" s="73"/>
      <c r="L1280" s="73"/>
      <c r="M1280" s="73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9"/>
    </row>
    <row r="1281">
      <c r="A1281" s="67">
        <v>2.4201381E7</v>
      </c>
      <c r="B1281" s="67" t="s">
        <v>2634</v>
      </c>
      <c r="C1281" s="36" t="s">
        <v>2469</v>
      </c>
      <c r="D1281" s="67" t="s">
        <v>95</v>
      </c>
      <c r="E1281" s="47"/>
      <c r="F1281" s="36" t="s">
        <v>2635</v>
      </c>
      <c r="G1281" s="75"/>
      <c r="H1281" s="75"/>
      <c r="I1281" s="75"/>
      <c r="J1281" s="75"/>
      <c r="K1281" s="75"/>
      <c r="L1281" s="75"/>
      <c r="M1281" s="7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9"/>
    </row>
    <row r="1282">
      <c r="A1282" s="68">
        <v>2.4301014E7</v>
      </c>
      <c r="B1282" s="68" t="s">
        <v>2636</v>
      </c>
      <c r="C1282" s="35" t="s">
        <v>2469</v>
      </c>
      <c r="D1282" s="68" t="s">
        <v>95</v>
      </c>
      <c r="E1282" s="48"/>
      <c r="F1282" s="35" t="s">
        <v>2637</v>
      </c>
      <c r="G1282" s="76"/>
      <c r="H1282" s="76"/>
      <c r="I1282" s="76"/>
      <c r="J1282" s="76"/>
      <c r="K1282" s="76"/>
      <c r="L1282" s="76"/>
      <c r="M1282" s="76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9"/>
    </row>
    <row r="1283">
      <c r="A1283" s="67">
        <v>2.4301172E7</v>
      </c>
      <c r="B1283" s="67" t="s">
        <v>2638</v>
      </c>
      <c r="C1283" s="36" t="s">
        <v>2469</v>
      </c>
      <c r="D1283" s="67" t="s">
        <v>95</v>
      </c>
      <c r="E1283" s="47"/>
      <c r="F1283" s="36" t="s">
        <v>2639</v>
      </c>
      <c r="G1283" s="74"/>
      <c r="H1283" s="74"/>
      <c r="I1283" s="74"/>
      <c r="J1283" s="74"/>
      <c r="K1283" s="74"/>
      <c r="L1283" s="74"/>
      <c r="M1283" s="74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9"/>
    </row>
    <row r="1284">
      <c r="A1284" s="68">
        <v>2.4121258E7</v>
      </c>
      <c r="B1284" s="68" t="s">
        <v>2640</v>
      </c>
      <c r="C1284" s="35" t="s">
        <v>2469</v>
      </c>
      <c r="D1284" s="68" t="s">
        <v>95</v>
      </c>
      <c r="E1284" s="48"/>
      <c r="F1284" s="35" t="s">
        <v>2641</v>
      </c>
      <c r="G1284" s="76"/>
      <c r="H1284" s="76"/>
      <c r="I1284" s="76"/>
      <c r="J1284" s="76"/>
      <c r="K1284" s="76"/>
      <c r="L1284" s="76"/>
      <c r="M1284" s="76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9"/>
    </row>
    <row r="1285">
      <c r="A1285" s="67">
        <v>2.4301309E7</v>
      </c>
      <c r="B1285" s="67" t="s">
        <v>2642</v>
      </c>
      <c r="C1285" s="36" t="s">
        <v>2469</v>
      </c>
      <c r="D1285" s="67" t="s">
        <v>95</v>
      </c>
      <c r="E1285" s="47"/>
      <c r="F1285" s="36" t="s">
        <v>2643</v>
      </c>
      <c r="G1285" s="74"/>
      <c r="H1285" s="74"/>
      <c r="I1285" s="74"/>
      <c r="J1285" s="74"/>
      <c r="K1285" s="74"/>
      <c r="L1285" s="74"/>
      <c r="M1285" s="74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9"/>
    </row>
    <row r="1286">
      <c r="A1286" s="68">
        <v>2.4301514E7</v>
      </c>
      <c r="B1286" s="68" t="s">
        <v>2644</v>
      </c>
      <c r="C1286" s="35" t="s">
        <v>2469</v>
      </c>
      <c r="D1286" s="68" t="s">
        <v>95</v>
      </c>
      <c r="E1286" s="48"/>
      <c r="F1286" s="35" t="s">
        <v>2645</v>
      </c>
      <c r="G1286" s="73"/>
      <c r="H1286" s="73"/>
      <c r="I1286" s="73"/>
      <c r="J1286" s="73"/>
      <c r="K1286" s="73"/>
      <c r="L1286" s="73"/>
      <c r="M1286" s="73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9"/>
    </row>
    <row r="1287">
      <c r="A1287" s="67">
        <v>1.000054181E9</v>
      </c>
      <c r="B1287" s="67" t="s">
        <v>2646</v>
      </c>
      <c r="C1287" s="36" t="s">
        <v>2469</v>
      </c>
      <c r="D1287" s="67" t="s">
        <v>95</v>
      </c>
      <c r="E1287" s="47"/>
      <c r="F1287" s="36" t="s">
        <v>2647</v>
      </c>
      <c r="G1287" s="74"/>
      <c r="H1287" s="74"/>
      <c r="I1287" s="74"/>
      <c r="J1287" s="74"/>
      <c r="K1287" s="74"/>
      <c r="L1287" s="74"/>
      <c r="M1287" s="74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9"/>
    </row>
    <row r="1288">
      <c r="A1288" s="68">
        <v>1.000055761E9</v>
      </c>
      <c r="B1288" s="68" t="s">
        <v>2648</v>
      </c>
      <c r="C1288" s="35" t="s">
        <v>2469</v>
      </c>
      <c r="D1288" s="68" t="s">
        <v>95</v>
      </c>
      <c r="E1288" s="48"/>
      <c r="F1288" s="35" t="s">
        <v>2649</v>
      </c>
      <c r="G1288" s="73"/>
      <c r="H1288" s="73"/>
      <c r="I1288" s="73"/>
      <c r="J1288" s="73"/>
      <c r="K1288" s="73"/>
      <c r="L1288" s="73"/>
      <c r="M1288" s="73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9"/>
    </row>
    <row r="1289">
      <c r="A1289" s="67">
        <v>1.000056133E9</v>
      </c>
      <c r="B1289" s="67" t="s">
        <v>2650</v>
      </c>
      <c r="C1289" s="36" t="s">
        <v>2469</v>
      </c>
      <c r="D1289" s="67" t="s">
        <v>95</v>
      </c>
      <c r="E1289" s="47"/>
      <c r="F1289" s="36" t="s">
        <v>2651</v>
      </c>
      <c r="G1289" s="74"/>
      <c r="H1289" s="74"/>
      <c r="I1289" s="74"/>
      <c r="J1289" s="74"/>
      <c r="K1289" s="74"/>
      <c r="L1289" s="74"/>
      <c r="M1289" s="74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9"/>
    </row>
    <row r="1290">
      <c r="A1290" s="68">
        <v>1.00005661E9</v>
      </c>
      <c r="B1290" s="68" t="s">
        <v>2652</v>
      </c>
      <c r="C1290" s="35" t="s">
        <v>2469</v>
      </c>
      <c r="D1290" s="68" t="s">
        <v>95</v>
      </c>
      <c r="E1290" s="48"/>
      <c r="F1290" s="35" t="s">
        <v>2653</v>
      </c>
      <c r="G1290" s="73"/>
      <c r="H1290" s="73"/>
      <c r="I1290" s="73"/>
      <c r="J1290" s="73"/>
      <c r="K1290" s="73"/>
      <c r="L1290" s="73"/>
      <c r="M1290" s="73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9"/>
    </row>
    <row r="1291">
      <c r="A1291" s="67">
        <v>1.000056697E9</v>
      </c>
      <c r="B1291" s="67" t="s">
        <v>2654</v>
      </c>
      <c r="C1291" s="36" t="s">
        <v>2469</v>
      </c>
      <c r="D1291" s="67" t="s">
        <v>95</v>
      </c>
      <c r="E1291" s="47"/>
      <c r="F1291" s="36" t="s">
        <v>2655</v>
      </c>
      <c r="G1291" s="74"/>
      <c r="H1291" s="74"/>
      <c r="I1291" s="74"/>
      <c r="J1291" s="74"/>
      <c r="K1291" s="74"/>
      <c r="L1291" s="74"/>
      <c r="M1291" s="74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9"/>
    </row>
    <row r="1292">
      <c r="A1292" s="68">
        <v>2.4201203E7</v>
      </c>
      <c r="B1292" s="68" t="s">
        <v>2656</v>
      </c>
      <c r="C1292" s="35" t="s">
        <v>2469</v>
      </c>
      <c r="D1292" s="68" t="s">
        <v>95</v>
      </c>
      <c r="E1292" s="48"/>
      <c r="F1292" s="35" t="s">
        <v>2657</v>
      </c>
      <c r="G1292" s="73"/>
      <c r="H1292" s="73"/>
      <c r="I1292" s="73"/>
      <c r="J1292" s="73"/>
      <c r="K1292" s="73"/>
      <c r="L1292" s="73"/>
      <c r="M1292" s="73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9"/>
    </row>
    <row r="1293">
      <c r="A1293" s="67">
        <v>1.000058127E9</v>
      </c>
      <c r="B1293" s="67" t="s">
        <v>2658</v>
      </c>
      <c r="C1293" s="36" t="s">
        <v>2469</v>
      </c>
      <c r="D1293" s="67" t="s">
        <v>95</v>
      </c>
      <c r="E1293" s="47"/>
      <c r="F1293" s="36" t="s">
        <v>2659</v>
      </c>
      <c r="G1293" s="74"/>
      <c r="H1293" s="74"/>
      <c r="I1293" s="74"/>
      <c r="J1293" s="74"/>
      <c r="K1293" s="74"/>
      <c r="L1293" s="74"/>
      <c r="M1293" s="74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9"/>
    </row>
    <row r="1294">
      <c r="A1294" s="68">
        <v>2.4301564E7</v>
      </c>
      <c r="B1294" s="68" t="s">
        <v>2660</v>
      </c>
      <c r="C1294" s="35" t="s">
        <v>2469</v>
      </c>
      <c r="D1294" s="68" t="s">
        <v>95</v>
      </c>
      <c r="E1294" s="48"/>
      <c r="F1294" s="35" t="s">
        <v>2661</v>
      </c>
      <c r="G1294" s="73"/>
      <c r="H1294" s="73"/>
      <c r="I1294" s="73"/>
      <c r="J1294" s="73"/>
      <c r="K1294" s="73"/>
      <c r="L1294" s="73"/>
      <c r="M1294" s="73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9"/>
    </row>
    <row r="1295">
      <c r="A1295" s="67">
        <v>1.000059397E9</v>
      </c>
      <c r="B1295" s="67" t="s">
        <v>2662</v>
      </c>
      <c r="C1295" s="36" t="s">
        <v>2469</v>
      </c>
      <c r="D1295" s="67" t="s">
        <v>95</v>
      </c>
      <c r="E1295" s="47"/>
      <c r="F1295" s="36" t="s">
        <v>2663</v>
      </c>
      <c r="G1295" s="74"/>
      <c r="H1295" s="74"/>
      <c r="I1295" s="74"/>
      <c r="J1295" s="74"/>
      <c r="K1295" s="74"/>
      <c r="L1295" s="74"/>
      <c r="M1295" s="74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9"/>
    </row>
    <row r="1296">
      <c r="A1296" s="68">
        <v>2.4201094E7</v>
      </c>
      <c r="B1296" s="68" t="s">
        <v>2664</v>
      </c>
      <c r="C1296" s="35" t="s">
        <v>2469</v>
      </c>
      <c r="D1296" s="68" t="s">
        <v>95</v>
      </c>
      <c r="E1296" s="48"/>
      <c r="F1296" s="35" t="s">
        <v>2665</v>
      </c>
      <c r="G1296" s="73"/>
      <c r="H1296" s="73"/>
      <c r="I1296" s="73"/>
      <c r="J1296" s="73"/>
      <c r="K1296" s="73"/>
      <c r="L1296" s="73"/>
      <c r="M1296" s="73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9"/>
    </row>
    <row r="1297">
      <c r="A1297" s="67">
        <v>1.000059325E9</v>
      </c>
      <c r="B1297" s="67" t="s">
        <v>2666</v>
      </c>
      <c r="C1297" s="36" t="s">
        <v>2469</v>
      </c>
      <c r="D1297" s="67" t="s">
        <v>95</v>
      </c>
      <c r="E1297" s="47"/>
      <c r="F1297" s="36" t="s">
        <v>2667</v>
      </c>
      <c r="G1297" s="74"/>
      <c r="H1297" s="74"/>
      <c r="I1297" s="74"/>
      <c r="J1297" s="74"/>
      <c r="K1297" s="74"/>
      <c r="L1297" s="74"/>
      <c r="M1297" s="74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9"/>
    </row>
    <row r="1298">
      <c r="A1298" s="68">
        <v>1.00005688E9</v>
      </c>
      <c r="B1298" s="68" t="s">
        <v>2668</v>
      </c>
      <c r="C1298" s="35" t="s">
        <v>2469</v>
      </c>
      <c r="D1298" s="68" t="s">
        <v>95</v>
      </c>
      <c r="E1298" s="48"/>
      <c r="F1298" s="35" t="s">
        <v>2669</v>
      </c>
      <c r="G1298" s="73"/>
      <c r="H1298" s="73"/>
      <c r="I1298" s="73"/>
      <c r="J1298" s="73"/>
      <c r="K1298" s="73"/>
      <c r="L1298" s="73"/>
      <c r="M1298" s="73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9"/>
    </row>
    <row r="1299">
      <c r="A1299" s="77">
        <v>2.2204035E7</v>
      </c>
      <c r="B1299" s="77" t="s">
        <v>2670</v>
      </c>
      <c r="C1299" s="78" t="s">
        <v>2469</v>
      </c>
      <c r="D1299" s="77" t="s">
        <v>95</v>
      </c>
      <c r="E1299" s="79"/>
      <c r="F1299" s="78" t="s">
        <v>2671</v>
      </c>
      <c r="G1299" s="74"/>
      <c r="H1299" s="74"/>
      <c r="I1299" s="74"/>
      <c r="J1299" s="74"/>
      <c r="K1299" s="74"/>
      <c r="L1299" s="74"/>
      <c r="M1299" s="74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9"/>
    </row>
    <row r="1300">
      <c r="A1300" s="80"/>
      <c r="B1300" s="80"/>
      <c r="C1300" s="80"/>
      <c r="D1300" s="80"/>
      <c r="E1300" s="80"/>
      <c r="F1300" s="81"/>
      <c r="G1300" s="73"/>
      <c r="H1300" s="73"/>
      <c r="I1300" s="73"/>
      <c r="J1300" s="73"/>
      <c r="K1300" s="73"/>
      <c r="L1300" s="73"/>
      <c r="M1300" s="73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9"/>
    </row>
    <row r="1301">
      <c r="A1301" s="82">
        <v>2.4101236E7</v>
      </c>
      <c r="B1301" s="82" t="s">
        <v>2672</v>
      </c>
      <c r="C1301" s="83" t="s">
        <v>2673</v>
      </c>
      <c r="D1301" s="82" t="s">
        <v>25</v>
      </c>
      <c r="E1301" s="83" t="s">
        <v>2674</v>
      </c>
      <c r="F1301" s="82" t="s">
        <v>2675</v>
      </c>
      <c r="G1301" s="74"/>
      <c r="H1301" s="74"/>
      <c r="I1301" s="74"/>
      <c r="J1301" s="74"/>
      <c r="K1301" s="74"/>
      <c r="L1301" s="74"/>
      <c r="M1301" s="74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9"/>
    </row>
    <row r="1302">
      <c r="A1302" s="5">
        <v>2.2299282E7</v>
      </c>
      <c r="B1302" s="5" t="s">
        <v>2676</v>
      </c>
      <c r="C1302" s="14" t="s">
        <v>2673</v>
      </c>
      <c r="D1302" s="5" t="s">
        <v>25</v>
      </c>
      <c r="E1302" s="14" t="s">
        <v>2677</v>
      </c>
      <c r="F1302" s="5" t="s">
        <v>2678</v>
      </c>
      <c r="G1302" s="73"/>
      <c r="H1302" s="73"/>
      <c r="I1302" s="73"/>
      <c r="J1302" s="73"/>
      <c r="K1302" s="73"/>
      <c r="L1302" s="73"/>
      <c r="M1302" s="73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9"/>
    </row>
    <row r="1303">
      <c r="A1303" s="10">
        <v>2.2201258E7</v>
      </c>
      <c r="B1303" s="10" t="s">
        <v>2679</v>
      </c>
      <c r="C1303" s="13" t="s">
        <v>2673</v>
      </c>
      <c r="D1303" s="10" t="s">
        <v>32</v>
      </c>
      <c r="E1303" s="13" t="s">
        <v>2680</v>
      </c>
      <c r="F1303" s="10" t="s">
        <v>2681</v>
      </c>
      <c r="G1303" s="74"/>
      <c r="H1303" s="74"/>
      <c r="I1303" s="74"/>
      <c r="J1303" s="74"/>
      <c r="K1303" s="74"/>
      <c r="L1303" s="74"/>
      <c r="M1303" s="74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9"/>
    </row>
    <row r="1304">
      <c r="A1304" s="5">
        <v>2.2201577E7</v>
      </c>
      <c r="B1304" s="5" t="s">
        <v>2682</v>
      </c>
      <c r="C1304" s="14" t="s">
        <v>2673</v>
      </c>
      <c r="D1304" s="5" t="s">
        <v>32</v>
      </c>
      <c r="E1304" s="14" t="s">
        <v>2683</v>
      </c>
      <c r="F1304" s="5" t="s">
        <v>2684</v>
      </c>
      <c r="G1304" s="76"/>
      <c r="H1304" s="76"/>
      <c r="I1304" s="76"/>
      <c r="J1304" s="76"/>
      <c r="K1304" s="76"/>
      <c r="L1304" s="76"/>
      <c r="M1304" s="76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9"/>
    </row>
    <row r="1305">
      <c r="A1305" s="10">
        <v>2.4301434E7</v>
      </c>
      <c r="B1305" s="10" t="s">
        <v>2685</v>
      </c>
      <c r="C1305" s="13" t="s">
        <v>2673</v>
      </c>
      <c r="D1305" s="10" t="s">
        <v>36</v>
      </c>
      <c r="E1305" s="13"/>
      <c r="F1305" s="10" t="s">
        <v>2686</v>
      </c>
      <c r="G1305" s="74"/>
      <c r="H1305" s="74"/>
      <c r="I1305" s="74"/>
      <c r="J1305" s="74"/>
      <c r="K1305" s="74"/>
      <c r="L1305" s="74"/>
      <c r="M1305" s="74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9"/>
    </row>
    <row r="1306">
      <c r="A1306" s="5">
        <v>2.4101124E7</v>
      </c>
      <c r="B1306" s="5" t="s">
        <v>2687</v>
      </c>
      <c r="C1306" s="14" t="s">
        <v>2673</v>
      </c>
      <c r="D1306" s="5" t="s">
        <v>36</v>
      </c>
      <c r="E1306" s="14"/>
      <c r="F1306" s="5" t="s">
        <v>2688</v>
      </c>
      <c r="G1306" s="76"/>
      <c r="H1306" s="76"/>
      <c r="I1306" s="76"/>
      <c r="J1306" s="76"/>
      <c r="K1306" s="76"/>
      <c r="L1306" s="76"/>
      <c r="M1306" s="76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9"/>
    </row>
    <row r="1307">
      <c r="A1307" s="10">
        <v>2.4101082E7</v>
      </c>
      <c r="B1307" s="10" t="s">
        <v>2689</v>
      </c>
      <c r="C1307" s="13" t="s">
        <v>2673</v>
      </c>
      <c r="D1307" s="10" t="s">
        <v>36</v>
      </c>
      <c r="E1307" s="13" t="s">
        <v>2690</v>
      </c>
      <c r="F1307" s="10" t="s">
        <v>2691</v>
      </c>
      <c r="G1307" s="74"/>
      <c r="H1307" s="74"/>
      <c r="I1307" s="74"/>
      <c r="J1307" s="74"/>
      <c r="K1307" s="74"/>
      <c r="L1307" s="74"/>
      <c r="M1307" s="74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9"/>
    </row>
    <row r="1308">
      <c r="A1308" s="5">
        <v>2.4201127E7</v>
      </c>
      <c r="B1308" s="5" t="s">
        <v>2692</v>
      </c>
      <c r="C1308" s="14" t="s">
        <v>2673</v>
      </c>
      <c r="D1308" s="5" t="s">
        <v>36</v>
      </c>
      <c r="E1308" s="14"/>
      <c r="F1308" s="5" t="s">
        <v>2693</v>
      </c>
      <c r="G1308" s="73"/>
      <c r="H1308" s="73"/>
      <c r="I1308" s="73"/>
      <c r="J1308" s="73"/>
      <c r="K1308" s="73"/>
      <c r="L1308" s="73"/>
      <c r="M1308" s="73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9"/>
    </row>
    <row r="1309">
      <c r="A1309" s="10">
        <v>2.3201689E7</v>
      </c>
      <c r="B1309" s="10" t="s">
        <v>2694</v>
      </c>
      <c r="C1309" s="13" t="s">
        <v>2673</v>
      </c>
      <c r="D1309" s="10" t="s">
        <v>36</v>
      </c>
      <c r="E1309" s="13"/>
      <c r="F1309" s="10" t="s">
        <v>2695</v>
      </c>
      <c r="G1309" s="74"/>
      <c r="H1309" s="74"/>
      <c r="I1309" s="74"/>
      <c r="J1309" s="74"/>
      <c r="K1309" s="74"/>
      <c r="L1309" s="74"/>
      <c r="M1309" s="74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9"/>
    </row>
    <row r="1310">
      <c r="A1310" s="5">
        <v>2.4341289E7</v>
      </c>
      <c r="B1310" s="5" t="s">
        <v>2696</v>
      </c>
      <c r="C1310" s="14" t="s">
        <v>2673</v>
      </c>
      <c r="D1310" s="5" t="s">
        <v>36</v>
      </c>
      <c r="E1310" s="14" t="s">
        <v>2697</v>
      </c>
      <c r="F1310" s="5" t="s">
        <v>2698</v>
      </c>
      <c r="G1310" s="73"/>
      <c r="H1310" s="73"/>
      <c r="I1310" s="73"/>
      <c r="J1310" s="73"/>
      <c r="K1310" s="73"/>
      <c r="L1310" s="73"/>
      <c r="M1310" s="73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9"/>
    </row>
    <row r="1311">
      <c r="A1311" s="10">
        <v>2.3301216E7</v>
      </c>
      <c r="B1311" s="10" t="s">
        <v>2699</v>
      </c>
      <c r="C1311" s="13" t="s">
        <v>2673</v>
      </c>
      <c r="D1311" s="10" t="s">
        <v>36</v>
      </c>
      <c r="E1311" s="13" t="s">
        <v>2700</v>
      </c>
      <c r="F1311" s="10" t="s">
        <v>2701</v>
      </c>
      <c r="G1311" s="74"/>
      <c r="H1311" s="74"/>
      <c r="I1311" s="74"/>
      <c r="J1311" s="74"/>
      <c r="K1311" s="74"/>
      <c r="L1311" s="74"/>
      <c r="M1311" s="74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9"/>
    </row>
    <row r="1312">
      <c r="A1312" s="5">
        <v>2.2299413E7</v>
      </c>
      <c r="B1312" s="5" t="s">
        <v>2702</v>
      </c>
      <c r="C1312" s="14" t="s">
        <v>2673</v>
      </c>
      <c r="D1312" s="5" t="s">
        <v>36</v>
      </c>
      <c r="E1312" s="14" t="s">
        <v>2703</v>
      </c>
      <c r="F1312" s="5" t="s">
        <v>2704</v>
      </c>
      <c r="G1312" s="73"/>
      <c r="H1312" s="73"/>
      <c r="I1312" s="73"/>
      <c r="J1312" s="73"/>
      <c r="K1312" s="73"/>
      <c r="L1312" s="73"/>
      <c r="M1312" s="73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9"/>
    </row>
    <row r="1313">
      <c r="A1313" s="10">
        <v>2.2299343E7</v>
      </c>
      <c r="B1313" s="10" t="s">
        <v>2705</v>
      </c>
      <c r="C1313" s="13" t="s">
        <v>2673</v>
      </c>
      <c r="D1313" s="10" t="s">
        <v>36</v>
      </c>
      <c r="E1313" s="13" t="s">
        <v>2706</v>
      </c>
      <c r="F1313" s="10" t="s">
        <v>2707</v>
      </c>
      <c r="G1313" s="74"/>
      <c r="H1313" s="74"/>
      <c r="I1313" s="74"/>
      <c r="J1313" s="74"/>
      <c r="K1313" s="74"/>
      <c r="L1313" s="74"/>
      <c r="M1313" s="74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9"/>
    </row>
    <row r="1314">
      <c r="A1314" s="5">
        <v>2.2299045E7</v>
      </c>
      <c r="B1314" s="5" t="s">
        <v>2708</v>
      </c>
      <c r="C1314" s="14" t="s">
        <v>2673</v>
      </c>
      <c r="D1314" s="5" t="s">
        <v>36</v>
      </c>
      <c r="E1314" s="14" t="s">
        <v>2709</v>
      </c>
      <c r="F1314" s="5" t="s">
        <v>2710</v>
      </c>
      <c r="G1314" s="73"/>
      <c r="H1314" s="73"/>
      <c r="I1314" s="73"/>
      <c r="J1314" s="73"/>
      <c r="K1314" s="73"/>
      <c r="L1314" s="73"/>
      <c r="M1314" s="73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9"/>
    </row>
    <row r="1315">
      <c r="A1315" s="10">
        <v>2.2299321E7</v>
      </c>
      <c r="B1315" s="10" t="s">
        <v>2711</v>
      </c>
      <c r="C1315" s="13" t="s">
        <v>2673</v>
      </c>
      <c r="D1315" s="10" t="s">
        <v>36</v>
      </c>
      <c r="E1315" s="13" t="s">
        <v>2712</v>
      </c>
      <c r="F1315" s="10" t="s">
        <v>2713</v>
      </c>
      <c r="G1315" s="74"/>
      <c r="H1315" s="74"/>
      <c r="I1315" s="74"/>
      <c r="J1315" s="74"/>
      <c r="K1315" s="74"/>
      <c r="L1315" s="74"/>
      <c r="M1315" s="74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9"/>
    </row>
    <row r="1316">
      <c r="A1316" s="5">
        <v>2.1201526E7</v>
      </c>
      <c r="B1316" s="5" t="s">
        <v>2714</v>
      </c>
      <c r="C1316" s="14" t="s">
        <v>2673</v>
      </c>
      <c r="D1316" s="5" t="s">
        <v>36</v>
      </c>
      <c r="E1316" s="14"/>
      <c r="F1316" s="5" t="s">
        <v>2715</v>
      </c>
      <c r="G1316" s="73"/>
      <c r="H1316" s="73"/>
      <c r="I1316" s="73"/>
      <c r="J1316" s="73"/>
      <c r="K1316" s="73"/>
      <c r="L1316" s="73"/>
      <c r="M1316" s="73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9"/>
    </row>
    <row r="1317">
      <c r="A1317" s="42">
        <v>2.4141125E7</v>
      </c>
      <c r="B1317" s="42" t="s">
        <v>2716</v>
      </c>
      <c r="C1317" s="43" t="s">
        <v>2673</v>
      </c>
      <c r="D1317" s="42" t="s">
        <v>36</v>
      </c>
      <c r="E1317" s="84"/>
      <c r="F1317" s="42" t="s">
        <v>2717</v>
      </c>
      <c r="G1317" s="74"/>
      <c r="H1317" s="74"/>
      <c r="I1317" s="74"/>
      <c r="J1317" s="74"/>
      <c r="K1317" s="74"/>
      <c r="L1317" s="74"/>
      <c r="M1317" s="74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9"/>
    </row>
    <row r="1318">
      <c r="A1318" s="85">
        <v>2.3301584E7</v>
      </c>
      <c r="B1318" s="85" t="s">
        <v>2718</v>
      </c>
      <c r="C1318" s="39" t="s">
        <v>2673</v>
      </c>
      <c r="D1318" s="85" t="s">
        <v>36</v>
      </c>
      <c r="E1318" s="86"/>
      <c r="F1318" s="85" t="s">
        <v>2719</v>
      </c>
      <c r="G1318" s="41"/>
      <c r="H1318" s="41"/>
      <c r="I1318" s="41"/>
      <c r="J1318" s="41"/>
      <c r="K1318" s="41"/>
      <c r="L1318" s="41"/>
      <c r="M1318" s="41"/>
      <c r="N1318" s="41"/>
      <c r="O1318" s="41"/>
      <c r="P1318" s="41"/>
      <c r="Q1318" s="41"/>
      <c r="R1318" s="41"/>
      <c r="S1318" s="41"/>
      <c r="T1318" s="41"/>
      <c r="U1318" s="41"/>
      <c r="V1318" s="41"/>
      <c r="W1318" s="41"/>
      <c r="X1318" s="41"/>
      <c r="Y1318" s="41"/>
      <c r="Z1318" s="18"/>
    </row>
    <row r="1319">
      <c r="A1319" s="10">
        <v>1.000055642E9</v>
      </c>
      <c r="B1319" s="10" t="s">
        <v>2720</v>
      </c>
      <c r="C1319" s="13" t="s">
        <v>2673</v>
      </c>
      <c r="D1319" s="10" t="s">
        <v>45</v>
      </c>
      <c r="E1319" s="13"/>
      <c r="F1319" s="10" t="s">
        <v>2721</v>
      </c>
      <c r="G1319" s="74"/>
      <c r="H1319" s="74"/>
      <c r="I1319" s="74"/>
      <c r="J1319" s="74"/>
      <c r="K1319" s="74"/>
      <c r="L1319" s="74"/>
      <c r="M1319" s="74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9"/>
    </row>
    <row r="1320">
      <c r="A1320" s="38">
        <v>2.4216005E7</v>
      </c>
      <c r="B1320" s="38" t="s">
        <v>190</v>
      </c>
      <c r="C1320" s="39" t="s">
        <v>2673</v>
      </c>
      <c r="D1320" s="38" t="s">
        <v>45</v>
      </c>
      <c r="E1320" s="87"/>
      <c r="F1320" s="38" t="s">
        <v>2722</v>
      </c>
      <c r="G1320" s="73"/>
      <c r="H1320" s="73"/>
      <c r="I1320" s="73"/>
      <c r="J1320" s="73"/>
      <c r="K1320" s="73"/>
      <c r="L1320" s="73"/>
      <c r="M1320" s="73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9"/>
    </row>
    <row r="1321">
      <c r="A1321" s="10">
        <v>2.4301068E7</v>
      </c>
      <c r="B1321" s="10" t="s">
        <v>2723</v>
      </c>
      <c r="C1321" s="10" t="s">
        <v>2673</v>
      </c>
      <c r="D1321" s="10" t="s">
        <v>45</v>
      </c>
      <c r="E1321" s="13"/>
      <c r="F1321" s="10" t="s">
        <v>2724</v>
      </c>
      <c r="G1321" s="74"/>
      <c r="H1321" s="74"/>
      <c r="I1321" s="74"/>
      <c r="J1321" s="74"/>
      <c r="K1321" s="74"/>
      <c r="L1321" s="74"/>
      <c r="M1321" s="74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9"/>
    </row>
    <row r="1322">
      <c r="A1322" s="5">
        <v>2.3201017E7</v>
      </c>
      <c r="B1322" s="5" t="s">
        <v>2725</v>
      </c>
      <c r="C1322" s="5" t="s">
        <v>2673</v>
      </c>
      <c r="D1322" s="5" t="s">
        <v>45</v>
      </c>
      <c r="E1322" s="46"/>
      <c r="F1322" s="5" t="s">
        <v>2726</v>
      </c>
      <c r="G1322" s="73"/>
      <c r="H1322" s="73"/>
      <c r="I1322" s="73"/>
      <c r="J1322" s="73"/>
      <c r="K1322" s="73"/>
      <c r="L1322" s="73"/>
      <c r="M1322" s="73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9"/>
    </row>
    <row r="1323">
      <c r="A1323" s="10" t="s">
        <v>2727</v>
      </c>
      <c r="B1323" s="10" t="s">
        <v>2728</v>
      </c>
      <c r="C1323" s="10" t="s">
        <v>2673</v>
      </c>
      <c r="D1323" s="10" t="s">
        <v>45</v>
      </c>
      <c r="E1323" s="13" t="s">
        <v>2729</v>
      </c>
      <c r="F1323" s="10" t="s">
        <v>2730</v>
      </c>
      <c r="G1323" s="74"/>
      <c r="H1323" s="74"/>
      <c r="I1323" s="74"/>
      <c r="J1323" s="74"/>
      <c r="K1323" s="74"/>
      <c r="L1323" s="74"/>
      <c r="M1323" s="74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9"/>
    </row>
    <row r="1324">
      <c r="A1324" s="5">
        <v>2.2101721E7</v>
      </c>
      <c r="B1324" s="5" t="s">
        <v>2731</v>
      </c>
      <c r="C1324" s="5" t="s">
        <v>2673</v>
      </c>
      <c r="D1324" s="5" t="s">
        <v>45</v>
      </c>
      <c r="E1324" s="14" t="s">
        <v>2732</v>
      </c>
      <c r="F1324" s="5" t="s">
        <v>2733</v>
      </c>
      <c r="G1324" s="73"/>
      <c r="H1324" s="73"/>
      <c r="I1324" s="73"/>
      <c r="J1324" s="73"/>
      <c r="K1324" s="73"/>
      <c r="L1324" s="73"/>
      <c r="M1324" s="73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9"/>
    </row>
    <row r="1325">
      <c r="A1325" s="10">
        <v>2.4101602E7</v>
      </c>
      <c r="B1325" s="10" t="s">
        <v>2728</v>
      </c>
      <c r="C1325" s="10" t="s">
        <v>2673</v>
      </c>
      <c r="D1325" s="10" t="s">
        <v>45</v>
      </c>
      <c r="E1325" s="13" t="s">
        <v>2734</v>
      </c>
      <c r="F1325" s="10" t="s">
        <v>2735</v>
      </c>
      <c r="G1325" s="74"/>
      <c r="H1325" s="74"/>
      <c r="I1325" s="74"/>
      <c r="J1325" s="74"/>
      <c r="K1325" s="74"/>
      <c r="L1325" s="74"/>
      <c r="M1325" s="74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9"/>
    </row>
    <row r="1326">
      <c r="A1326" s="5">
        <v>2.4341044E7</v>
      </c>
      <c r="B1326" s="5" t="s">
        <v>2736</v>
      </c>
      <c r="C1326" s="5" t="s">
        <v>2673</v>
      </c>
      <c r="D1326" s="5" t="s">
        <v>45</v>
      </c>
      <c r="E1326" s="14" t="s">
        <v>2734</v>
      </c>
      <c r="F1326" s="5" t="s">
        <v>2737</v>
      </c>
      <c r="G1326" s="73"/>
      <c r="H1326" s="73"/>
      <c r="I1326" s="73"/>
      <c r="J1326" s="73"/>
      <c r="K1326" s="73"/>
      <c r="L1326" s="73"/>
      <c r="M1326" s="73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9"/>
    </row>
    <row r="1327">
      <c r="A1327" s="10">
        <v>2.4301534E7</v>
      </c>
      <c r="B1327" s="10" t="s">
        <v>2738</v>
      </c>
      <c r="C1327" s="10" t="s">
        <v>2673</v>
      </c>
      <c r="D1327" s="10" t="s">
        <v>45</v>
      </c>
      <c r="E1327" s="13" t="s">
        <v>2734</v>
      </c>
      <c r="F1327" s="10" t="s">
        <v>2739</v>
      </c>
      <c r="G1327" s="74"/>
      <c r="H1327" s="74"/>
      <c r="I1327" s="74"/>
      <c r="J1327" s="74"/>
      <c r="K1327" s="74"/>
      <c r="L1327" s="74"/>
      <c r="M1327" s="74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9"/>
    </row>
    <row r="1328">
      <c r="A1328" s="5">
        <v>2.4321312E7</v>
      </c>
      <c r="B1328" s="5" t="s">
        <v>2740</v>
      </c>
      <c r="C1328" s="5" t="s">
        <v>2673</v>
      </c>
      <c r="D1328" s="5" t="s">
        <v>45</v>
      </c>
      <c r="E1328" s="46"/>
      <c r="F1328" s="5" t="s">
        <v>2741</v>
      </c>
      <c r="G1328" s="73"/>
      <c r="H1328" s="73"/>
      <c r="I1328" s="73"/>
      <c r="J1328" s="73"/>
      <c r="K1328" s="73"/>
      <c r="L1328" s="73"/>
      <c r="M1328" s="73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9"/>
    </row>
    <row r="1329">
      <c r="A1329" s="10">
        <v>1.000055677E9</v>
      </c>
      <c r="B1329" s="10" t="s">
        <v>2742</v>
      </c>
      <c r="C1329" s="10" t="s">
        <v>2673</v>
      </c>
      <c r="D1329" s="10" t="s">
        <v>45</v>
      </c>
      <c r="E1329" s="45"/>
      <c r="F1329" s="10" t="s">
        <v>2743</v>
      </c>
      <c r="G1329" s="74"/>
      <c r="H1329" s="74"/>
      <c r="I1329" s="74"/>
      <c r="J1329" s="74"/>
      <c r="K1329" s="74"/>
      <c r="L1329" s="74"/>
      <c r="M1329" s="74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9"/>
    </row>
    <row r="1330">
      <c r="A1330" s="5">
        <v>2.4201403E7</v>
      </c>
      <c r="B1330" s="5" t="s">
        <v>2744</v>
      </c>
      <c r="C1330" s="5" t="s">
        <v>2673</v>
      </c>
      <c r="D1330" s="5" t="s">
        <v>45</v>
      </c>
      <c r="E1330" s="46"/>
      <c r="F1330" s="5" t="s">
        <v>2745</v>
      </c>
      <c r="G1330" s="73"/>
      <c r="H1330" s="73"/>
      <c r="I1330" s="73"/>
      <c r="J1330" s="73"/>
      <c r="K1330" s="73"/>
      <c r="L1330" s="73"/>
      <c r="M1330" s="73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9"/>
    </row>
    <row r="1331">
      <c r="A1331" s="10">
        <v>2.4301518E7</v>
      </c>
      <c r="B1331" s="10" t="s">
        <v>2746</v>
      </c>
      <c r="C1331" s="10" t="s">
        <v>2673</v>
      </c>
      <c r="D1331" s="10" t="s">
        <v>45</v>
      </c>
      <c r="E1331" s="45"/>
      <c r="F1331" s="10" t="s">
        <v>2747</v>
      </c>
      <c r="G1331" s="74"/>
      <c r="H1331" s="74"/>
      <c r="I1331" s="74"/>
      <c r="J1331" s="74"/>
      <c r="K1331" s="74"/>
      <c r="L1331" s="74"/>
      <c r="M1331" s="74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9"/>
    </row>
    <row r="1332">
      <c r="A1332" s="5">
        <v>2.32012E7</v>
      </c>
      <c r="B1332" s="5" t="s">
        <v>2748</v>
      </c>
      <c r="C1332" s="5" t="s">
        <v>2673</v>
      </c>
      <c r="D1332" s="5" t="s">
        <v>45</v>
      </c>
      <c r="E1332" s="46"/>
      <c r="F1332" s="5" t="s">
        <v>2749</v>
      </c>
      <c r="G1332" s="73"/>
      <c r="H1332" s="73"/>
      <c r="I1332" s="73"/>
      <c r="J1332" s="73"/>
      <c r="K1332" s="73"/>
      <c r="L1332" s="73"/>
      <c r="M1332" s="73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9"/>
    </row>
    <row r="1333">
      <c r="A1333" s="10">
        <v>2.2201465E7</v>
      </c>
      <c r="B1333" s="10" t="s">
        <v>2750</v>
      </c>
      <c r="C1333" s="13" t="s">
        <v>2673</v>
      </c>
      <c r="D1333" s="10" t="s">
        <v>45</v>
      </c>
      <c r="E1333" s="13"/>
      <c r="F1333" s="10" t="s">
        <v>2751</v>
      </c>
      <c r="G1333" s="74"/>
      <c r="H1333" s="74"/>
      <c r="I1333" s="74"/>
      <c r="J1333" s="74"/>
      <c r="K1333" s="74"/>
      <c r="L1333" s="74"/>
      <c r="M1333" s="74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9"/>
    </row>
    <row r="1334">
      <c r="A1334" s="5">
        <v>2.4101175E7</v>
      </c>
      <c r="B1334" s="5" t="s">
        <v>2752</v>
      </c>
      <c r="C1334" s="14" t="s">
        <v>2673</v>
      </c>
      <c r="D1334" s="5" t="s">
        <v>45</v>
      </c>
      <c r="E1334" s="14"/>
      <c r="F1334" s="5" t="s">
        <v>2753</v>
      </c>
      <c r="G1334" s="73"/>
      <c r="H1334" s="73"/>
      <c r="I1334" s="73"/>
      <c r="J1334" s="73"/>
      <c r="K1334" s="73"/>
      <c r="L1334" s="73"/>
      <c r="M1334" s="73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9"/>
    </row>
    <row r="1335">
      <c r="A1335" s="10">
        <v>2.4241029E7</v>
      </c>
      <c r="B1335" s="10" t="s">
        <v>2754</v>
      </c>
      <c r="C1335" s="13" t="s">
        <v>2673</v>
      </c>
      <c r="D1335" s="10" t="s">
        <v>45</v>
      </c>
      <c r="E1335" s="13"/>
      <c r="F1335" s="10" t="s">
        <v>2755</v>
      </c>
      <c r="G1335" s="74"/>
      <c r="H1335" s="74"/>
      <c r="I1335" s="74"/>
      <c r="J1335" s="74"/>
      <c r="K1335" s="74"/>
      <c r="L1335" s="74"/>
      <c r="M1335" s="74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9"/>
    </row>
    <row r="1336">
      <c r="A1336" s="5">
        <v>1.000054082E9</v>
      </c>
      <c r="B1336" s="5" t="s">
        <v>2756</v>
      </c>
      <c r="C1336" s="5" t="s">
        <v>2673</v>
      </c>
      <c r="D1336" s="5" t="s">
        <v>45</v>
      </c>
      <c r="E1336" s="46"/>
      <c r="F1336" s="5" t="s">
        <v>2757</v>
      </c>
      <c r="G1336" s="73"/>
      <c r="H1336" s="73"/>
      <c r="I1336" s="73"/>
      <c r="J1336" s="73"/>
      <c r="K1336" s="73"/>
      <c r="L1336" s="73"/>
      <c r="M1336" s="73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9"/>
    </row>
    <row r="1337">
      <c r="A1337" s="10">
        <v>2.4101504E7</v>
      </c>
      <c r="B1337" s="10" t="s">
        <v>2758</v>
      </c>
      <c r="C1337" s="10" t="s">
        <v>2673</v>
      </c>
      <c r="D1337" s="10" t="s">
        <v>45</v>
      </c>
      <c r="E1337" s="13"/>
      <c r="F1337" s="10" t="s">
        <v>2759</v>
      </c>
      <c r="G1337" s="74"/>
      <c r="H1337" s="74"/>
      <c r="I1337" s="74"/>
      <c r="J1337" s="74"/>
      <c r="K1337" s="74"/>
      <c r="L1337" s="74"/>
      <c r="M1337" s="74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9"/>
    </row>
    <row r="1338">
      <c r="A1338" s="5">
        <v>2.3101265E7</v>
      </c>
      <c r="B1338" s="5" t="s">
        <v>2760</v>
      </c>
      <c r="C1338" s="5" t="s">
        <v>2673</v>
      </c>
      <c r="D1338" s="5" t="s">
        <v>95</v>
      </c>
      <c r="E1338" s="14"/>
      <c r="F1338" s="5" t="s">
        <v>2761</v>
      </c>
      <c r="G1338" s="73"/>
      <c r="H1338" s="73"/>
      <c r="I1338" s="73"/>
      <c r="J1338" s="73"/>
      <c r="K1338" s="73"/>
      <c r="L1338" s="73"/>
      <c r="M1338" s="73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9"/>
    </row>
    <row r="1339">
      <c r="A1339" s="10">
        <v>2.4101638E7</v>
      </c>
      <c r="B1339" s="10" t="s">
        <v>2762</v>
      </c>
      <c r="C1339" s="10" t="s">
        <v>2673</v>
      </c>
      <c r="D1339" s="10" t="s">
        <v>95</v>
      </c>
      <c r="E1339" s="45"/>
      <c r="F1339" s="10" t="s">
        <v>2763</v>
      </c>
      <c r="G1339" s="74"/>
      <c r="H1339" s="74"/>
      <c r="I1339" s="74"/>
      <c r="J1339" s="74"/>
      <c r="K1339" s="74"/>
      <c r="L1339" s="74"/>
      <c r="M1339" s="74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9"/>
    </row>
    <row r="1340">
      <c r="A1340" s="5">
        <v>2.4141021E7</v>
      </c>
      <c r="B1340" s="5" t="s">
        <v>2764</v>
      </c>
      <c r="C1340" s="5" t="s">
        <v>2673</v>
      </c>
      <c r="D1340" s="5" t="s">
        <v>95</v>
      </c>
      <c r="E1340" s="14"/>
      <c r="F1340" s="5" t="s">
        <v>2765</v>
      </c>
      <c r="G1340" s="73"/>
      <c r="H1340" s="73"/>
      <c r="I1340" s="73"/>
      <c r="J1340" s="73"/>
      <c r="K1340" s="73"/>
      <c r="L1340" s="73"/>
      <c r="M1340" s="73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9"/>
    </row>
    <row r="1341">
      <c r="A1341" s="10">
        <v>2.2201423E7</v>
      </c>
      <c r="B1341" s="10" t="s">
        <v>2766</v>
      </c>
      <c r="C1341" s="10" t="s">
        <v>2673</v>
      </c>
      <c r="D1341" s="10" t="s">
        <v>95</v>
      </c>
      <c r="E1341" s="45"/>
      <c r="F1341" s="10" t="s">
        <v>2767</v>
      </c>
      <c r="G1341" s="74"/>
      <c r="H1341" s="74"/>
      <c r="I1341" s="74"/>
      <c r="J1341" s="74"/>
      <c r="K1341" s="74"/>
      <c r="L1341" s="74"/>
      <c r="M1341" s="74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9"/>
    </row>
    <row r="1342">
      <c r="A1342" s="5">
        <v>2.4101636E7</v>
      </c>
      <c r="B1342" s="5" t="s">
        <v>2768</v>
      </c>
      <c r="C1342" s="5" t="s">
        <v>2673</v>
      </c>
      <c r="D1342" s="5" t="s">
        <v>95</v>
      </c>
      <c r="E1342" s="46"/>
      <c r="F1342" s="5" t="s">
        <v>2730</v>
      </c>
      <c r="G1342" s="73"/>
      <c r="H1342" s="73"/>
      <c r="I1342" s="73"/>
      <c r="J1342" s="73"/>
      <c r="K1342" s="73"/>
      <c r="L1342" s="73"/>
      <c r="M1342" s="73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9"/>
    </row>
    <row r="1343">
      <c r="A1343" s="10">
        <v>2.0</v>
      </c>
      <c r="B1343" s="10" t="s">
        <v>2769</v>
      </c>
      <c r="C1343" s="10" t="s">
        <v>2673</v>
      </c>
      <c r="D1343" s="10" t="s">
        <v>95</v>
      </c>
      <c r="E1343" s="45"/>
      <c r="F1343" s="10" t="s">
        <v>2730</v>
      </c>
      <c r="G1343" s="74"/>
      <c r="H1343" s="74"/>
      <c r="I1343" s="74"/>
      <c r="J1343" s="74"/>
      <c r="K1343" s="74"/>
      <c r="L1343" s="74"/>
      <c r="M1343" s="74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9"/>
    </row>
    <row r="1344">
      <c r="A1344" s="5">
        <v>2.410149E7</v>
      </c>
      <c r="B1344" s="5" t="s">
        <v>2770</v>
      </c>
      <c r="C1344" s="14" t="s">
        <v>2673</v>
      </c>
      <c r="D1344" s="5" t="s">
        <v>95</v>
      </c>
      <c r="E1344" s="14"/>
      <c r="F1344" s="5" t="s">
        <v>2771</v>
      </c>
      <c r="G1344" s="73"/>
      <c r="H1344" s="73"/>
      <c r="I1344" s="73"/>
      <c r="J1344" s="73"/>
      <c r="K1344" s="73"/>
      <c r="L1344" s="73"/>
      <c r="M1344" s="73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9"/>
    </row>
    <row r="1345">
      <c r="A1345" s="10">
        <v>2.4321239E7</v>
      </c>
      <c r="B1345" s="10" t="s">
        <v>2772</v>
      </c>
      <c r="C1345" s="13" t="s">
        <v>2673</v>
      </c>
      <c r="D1345" s="10" t="s">
        <v>95</v>
      </c>
      <c r="E1345" s="13"/>
      <c r="F1345" s="10" t="s">
        <v>2773</v>
      </c>
      <c r="G1345" s="74"/>
      <c r="H1345" s="74"/>
      <c r="I1345" s="74"/>
      <c r="J1345" s="74"/>
      <c r="K1345" s="74"/>
      <c r="L1345" s="74"/>
      <c r="M1345" s="74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9"/>
    </row>
    <row r="1346">
      <c r="A1346" s="5">
        <v>2.4101165E7</v>
      </c>
      <c r="B1346" s="5" t="s">
        <v>2774</v>
      </c>
      <c r="C1346" s="14" t="s">
        <v>2673</v>
      </c>
      <c r="D1346" s="5" t="s">
        <v>95</v>
      </c>
      <c r="E1346" s="14"/>
      <c r="F1346" s="5" t="s">
        <v>2775</v>
      </c>
      <c r="G1346" s="73"/>
      <c r="H1346" s="73"/>
      <c r="I1346" s="73"/>
      <c r="J1346" s="73"/>
      <c r="K1346" s="73"/>
      <c r="L1346" s="73"/>
      <c r="M1346" s="73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9"/>
    </row>
    <row r="1347">
      <c r="A1347" s="88">
        <v>2.4301538E7</v>
      </c>
      <c r="B1347" s="89" t="s">
        <v>2776</v>
      </c>
      <c r="C1347" s="89" t="s">
        <v>2673</v>
      </c>
      <c r="D1347" s="90" t="s">
        <v>95</v>
      </c>
      <c r="E1347" s="91"/>
      <c r="F1347" s="90" t="s">
        <v>2777</v>
      </c>
      <c r="G1347" s="74"/>
      <c r="H1347" s="74"/>
      <c r="I1347" s="74"/>
      <c r="J1347" s="74"/>
      <c r="K1347" s="74"/>
      <c r="L1347" s="74"/>
      <c r="M1347" s="74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9"/>
    </row>
    <row r="1348">
      <c r="A1348" s="92">
        <v>2.3101314E7</v>
      </c>
      <c r="B1348" s="93" t="s">
        <v>2778</v>
      </c>
      <c r="C1348" s="93" t="s">
        <v>2673</v>
      </c>
      <c r="D1348" s="94" t="s">
        <v>95</v>
      </c>
      <c r="E1348" s="95"/>
      <c r="F1348" s="94" t="s">
        <v>2779</v>
      </c>
      <c r="G1348" s="73"/>
      <c r="H1348" s="73"/>
      <c r="I1348" s="73"/>
      <c r="J1348" s="73"/>
      <c r="K1348" s="73"/>
      <c r="L1348" s="73"/>
      <c r="M1348" s="73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9"/>
    </row>
    <row r="1349">
      <c r="A1349" s="88">
        <v>2.4101346E7</v>
      </c>
      <c r="B1349" s="89" t="s">
        <v>2780</v>
      </c>
      <c r="C1349" s="89" t="s">
        <v>2673</v>
      </c>
      <c r="D1349" s="90" t="s">
        <v>95</v>
      </c>
      <c r="E1349" s="96"/>
      <c r="F1349" s="90" t="s">
        <v>2781</v>
      </c>
      <c r="G1349" s="74"/>
      <c r="H1349" s="74"/>
      <c r="I1349" s="74"/>
      <c r="J1349" s="74"/>
      <c r="K1349" s="74"/>
      <c r="L1349" s="74"/>
      <c r="M1349" s="74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9"/>
    </row>
    <row r="1350">
      <c r="A1350" s="92">
        <v>2.43015E7</v>
      </c>
      <c r="B1350" s="93" t="s">
        <v>2782</v>
      </c>
      <c r="C1350" s="93" t="s">
        <v>2673</v>
      </c>
      <c r="D1350" s="94" t="s">
        <v>95</v>
      </c>
      <c r="E1350" s="95"/>
      <c r="F1350" s="94" t="s">
        <v>2783</v>
      </c>
      <c r="G1350" s="73"/>
      <c r="H1350" s="73"/>
      <c r="I1350" s="73"/>
      <c r="J1350" s="73"/>
      <c r="K1350" s="73"/>
      <c r="L1350" s="73"/>
      <c r="M1350" s="73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9"/>
    </row>
    <row r="1351">
      <c r="A1351" s="88">
        <v>2.4301062E7</v>
      </c>
      <c r="B1351" s="89" t="s">
        <v>2784</v>
      </c>
      <c r="C1351" s="89" t="s">
        <v>2673</v>
      </c>
      <c r="D1351" s="90" t="s">
        <v>95</v>
      </c>
      <c r="E1351" s="91"/>
      <c r="F1351" s="90" t="s">
        <v>2785</v>
      </c>
      <c r="G1351" s="74"/>
      <c r="H1351" s="74"/>
      <c r="I1351" s="74"/>
      <c r="J1351" s="74"/>
      <c r="K1351" s="74"/>
      <c r="L1351" s="74"/>
      <c r="M1351" s="74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9"/>
    </row>
    <row r="1352">
      <c r="A1352" s="92">
        <v>2.4301295E7</v>
      </c>
      <c r="B1352" s="93" t="s">
        <v>2786</v>
      </c>
      <c r="C1352" s="93" t="s">
        <v>2673</v>
      </c>
      <c r="D1352" s="94" t="s">
        <v>95</v>
      </c>
      <c r="E1352" s="95"/>
      <c r="F1352" s="94" t="s">
        <v>2787</v>
      </c>
      <c r="G1352" s="73"/>
      <c r="H1352" s="73"/>
      <c r="I1352" s="73"/>
      <c r="J1352" s="73"/>
      <c r="K1352" s="73"/>
      <c r="L1352" s="73"/>
      <c r="M1352" s="73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9"/>
    </row>
    <row r="1353">
      <c r="A1353" s="88">
        <v>2.4341017E7</v>
      </c>
      <c r="B1353" s="89" t="s">
        <v>2788</v>
      </c>
      <c r="C1353" s="89" t="s">
        <v>2673</v>
      </c>
      <c r="D1353" s="90" t="s">
        <v>95</v>
      </c>
      <c r="E1353" s="91"/>
      <c r="F1353" s="90" t="s">
        <v>2789</v>
      </c>
      <c r="G1353" s="74"/>
      <c r="H1353" s="74"/>
      <c r="I1353" s="74"/>
      <c r="J1353" s="74"/>
      <c r="K1353" s="74"/>
      <c r="L1353" s="74"/>
      <c r="M1353" s="74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9"/>
    </row>
    <row r="1354">
      <c r="A1354" s="92">
        <v>2.2141021E7</v>
      </c>
      <c r="B1354" s="93" t="s">
        <v>2790</v>
      </c>
      <c r="C1354" s="93" t="s">
        <v>2673</v>
      </c>
      <c r="D1354" s="94" t="s">
        <v>95</v>
      </c>
      <c r="E1354" s="95"/>
      <c r="F1354" s="94" t="s">
        <v>2791</v>
      </c>
      <c r="G1354" s="73"/>
      <c r="H1354" s="73"/>
      <c r="I1354" s="73"/>
      <c r="J1354" s="73"/>
      <c r="K1354" s="73"/>
      <c r="L1354" s="73"/>
      <c r="M1354" s="73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9"/>
    </row>
    <row r="1355">
      <c r="A1355" s="36">
        <v>2.3101302E7</v>
      </c>
      <c r="B1355" s="36" t="s">
        <v>2792</v>
      </c>
      <c r="C1355" s="36" t="s">
        <v>2673</v>
      </c>
      <c r="D1355" s="36" t="s">
        <v>95</v>
      </c>
      <c r="E1355" s="97"/>
      <c r="F1355" s="36" t="s">
        <v>2793</v>
      </c>
      <c r="G1355" s="74"/>
      <c r="H1355" s="74"/>
      <c r="I1355" s="74"/>
      <c r="J1355" s="74"/>
      <c r="K1355" s="74"/>
      <c r="L1355" s="74"/>
      <c r="M1355" s="74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9"/>
    </row>
    <row r="1356">
      <c r="A1356" s="35">
        <v>2.4301431E7</v>
      </c>
      <c r="B1356" s="35" t="s">
        <v>2794</v>
      </c>
      <c r="C1356" s="35" t="s">
        <v>2673</v>
      </c>
      <c r="D1356" s="35" t="s">
        <v>95</v>
      </c>
      <c r="E1356" s="98"/>
      <c r="F1356" s="35" t="s">
        <v>2795</v>
      </c>
      <c r="G1356" s="73"/>
      <c r="H1356" s="73"/>
      <c r="I1356" s="73"/>
      <c r="J1356" s="73"/>
      <c r="K1356" s="73"/>
      <c r="L1356" s="73"/>
      <c r="M1356" s="73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9"/>
    </row>
    <row r="1357">
      <c r="A1357" s="36">
        <v>2.4241098E7</v>
      </c>
      <c r="B1357" s="36" t="s">
        <v>2796</v>
      </c>
      <c r="C1357" s="36" t="s">
        <v>2673</v>
      </c>
      <c r="D1357" s="36" t="s">
        <v>95</v>
      </c>
      <c r="E1357" s="97"/>
      <c r="F1357" s="36" t="s">
        <v>2797</v>
      </c>
      <c r="G1357" s="74"/>
      <c r="H1357" s="74"/>
      <c r="I1357" s="74"/>
      <c r="J1357" s="74"/>
      <c r="K1357" s="74"/>
      <c r="L1357" s="74"/>
      <c r="M1357" s="74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9"/>
    </row>
    <row r="1358">
      <c r="A1358" s="35">
        <v>2.430153E7</v>
      </c>
      <c r="B1358" s="35" t="s">
        <v>2798</v>
      </c>
      <c r="C1358" s="35" t="s">
        <v>2673</v>
      </c>
      <c r="D1358" s="35" t="s">
        <v>95</v>
      </c>
      <c r="E1358" s="98"/>
      <c r="F1358" s="35" t="s">
        <v>2799</v>
      </c>
      <c r="G1358" s="73"/>
      <c r="H1358" s="73"/>
      <c r="I1358" s="73"/>
      <c r="J1358" s="73"/>
      <c r="K1358" s="73"/>
      <c r="L1358" s="73"/>
      <c r="M1358" s="73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9"/>
    </row>
    <row r="1359">
      <c r="A1359" s="36">
        <v>2.330141E7</v>
      </c>
      <c r="B1359" s="36" t="s">
        <v>2800</v>
      </c>
      <c r="C1359" s="36" t="s">
        <v>2673</v>
      </c>
      <c r="D1359" s="36" t="s">
        <v>95</v>
      </c>
      <c r="E1359" s="97"/>
      <c r="F1359" s="36" t="s">
        <v>2801</v>
      </c>
      <c r="G1359" s="74"/>
      <c r="H1359" s="74"/>
      <c r="I1359" s="74"/>
      <c r="J1359" s="74"/>
      <c r="K1359" s="74"/>
      <c r="L1359" s="74"/>
      <c r="M1359" s="74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9"/>
    </row>
    <row r="1360">
      <c r="A1360" s="35">
        <v>2.4301039E7</v>
      </c>
      <c r="B1360" s="35" t="s">
        <v>2802</v>
      </c>
      <c r="C1360" s="35" t="s">
        <v>2673</v>
      </c>
      <c r="D1360" s="35" t="s">
        <v>95</v>
      </c>
      <c r="E1360" s="98"/>
      <c r="F1360" s="35" t="s">
        <v>2803</v>
      </c>
      <c r="G1360" s="73"/>
      <c r="H1360" s="73"/>
      <c r="I1360" s="73"/>
      <c r="J1360" s="73"/>
      <c r="K1360" s="73"/>
      <c r="L1360" s="73"/>
      <c r="M1360" s="73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9"/>
    </row>
    <row r="1361">
      <c r="A1361" s="36">
        <v>2.430125E7</v>
      </c>
      <c r="B1361" s="36" t="s">
        <v>2804</v>
      </c>
      <c r="C1361" s="36" t="s">
        <v>2673</v>
      </c>
      <c r="D1361" s="36" t="s">
        <v>95</v>
      </c>
      <c r="E1361" s="97"/>
      <c r="F1361" s="36" t="s">
        <v>2805</v>
      </c>
      <c r="G1361" s="74"/>
      <c r="H1361" s="74"/>
      <c r="I1361" s="74"/>
      <c r="J1361" s="74"/>
      <c r="K1361" s="74"/>
      <c r="L1361" s="74"/>
      <c r="M1361" s="74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9"/>
    </row>
    <row r="1362">
      <c r="A1362" s="35">
        <v>2.4301301E7</v>
      </c>
      <c r="B1362" s="35" t="s">
        <v>2806</v>
      </c>
      <c r="C1362" s="35" t="s">
        <v>2673</v>
      </c>
      <c r="D1362" s="35" t="s">
        <v>95</v>
      </c>
      <c r="E1362" s="98"/>
      <c r="F1362" s="35" t="s">
        <v>2807</v>
      </c>
      <c r="G1362" s="73"/>
      <c r="H1362" s="73"/>
      <c r="I1362" s="73"/>
      <c r="J1362" s="73"/>
      <c r="K1362" s="73"/>
      <c r="L1362" s="73"/>
      <c r="M1362" s="73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9"/>
    </row>
    <row r="1363">
      <c r="A1363" s="36">
        <v>2.4211002E7</v>
      </c>
      <c r="B1363" s="36" t="s">
        <v>2808</v>
      </c>
      <c r="C1363" s="36" t="s">
        <v>2673</v>
      </c>
      <c r="D1363" s="36" t="s">
        <v>95</v>
      </c>
      <c r="E1363" s="97"/>
      <c r="F1363" s="36" t="s">
        <v>2809</v>
      </c>
      <c r="G1363" s="74"/>
      <c r="H1363" s="74"/>
      <c r="I1363" s="74"/>
      <c r="J1363" s="74"/>
      <c r="K1363" s="74"/>
      <c r="L1363" s="74"/>
      <c r="M1363" s="74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9"/>
    </row>
    <row r="1364">
      <c r="A1364" s="35">
        <v>2.4201275E7</v>
      </c>
      <c r="B1364" s="35" t="s">
        <v>2810</v>
      </c>
      <c r="C1364" s="35" t="s">
        <v>2673</v>
      </c>
      <c r="D1364" s="35" t="s">
        <v>95</v>
      </c>
      <c r="E1364" s="98"/>
      <c r="F1364" s="35" t="s">
        <v>2811</v>
      </c>
      <c r="G1364" s="73"/>
      <c r="H1364" s="73"/>
      <c r="I1364" s="73"/>
      <c r="J1364" s="73"/>
      <c r="K1364" s="73"/>
      <c r="L1364" s="73"/>
      <c r="M1364" s="73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9"/>
    </row>
    <row r="1365">
      <c r="A1365" s="36">
        <v>2.4101567E7</v>
      </c>
      <c r="B1365" s="36" t="s">
        <v>2812</v>
      </c>
      <c r="C1365" s="36" t="s">
        <v>2673</v>
      </c>
      <c r="D1365" s="36" t="s">
        <v>95</v>
      </c>
      <c r="E1365" s="97"/>
      <c r="F1365" s="36" t="s">
        <v>2813</v>
      </c>
      <c r="G1365" s="74"/>
      <c r="H1365" s="74"/>
      <c r="I1365" s="74"/>
      <c r="J1365" s="74"/>
      <c r="K1365" s="74"/>
      <c r="L1365" s="74"/>
      <c r="M1365" s="74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9"/>
    </row>
    <row r="1366">
      <c r="A1366" s="35">
        <v>2.4201346E7</v>
      </c>
      <c r="B1366" s="35" t="s">
        <v>2814</v>
      </c>
      <c r="C1366" s="35" t="s">
        <v>2673</v>
      </c>
      <c r="D1366" s="35" t="s">
        <v>95</v>
      </c>
      <c r="E1366" s="98"/>
      <c r="F1366" s="35" t="s">
        <v>2815</v>
      </c>
      <c r="G1366" s="73"/>
      <c r="H1366" s="73"/>
      <c r="I1366" s="73"/>
      <c r="J1366" s="73"/>
      <c r="K1366" s="73"/>
      <c r="L1366" s="73"/>
      <c r="M1366" s="73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9"/>
    </row>
    <row r="1367">
      <c r="A1367" s="36">
        <v>2.4201426E7</v>
      </c>
      <c r="B1367" s="36" t="s">
        <v>2816</v>
      </c>
      <c r="C1367" s="36" t="s">
        <v>2673</v>
      </c>
      <c r="D1367" s="36" t="s">
        <v>95</v>
      </c>
      <c r="E1367" s="97"/>
      <c r="F1367" s="36" t="s">
        <v>2817</v>
      </c>
      <c r="G1367" s="74"/>
      <c r="H1367" s="74"/>
      <c r="I1367" s="74"/>
      <c r="J1367" s="74"/>
      <c r="K1367" s="74"/>
      <c r="L1367" s="74"/>
      <c r="M1367" s="74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9"/>
    </row>
    <row r="1368">
      <c r="A1368" s="35">
        <v>2.3101527E7</v>
      </c>
      <c r="B1368" s="35" t="s">
        <v>2818</v>
      </c>
      <c r="C1368" s="35" t="s">
        <v>2673</v>
      </c>
      <c r="D1368" s="35" t="s">
        <v>95</v>
      </c>
      <c r="E1368" s="98"/>
      <c r="F1368" s="35" t="s">
        <v>2819</v>
      </c>
      <c r="G1368" s="73"/>
      <c r="H1368" s="73"/>
      <c r="I1368" s="73"/>
      <c r="J1368" s="73"/>
      <c r="K1368" s="73"/>
      <c r="L1368" s="73"/>
      <c r="M1368" s="73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9"/>
    </row>
    <row r="1369">
      <c r="A1369" s="36">
        <v>2.3201089E7</v>
      </c>
      <c r="B1369" s="36" t="s">
        <v>2820</v>
      </c>
      <c r="C1369" s="36" t="s">
        <v>2673</v>
      </c>
      <c r="D1369" s="36" t="s">
        <v>95</v>
      </c>
      <c r="E1369" s="97"/>
      <c r="F1369" s="36" t="s">
        <v>2821</v>
      </c>
      <c r="G1369" s="74"/>
      <c r="H1369" s="74"/>
      <c r="I1369" s="74"/>
      <c r="J1369" s="74"/>
      <c r="K1369" s="74"/>
      <c r="L1369" s="74"/>
      <c r="M1369" s="74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9"/>
    </row>
    <row r="1370">
      <c r="A1370" s="35">
        <v>2.3201229E7</v>
      </c>
      <c r="B1370" s="35" t="s">
        <v>2822</v>
      </c>
      <c r="C1370" s="35" t="s">
        <v>2673</v>
      </c>
      <c r="D1370" s="35" t="s">
        <v>95</v>
      </c>
      <c r="E1370" s="98"/>
      <c r="F1370" s="35" t="s">
        <v>2823</v>
      </c>
      <c r="G1370" s="73"/>
      <c r="H1370" s="73"/>
      <c r="I1370" s="73"/>
      <c r="J1370" s="73"/>
      <c r="K1370" s="73"/>
      <c r="L1370" s="73"/>
      <c r="M1370" s="73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9"/>
    </row>
    <row r="1371">
      <c r="A1371" s="36">
        <v>2.3201318E7</v>
      </c>
      <c r="B1371" s="36" t="s">
        <v>2824</v>
      </c>
      <c r="C1371" s="36" t="s">
        <v>2673</v>
      </c>
      <c r="D1371" s="36" t="s">
        <v>95</v>
      </c>
      <c r="E1371" s="97"/>
      <c r="F1371" s="36" t="s">
        <v>2825</v>
      </c>
      <c r="G1371" s="74"/>
      <c r="H1371" s="74"/>
      <c r="I1371" s="74"/>
      <c r="J1371" s="74"/>
      <c r="K1371" s="74"/>
      <c r="L1371" s="74"/>
      <c r="M1371" s="74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9"/>
    </row>
    <row r="1372">
      <c r="A1372" s="35">
        <v>2.3201618E7</v>
      </c>
      <c r="B1372" s="35" t="s">
        <v>2826</v>
      </c>
      <c r="C1372" s="35" t="s">
        <v>2673</v>
      </c>
      <c r="D1372" s="35" t="s">
        <v>95</v>
      </c>
      <c r="E1372" s="98"/>
      <c r="F1372" s="35" t="s">
        <v>2827</v>
      </c>
      <c r="G1372" s="73"/>
      <c r="H1372" s="73"/>
      <c r="I1372" s="73"/>
      <c r="J1372" s="73"/>
      <c r="K1372" s="73"/>
      <c r="L1372" s="73"/>
      <c r="M1372" s="73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9"/>
    </row>
    <row r="1373">
      <c r="A1373" s="36">
        <v>2.3201671E7</v>
      </c>
      <c r="B1373" s="36" t="s">
        <v>2828</v>
      </c>
      <c r="C1373" s="36" t="s">
        <v>2673</v>
      </c>
      <c r="D1373" s="36" t="s">
        <v>95</v>
      </c>
      <c r="E1373" s="97"/>
      <c r="F1373" s="36" t="s">
        <v>2829</v>
      </c>
      <c r="G1373" s="74"/>
      <c r="H1373" s="74"/>
      <c r="I1373" s="74"/>
      <c r="J1373" s="74"/>
      <c r="K1373" s="74"/>
      <c r="L1373" s="74"/>
      <c r="M1373" s="74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9"/>
    </row>
    <row r="1374">
      <c r="A1374" s="35">
        <v>2.330135E7</v>
      </c>
      <c r="B1374" s="35" t="s">
        <v>2830</v>
      </c>
      <c r="C1374" s="35" t="s">
        <v>2673</v>
      </c>
      <c r="D1374" s="35" t="s">
        <v>95</v>
      </c>
      <c r="E1374" s="98"/>
      <c r="F1374" s="35" t="s">
        <v>2831</v>
      </c>
      <c r="G1374" s="73"/>
      <c r="H1374" s="73"/>
      <c r="I1374" s="73"/>
      <c r="J1374" s="73"/>
      <c r="K1374" s="73"/>
      <c r="L1374" s="73"/>
      <c r="M1374" s="73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9"/>
    </row>
    <row r="1375">
      <c r="A1375" s="36">
        <v>2.4101225E7</v>
      </c>
      <c r="B1375" s="36" t="s">
        <v>2832</v>
      </c>
      <c r="C1375" s="36" t="s">
        <v>2673</v>
      </c>
      <c r="D1375" s="36" t="s">
        <v>95</v>
      </c>
      <c r="E1375" s="97"/>
      <c r="F1375" s="36" t="s">
        <v>2833</v>
      </c>
      <c r="G1375" s="74"/>
      <c r="H1375" s="74"/>
      <c r="I1375" s="74"/>
      <c r="J1375" s="74"/>
      <c r="K1375" s="74"/>
      <c r="L1375" s="74"/>
      <c r="M1375" s="74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9"/>
    </row>
    <row r="1376">
      <c r="A1376" s="35">
        <v>2.4101279E7</v>
      </c>
      <c r="B1376" s="35" t="s">
        <v>2834</v>
      </c>
      <c r="C1376" s="35" t="s">
        <v>2673</v>
      </c>
      <c r="D1376" s="35" t="s">
        <v>95</v>
      </c>
      <c r="E1376" s="98"/>
      <c r="F1376" s="35" t="s">
        <v>2835</v>
      </c>
      <c r="G1376" s="73"/>
      <c r="H1376" s="73"/>
      <c r="I1376" s="73"/>
      <c r="J1376" s="73"/>
      <c r="K1376" s="73"/>
      <c r="L1376" s="73"/>
      <c r="M1376" s="73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9"/>
    </row>
    <row r="1377">
      <c r="A1377" s="36">
        <v>2.4121043E7</v>
      </c>
      <c r="B1377" s="36" t="s">
        <v>2836</v>
      </c>
      <c r="C1377" s="36" t="s">
        <v>2673</v>
      </c>
      <c r="D1377" s="36" t="s">
        <v>95</v>
      </c>
      <c r="E1377" s="97"/>
      <c r="F1377" s="36" t="s">
        <v>2837</v>
      </c>
      <c r="G1377" s="74"/>
      <c r="H1377" s="74"/>
      <c r="I1377" s="74"/>
      <c r="J1377" s="74"/>
      <c r="K1377" s="74"/>
      <c r="L1377" s="74"/>
      <c r="M1377" s="74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9"/>
    </row>
    <row r="1378">
      <c r="A1378" s="35">
        <v>2.4201102E7</v>
      </c>
      <c r="B1378" s="35" t="s">
        <v>2838</v>
      </c>
      <c r="C1378" s="35" t="s">
        <v>2673</v>
      </c>
      <c r="D1378" s="35" t="s">
        <v>95</v>
      </c>
      <c r="E1378" s="98"/>
      <c r="F1378" s="35" t="s">
        <v>2839</v>
      </c>
      <c r="G1378" s="73"/>
      <c r="H1378" s="73"/>
      <c r="I1378" s="73"/>
      <c r="J1378" s="73"/>
      <c r="K1378" s="73"/>
      <c r="L1378" s="73"/>
      <c r="M1378" s="73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9"/>
    </row>
    <row r="1379">
      <c r="A1379" s="36">
        <v>2.4201151E7</v>
      </c>
      <c r="B1379" s="36" t="s">
        <v>2840</v>
      </c>
      <c r="C1379" s="36" t="s">
        <v>2673</v>
      </c>
      <c r="D1379" s="36" t="s">
        <v>95</v>
      </c>
      <c r="E1379" s="97"/>
      <c r="F1379" s="36" t="s">
        <v>2841</v>
      </c>
      <c r="G1379" s="74"/>
      <c r="H1379" s="74"/>
      <c r="I1379" s="74"/>
      <c r="J1379" s="74"/>
      <c r="K1379" s="74"/>
      <c r="L1379" s="74"/>
      <c r="M1379" s="74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9"/>
    </row>
    <row r="1380">
      <c r="A1380" s="35">
        <v>2.4201263E7</v>
      </c>
      <c r="B1380" s="35" t="s">
        <v>2842</v>
      </c>
      <c r="C1380" s="35" t="s">
        <v>2673</v>
      </c>
      <c r="D1380" s="35" t="s">
        <v>95</v>
      </c>
      <c r="E1380" s="98"/>
      <c r="F1380" s="35" t="s">
        <v>2843</v>
      </c>
      <c r="G1380" s="73"/>
      <c r="H1380" s="73"/>
      <c r="I1380" s="73"/>
      <c r="J1380" s="73"/>
      <c r="K1380" s="73"/>
      <c r="L1380" s="73"/>
      <c r="M1380" s="73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9"/>
    </row>
    <row r="1381">
      <c r="A1381" s="36">
        <v>2.4201367E7</v>
      </c>
      <c r="B1381" s="36" t="s">
        <v>2844</v>
      </c>
      <c r="C1381" s="36" t="s">
        <v>2673</v>
      </c>
      <c r="D1381" s="36" t="s">
        <v>95</v>
      </c>
      <c r="E1381" s="97"/>
      <c r="F1381" s="36" t="s">
        <v>2845</v>
      </c>
      <c r="G1381" s="74"/>
      <c r="H1381" s="74"/>
      <c r="I1381" s="74"/>
      <c r="J1381" s="74"/>
      <c r="K1381" s="74"/>
      <c r="L1381" s="74"/>
      <c r="M1381" s="74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9"/>
    </row>
    <row r="1382">
      <c r="A1382" s="35">
        <v>2.4201374E7</v>
      </c>
      <c r="B1382" s="35" t="s">
        <v>2846</v>
      </c>
      <c r="C1382" s="35" t="s">
        <v>2673</v>
      </c>
      <c r="D1382" s="35" t="s">
        <v>95</v>
      </c>
      <c r="E1382" s="98"/>
      <c r="F1382" s="35" t="s">
        <v>2847</v>
      </c>
      <c r="G1382" s="73"/>
      <c r="H1382" s="73"/>
      <c r="I1382" s="73"/>
      <c r="J1382" s="73"/>
      <c r="K1382" s="73"/>
      <c r="L1382" s="73"/>
      <c r="M1382" s="73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9"/>
    </row>
    <row r="1383">
      <c r="A1383" s="36">
        <v>2.4204199E7</v>
      </c>
      <c r="B1383" s="36" t="s">
        <v>2848</v>
      </c>
      <c r="C1383" s="36" t="s">
        <v>2673</v>
      </c>
      <c r="D1383" s="36" t="s">
        <v>95</v>
      </c>
      <c r="E1383" s="97"/>
      <c r="F1383" s="36" t="s">
        <v>2849</v>
      </c>
      <c r="G1383" s="74"/>
      <c r="H1383" s="74"/>
      <c r="I1383" s="74"/>
      <c r="J1383" s="74"/>
      <c r="K1383" s="74"/>
      <c r="L1383" s="74"/>
      <c r="M1383" s="74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9"/>
    </row>
    <row r="1384">
      <c r="A1384" s="35">
        <v>2.4341232E7</v>
      </c>
      <c r="B1384" s="35" t="s">
        <v>2850</v>
      </c>
      <c r="C1384" s="35" t="s">
        <v>2673</v>
      </c>
      <c r="D1384" s="35" t="s">
        <v>95</v>
      </c>
      <c r="E1384" s="98"/>
      <c r="F1384" s="35" t="s">
        <v>2851</v>
      </c>
      <c r="G1384" s="73"/>
      <c r="H1384" s="73"/>
      <c r="I1384" s="73"/>
      <c r="J1384" s="73"/>
      <c r="K1384" s="73"/>
      <c r="L1384" s="73"/>
      <c r="M1384" s="73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9"/>
    </row>
    <row r="1385">
      <c r="A1385" s="36">
        <v>1.000054024E9</v>
      </c>
      <c r="B1385" s="36" t="s">
        <v>2852</v>
      </c>
      <c r="C1385" s="36" t="s">
        <v>2673</v>
      </c>
      <c r="D1385" s="36" t="s">
        <v>95</v>
      </c>
      <c r="E1385" s="97"/>
      <c r="F1385" s="36" t="s">
        <v>2853</v>
      </c>
      <c r="G1385" s="74"/>
      <c r="H1385" s="74"/>
      <c r="I1385" s="74"/>
      <c r="J1385" s="74"/>
      <c r="K1385" s="74"/>
      <c r="L1385" s="74"/>
      <c r="M1385" s="74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9"/>
    </row>
    <row r="1386">
      <c r="A1386" s="35">
        <v>1.000054261E9</v>
      </c>
      <c r="B1386" s="35" t="s">
        <v>2854</v>
      </c>
      <c r="C1386" s="35" t="s">
        <v>2673</v>
      </c>
      <c r="D1386" s="35" t="s">
        <v>95</v>
      </c>
      <c r="E1386" s="98"/>
      <c r="F1386" s="35" t="s">
        <v>2855</v>
      </c>
      <c r="G1386" s="73"/>
      <c r="H1386" s="73"/>
      <c r="I1386" s="73"/>
      <c r="J1386" s="73"/>
      <c r="K1386" s="73"/>
      <c r="L1386" s="73"/>
      <c r="M1386" s="73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9"/>
    </row>
    <row r="1387">
      <c r="A1387" s="36">
        <v>1.000054396E9</v>
      </c>
      <c r="B1387" s="36" t="s">
        <v>2856</v>
      </c>
      <c r="C1387" s="36" t="s">
        <v>2673</v>
      </c>
      <c r="D1387" s="36" t="s">
        <v>95</v>
      </c>
      <c r="E1387" s="97"/>
      <c r="F1387" s="36" t="s">
        <v>2857</v>
      </c>
      <c r="G1387" s="74"/>
      <c r="H1387" s="74"/>
      <c r="I1387" s="74"/>
      <c r="J1387" s="74"/>
      <c r="K1387" s="74"/>
      <c r="L1387" s="74"/>
      <c r="M1387" s="74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9"/>
    </row>
    <row r="1388">
      <c r="A1388" s="35">
        <v>1.00005442E9</v>
      </c>
      <c r="B1388" s="35" t="s">
        <v>2858</v>
      </c>
      <c r="C1388" s="35" t="s">
        <v>2673</v>
      </c>
      <c r="D1388" s="35" t="s">
        <v>95</v>
      </c>
      <c r="E1388" s="98"/>
      <c r="F1388" s="35" t="s">
        <v>2859</v>
      </c>
      <c r="G1388" s="73"/>
      <c r="H1388" s="73"/>
      <c r="I1388" s="73"/>
      <c r="J1388" s="73"/>
      <c r="K1388" s="73"/>
      <c r="L1388" s="73"/>
      <c r="M1388" s="73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9"/>
    </row>
    <row r="1389">
      <c r="A1389" s="36">
        <v>1.00005527E9</v>
      </c>
      <c r="B1389" s="36" t="s">
        <v>2860</v>
      </c>
      <c r="C1389" s="36" t="s">
        <v>2673</v>
      </c>
      <c r="D1389" s="36" t="s">
        <v>95</v>
      </c>
      <c r="E1389" s="97"/>
      <c r="F1389" s="36" t="s">
        <v>2861</v>
      </c>
      <c r="G1389" s="74"/>
      <c r="H1389" s="74"/>
      <c r="I1389" s="74"/>
      <c r="J1389" s="74"/>
      <c r="K1389" s="74"/>
      <c r="L1389" s="74"/>
      <c r="M1389" s="74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9"/>
    </row>
    <row r="1390">
      <c r="A1390" s="35">
        <v>1.000055418E9</v>
      </c>
      <c r="B1390" s="35" t="s">
        <v>2862</v>
      </c>
      <c r="C1390" s="35" t="s">
        <v>2673</v>
      </c>
      <c r="D1390" s="35" t="s">
        <v>95</v>
      </c>
      <c r="E1390" s="98"/>
      <c r="F1390" s="35" t="s">
        <v>2863</v>
      </c>
      <c r="G1390" s="73"/>
      <c r="H1390" s="73"/>
      <c r="I1390" s="73"/>
      <c r="J1390" s="73"/>
      <c r="K1390" s="73"/>
      <c r="L1390" s="73"/>
      <c r="M1390" s="73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9"/>
    </row>
    <row r="1391">
      <c r="A1391" s="36">
        <v>2.3201463E7</v>
      </c>
      <c r="B1391" s="36" t="s">
        <v>2864</v>
      </c>
      <c r="C1391" s="36" t="s">
        <v>2673</v>
      </c>
      <c r="D1391" s="36" t="s">
        <v>95</v>
      </c>
      <c r="E1391" s="97"/>
      <c r="F1391" s="36" t="s">
        <v>2865</v>
      </c>
      <c r="G1391" s="74"/>
      <c r="H1391" s="74"/>
      <c r="I1391" s="74"/>
      <c r="J1391" s="74"/>
      <c r="K1391" s="74"/>
      <c r="L1391" s="74"/>
      <c r="M1391" s="74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9"/>
    </row>
    <row r="1392">
      <c r="A1392" s="35">
        <v>2.3201465E7</v>
      </c>
      <c r="B1392" s="35" t="s">
        <v>2866</v>
      </c>
      <c r="C1392" s="35" t="s">
        <v>2673</v>
      </c>
      <c r="D1392" s="35" t="s">
        <v>95</v>
      </c>
      <c r="E1392" s="98"/>
      <c r="F1392" s="35" t="s">
        <v>2867</v>
      </c>
      <c r="G1392" s="73"/>
      <c r="H1392" s="73"/>
      <c r="I1392" s="73"/>
      <c r="J1392" s="73"/>
      <c r="K1392" s="73"/>
      <c r="L1392" s="73"/>
      <c r="M1392" s="73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9"/>
    </row>
    <row r="1393">
      <c r="A1393" s="36">
        <v>2.414101E7</v>
      </c>
      <c r="B1393" s="36" t="s">
        <v>2868</v>
      </c>
      <c r="C1393" s="36" t="s">
        <v>2673</v>
      </c>
      <c r="D1393" s="36" t="s">
        <v>95</v>
      </c>
      <c r="E1393" s="97"/>
      <c r="F1393" s="36" t="s">
        <v>2869</v>
      </c>
      <c r="G1393" s="74"/>
      <c r="H1393" s="74"/>
      <c r="I1393" s="74"/>
      <c r="J1393" s="74"/>
      <c r="K1393" s="74"/>
      <c r="L1393" s="74"/>
      <c r="M1393" s="74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9"/>
    </row>
    <row r="1394">
      <c r="A1394" s="35">
        <v>2.4301443E7</v>
      </c>
      <c r="B1394" s="35" t="s">
        <v>2870</v>
      </c>
      <c r="C1394" s="35" t="s">
        <v>2673</v>
      </c>
      <c r="D1394" s="35" t="s">
        <v>95</v>
      </c>
      <c r="E1394" s="98"/>
      <c r="F1394" s="35" t="s">
        <v>2871</v>
      </c>
      <c r="G1394" s="73"/>
      <c r="H1394" s="73"/>
      <c r="I1394" s="73"/>
      <c r="J1394" s="73"/>
      <c r="K1394" s="73"/>
      <c r="L1394" s="73"/>
      <c r="M1394" s="73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9"/>
    </row>
    <row r="1395">
      <c r="A1395" s="36">
        <v>2.4301496E7</v>
      </c>
      <c r="B1395" s="36" t="s">
        <v>2872</v>
      </c>
      <c r="C1395" s="36" t="s">
        <v>2673</v>
      </c>
      <c r="D1395" s="36" t="s">
        <v>95</v>
      </c>
      <c r="E1395" s="97"/>
      <c r="F1395" s="36" t="s">
        <v>2873</v>
      </c>
      <c r="G1395" s="74"/>
      <c r="H1395" s="74"/>
      <c r="I1395" s="74"/>
      <c r="J1395" s="74"/>
      <c r="K1395" s="74"/>
      <c r="L1395" s="74"/>
      <c r="M1395" s="74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9"/>
    </row>
    <row r="1396">
      <c r="A1396" s="35">
        <v>1.000054079E9</v>
      </c>
      <c r="B1396" s="35" t="s">
        <v>2874</v>
      </c>
      <c r="C1396" s="35" t="s">
        <v>2673</v>
      </c>
      <c r="D1396" s="35" t="s">
        <v>95</v>
      </c>
      <c r="E1396" s="98"/>
      <c r="F1396" s="35" t="s">
        <v>2875</v>
      </c>
      <c r="G1396" s="73"/>
      <c r="H1396" s="73"/>
      <c r="I1396" s="73"/>
      <c r="J1396" s="73"/>
      <c r="K1396" s="73"/>
      <c r="L1396" s="73"/>
      <c r="M1396" s="73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9"/>
    </row>
    <row r="1397">
      <c r="A1397" s="36">
        <v>1.000054199E9</v>
      </c>
      <c r="B1397" s="36" t="s">
        <v>2876</v>
      </c>
      <c r="C1397" s="36" t="s">
        <v>2673</v>
      </c>
      <c r="D1397" s="36" t="s">
        <v>95</v>
      </c>
      <c r="E1397" s="97"/>
      <c r="F1397" s="36" t="s">
        <v>2877</v>
      </c>
      <c r="G1397" s="74"/>
      <c r="H1397" s="74"/>
      <c r="I1397" s="74"/>
      <c r="J1397" s="74"/>
      <c r="K1397" s="74"/>
      <c r="L1397" s="74"/>
      <c r="M1397" s="74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9"/>
    </row>
    <row r="1398">
      <c r="A1398" s="35">
        <v>1.000055158E9</v>
      </c>
      <c r="B1398" s="35" t="s">
        <v>2878</v>
      </c>
      <c r="C1398" s="35" t="s">
        <v>2673</v>
      </c>
      <c r="D1398" s="35" t="s">
        <v>95</v>
      </c>
      <c r="E1398" s="98"/>
      <c r="F1398" s="35" t="s">
        <v>2879</v>
      </c>
      <c r="G1398" s="73"/>
      <c r="H1398" s="73"/>
      <c r="I1398" s="73"/>
      <c r="J1398" s="73"/>
      <c r="K1398" s="73"/>
      <c r="L1398" s="73"/>
      <c r="M1398" s="73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9"/>
    </row>
    <row r="1399">
      <c r="A1399" s="36">
        <v>1.000055225E9</v>
      </c>
      <c r="B1399" s="36" t="s">
        <v>2880</v>
      </c>
      <c r="C1399" s="36" t="s">
        <v>2673</v>
      </c>
      <c r="D1399" s="36" t="s">
        <v>95</v>
      </c>
      <c r="E1399" s="97"/>
      <c r="F1399" s="36" t="s">
        <v>2881</v>
      </c>
      <c r="G1399" s="74"/>
      <c r="H1399" s="74"/>
      <c r="I1399" s="74"/>
      <c r="J1399" s="74"/>
      <c r="K1399" s="74"/>
      <c r="L1399" s="74"/>
      <c r="M1399" s="74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9"/>
    </row>
    <row r="1400">
      <c r="A1400" s="35">
        <v>1.000055639E9</v>
      </c>
      <c r="B1400" s="35" t="s">
        <v>2882</v>
      </c>
      <c r="C1400" s="35" t="s">
        <v>2673</v>
      </c>
      <c r="D1400" s="35" t="s">
        <v>95</v>
      </c>
      <c r="E1400" s="98"/>
      <c r="F1400" s="35" t="s">
        <v>2883</v>
      </c>
      <c r="G1400" s="73"/>
      <c r="H1400" s="73"/>
      <c r="I1400" s="73"/>
      <c r="J1400" s="73"/>
      <c r="K1400" s="73"/>
      <c r="L1400" s="73"/>
      <c r="M1400" s="73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9"/>
    </row>
    <row r="1401">
      <c r="A1401" s="36">
        <v>1.000055775E9</v>
      </c>
      <c r="B1401" s="36" t="s">
        <v>2884</v>
      </c>
      <c r="C1401" s="36" t="s">
        <v>2673</v>
      </c>
      <c r="D1401" s="36" t="s">
        <v>95</v>
      </c>
      <c r="E1401" s="97"/>
      <c r="F1401" s="36" t="s">
        <v>2885</v>
      </c>
      <c r="G1401" s="74"/>
      <c r="H1401" s="74"/>
      <c r="I1401" s="74"/>
      <c r="J1401" s="74"/>
      <c r="K1401" s="74"/>
      <c r="L1401" s="74"/>
      <c r="M1401" s="74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9"/>
    </row>
    <row r="1402">
      <c r="A1402" s="35">
        <v>1.00005617E9</v>
      </c>
      <c r="B1402" s="35" t="s">
        <v>419</v>
      </c>
      <c r="C1402" s="35" t="s">
        <v>2673</v>
      </c>
      <c r="D1402" s="35" t="s">
        <v>95</v>
      </c>
      <c r="E1402" s="98"/>
      <c r="F1402" s="35" t="s">
        <v>2886</v>
      </c>
      <c r="G1402" s="73"/>
      <c r="H1402" s="73"/>
      <c r="I1402" s="73"/>
      <c r="J1402" s="73"/>
      <c r="K1402" s="73"/>
      <c r="L1402" s="73"/>
      <c r="M1402" s="73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9"/>
    </row>
    <row r="1403">
      <c r="A1403" s="36">
        <v>1.000057088E9</v>
      </c>
      <c r="B1403" s="36" t="s">
        <v>2887</v>
      </c>
      <c r="C1403" s="36" t="s">
        <v>2673</v>
      </c>
      <c r="D1403" s="36" t="s">
        <v>95</v>
      </c>
      <c r="E1403" s="97"/>
      <c r="F1403" s="36" t="s">
        <v>2888</v>
      </c>
      <c r="G1403" s="74"/>
      <c r="H1403" s="74"/>
      <c r="I1403" s="74"/>
      <c r="J1403" s="74"/>
      <c r="K1403" s="74"/>
      <c r="L1403" s="74"/>
      <c r="M1403" s="74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9"/>
    </row>
    <row r="1404">
      <c r="A1404" s="35">
        <v>1.000057216E9</v>
      </c>
      <c r="B1404" s="35" t="s">
        <v>2889</v>
      </c>
      <c r="C1404" s="35" t="s">
        <v>2673</v>
      </c>
      <c r="D1404" s="35" t="s">
        <v>95</v>
      </c>
      <c r="E1404" s="98"/>
      <c r="F1404" s="35" t="s">
        <v>2890</v>
      </c>
      <c r="G1404" s="73"/>
      <c r="H1404" s="73"/>
      <c r="I1404" s="73"/>
      <c r="J1404" s="73"/>
      <c r="K1404" s="73"/>
      <c r="L1404" s="73"/>
      <c r="M1404" s="73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9"/>
    </row>
    <row r="1405">
      <c r="A1405" s="36">
        <v>2.320105E7</v>
      </c>
      <c r="B1405" s="36" t="s">
        <v>2891</v>
      </c>
      <c r="C1405" s="36" t="s">
        <v>2673</v>
      </c>
      <c r="D1405" s="36" t="s">
        <v>95</v>
      </c>
      <c r="E1405" s="97"/>
      <c r="F1405" s="36" t="s">
        <v>2892</v>
      </c>
      <c r="G1405" s="74"/>
      <c r="H1405" s="74"/>
      <c r="I1405" s="74"/>
      <c r="J1405" s="74"/>
      <c r="K1405" s="74"/>
      <c r="L1405" s="74"/>
      <c r="M1405" s="74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9"/>
    </row>
    <row r="1406">
      <c r="A1406" s="35">
        <v>2.4201287E7</v>
      </c>
      <c r="B1406" s="35" t="s">
        <v>2893</v>
      </c>
      <c r="C1406" s="35" t="s">
        <v>2673</v>
      </c>
      <c r="D1406" s="35" t="s">
        <v>95</v>
      </c>
      <c r="E1406" s="98"/>
      <c r="F1406" s="35" t="s">
        <v>2894</v>
      </c>
      <c r="G1406" s="73"/>
      <c r="H1406" s="73"/>
      <c r="I1406" s="73"/>
      <c r="J1406" s="73"/>
      <c r="K1406" s="73"/>
      <c r="L1406" s="73"/>
      <c r="M1406" s="73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9"/>
    </row>
    <row r="1407">
      <c r="A1407" s="36">
        <v>1.000058038E9</v>
      </c>
      <c r="B1407" s="36" t="s">
        <v>2895</v>
      </c>
      <c r="C1407" s="36" t="s">
        <v>2673</v>
      </c>
      <c r="D1407" s="36" t="s">
        <v>95</v>
      </c>
      <c r="E1407" s="97"/>
      <c r="F1407" s="36" t="s">
        <v>2896</v>
      </c>
      <c r="G1407" s="74"/>
      <c r="H1407" s="74"/>
      <c r="I1407" s="74"/>
      <c r="J1407" s="74"/>
      <c r="K1407" s="74"/>
      <c r="L1407" s="74"/>
      <c r="M1407" s="74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9"/>
    </row>
    <row r="1408">
      <c r="A1408" s="35">
        <v>1.000057618E9</v>
      </c>
      <c r="B1408" s="35" t="s">
        <v>2897</v>
      </c>
      <c r="C1408" s="35" t="s">
        <v>2673</v>
      </c>
      <c r="D1408" s="35" t="s">
        <v>95</v>
      </c>
      <c r="E1408" s="98"/>
      <c r="F1408" s="35" t="s">
        <v>2898</v>
      </c>
      <c r="G1408" s="73"/>
      <c r="H1408" s="73"/>
      <c r="I1408" s="73"/>
      <c r="J1408" s="73"/>
      <c r="K1408" s="73"/>
      <c r="L1408" s="73"/>
      <c r="M1408" s="73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9"/>
    </row>
    <row r="1409">
      <c r="A1409" s="36">
        <v>1.000055698E9</v>
      </c>
      <c r="B1409" s="36" t="s">
        <v>2899</v>
      </c>
      <c r="C1409" s="36" t="s">
        <v>2673</v>
      </c>
      <c r="D1409" s="36" t="s">
        <v>95</v>
      </c>
      <c r="E1409" s="97"/>
      <c r="F1409" s="36" t="s">
        <v>2900</v>
      </c>
      <c r="G1409" s="74"/>
      <c r="H1409" s="74"/>
      <c r="I1409" s="74"/>
      <c r="J1409" s="74"/>
      <c r="K1409" s="74"/>
      <c r="L1409" s="74"/>
      <c r="M1409" s="74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9"/>
    </row>
    <row r="1410">
      <c r="A1410" s="35">
        <v>1.000058859E9</v>
      </c>
      <c r="B1410" s="35" t="s">
        <v>2901</v>
      </c>
      <c r="C1410" s="35" t="s">
        <v>2673</v>
      </c>
      <c r="D1410" s="35" t="s">
        <v>95</v>
      </c>
      <c r="E1410" s="98"/>
      <c r="F1410" s="35" t="s">
        <v>2902</v>
      </c>
      <c r="G1410" s="73"/>
      <c r="H1410" s="73"/>
      <c r="I1410" s="73"/>
      <c r="J1410" s="73"/>
      <c r="K1410" s="73"/>
      <c r="L1410" s="73"/>
      <c r="M1410" s="73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9"/>
    </row>
    <row r="1411">
      <c r="A1411" s="36">
        <v>1.000057567E9</v>
      </c>
      <c r="B1411" s="36" t="s">
        <v>2903</v>
      </c>
      <c r="C1411" s="36" t="s">
        <v>2673</v>
      </c>
      <c r="D1411" s="36" t="s">
        <v>95</v>
      </c>
      <c r="E1411" s="97"/>
      <c r="F1411" s="36" t="s">
        <v>2904</v>
      </c>
      <c r="G1411" s="74"/>
      <c r="H1411" s="74"/>
      <c r="I1411" s="74"/>
      <c r="J1411" s="74"/>
      <c r="K1411" s="74"/>
      <c r="L1411" s="74"/>
      <c r="M1411" s="74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9"/>
    </row>
    <row r="1412">
      <c r="A1412" s="35">
        <v>2.4301012E7</v>
      </c>
      <c r="B1412" s="35" t="s">
        <v>2905</v>
      </c>
      <c r="C1412" s="35" t="s">
        <v>2673</v>
      </c>
      <c r="D1412" s="35" t="s">
        <v>95</v>
      </c>
      <c r="E1412" s="98"/>
      <c r="F1412" s="35" t="s">
        <v>2906</v>
      </c>
      <c r="G1412" s="73"/>
      <c r="H1412" s="73"/>
      <c r="I1412" s="73"/>
      <c r="J1412" s="73"/>
      <c r="K1412" s="73"/>
      <c r="L1412" s="73"/>
      <c r="M1412" s="73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9"/>
    </row>
    <row r="1413">
      <c r="A1413" s="36">
        <v>1.000055781E9</v>
      </c>
      <c r="B1413" s="36" t="s">
        <v>2907</v>
      </c>
      <c r="C1413" s="36" t="s">
        <v>2673</v>
      </c>
      <c r="D1413" s="36" t="s">
        <v>95</v>
      </c>
      <c r="E1413" s="97"/>
      <c r="F1413" s="36" t="s">
        <v>2908</v>
      </c>
      <c r="G1413" s="75"/>
      <c r="H1413" s="75"/>
      <c r="I1413" s="75"/>
      <c r="J1413" s="75"/>
      <c r="K1413" s="75"/>
      <c r="L1413" s="75"/>
      <c r="M1413" s="7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9"/>
    </row>
    <row r="1414">
      <c r="A1414" s="35">
        <v>2.4201361E7</v>
      </c>
      <c r="B1414" s="35" t="s">
        <v>2909</v>
      </c>
      <c r="C1414" s="35" t="s">
        <v>2673</v>
      </c>
      <c r="D1414" s="35" t="s">
        <v>95</v>
      </c>
      <c r="E1414" s="98"/>
      <c r="F1414" s="35" t="s">
        <v>2910</v>
      </c>
      <c r="G1414" s="76"/>
      <c r="H1414" s="76"/>
      <c r="I1414" s="76"/>
      <c r="J1414" s="76"/>
      <c r="K1414" s="76"/>
      <c r="L1414" s="76"/>
      <c r="M1414" s="76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9"/>
    </row>
    <row r="1415">
      <c r="A1415" s="36">
        <v>2.4321237E7</v>
      </c>
      <c r="B1415" s="36" t="s">
        <v>2911</v>
      </c>
      <c r="C1415" s="36" t="s">
        <v>2673</v>
      </c>
      <c r="D1415" s="36" t="s">
        <v>95</v>
      </c>
      <c r="E1415" s="97"/>
      <c r="F1415" s="36" t="s">
        <v>2912</v>
      </c>
      <c r="G1415" s="75"/>
      <c r="H1415" s="75"/>
      <c r="I1415" s="75"/>
      <c r="J1415" s="75"/>
      <c r="K1415" s="75"/>
      <c r="L1415" s="75"/>
      <c r="M1415" s="7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9"/>
    </row>
    <row r="1416">
      <c r="A1416" s="35">
        <v>1.0000578E9</v>
      </c>
      <c r="B1416" s="35" t="s">
        <v>2913</v>
      </c>
      <c r="C1416" s="35" t="s">
        <v>2673</v>
      </c>
      <c r="D1416" s="35" t="s">
        <v>95</v>
      </c>
      <c r="E1416" s="98"/>
      <c r="F1416" s="35" t="s">
        <v>2914</v>
      </c>
      <c r="G1416" s="73"/>
      <c r="H1416" s="73"/>
      <c r="I1416" s="73"/>
      <c r="J1416" s="73"/>
      <c r="K1416" s="73"/>
      <c r="L1416" s="73"/>
      <c r="M1416" s="73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9"/>
    </row>
    <row r="1417">
      <c r="A1417" s="36">
        <v>2.4141013E7</v>
      </c>
      <c r="B1417" s="36" t="s">
        <v>2915</v>
      </c>
      <c r="C1417" s="36" t="s">
        <v>2673</v>
      </c>
      <c r="D1417" s="36" t="s">
        <v>95</v>
      </c>
      <c r="E1417" s="97"/>
      <c r="F1417" s="36" t="s">
        <v>2916</v>
      </c>
      <c r="G1417" s="75"/>
      <c r="H1417" s="75"/>
      <c r="I1417" s="75"/>
      <c r="J1417" s="75"/>
      <c r="K1417" s="75"/>
      <c r="L1417" s="75"/>
      <c r="M1417" s="7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9"/>
    </row>
    <row r="1418">
      <c r="A1418" s="35">
        <v>1.000059675E9</v>
      </c>
      <c r="B1418" s="35" t="s">
        <v>2917</v>
      </c>
      <c r="C1418" s="35" t="s">
        <v>2673</v>
      </c>
      <c r="D1418" s="35" t="s">
        <v>95</v>
      </c>
      <c r="E1418" s="98"/>
      <c r="F1418" s="35" t="s">
        <v>2918</v>
      </c>
      <c r="G1418" s="76"/>
      <c r="H1418" s="76"/>
      <c r="I1418" s="76"/>
      <c r="J1418" s="76"/>
      <c r="K1418" s="76"/>
      <c r="L1418" s="76"/>
      <c r="M1418" s="76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9"/>
    </row>
    <row r="1419">
      <c r="A1419" s="36">
        <v>1.000057599E9</v>
      </c>
      <c r="B1419" s="36" t="s">
        <v>2919</v>
      </c>
      <c r="C1419" s="36" t="s">
        <v>2673</v>
      </c>
      <c r="D1419" s="36" t="s">
        <v>95</v>
      </c>
      <c r="E1419" s="97"/>
      <c r="F1419" s="36" t="s">
        <v>2920</v>
      </c>
      <c r="G1419" s="75"/>
      <c r="H1419" s="75"/>
      <c r="I1419" s="75"/>
      <c r="J1419" s="75"/>
      <c r="K1419" s="75"/>
      <c r="L1419" s="75"/>
      <c r="M1419" s="7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9"/>
    </row>
    <row r="1420">
      <c r="A1420" s="35">
        <v>1.000058773E9</v>
      </c>
      <c r="B1420" s="35" t="s">
        <v>2921</v>
      </c>
      <c r="C1420" s="35" t="s">
        <v>2673</v>
      </c>
      <c r="D1420" s="35" t="s">
        <v>95</v>
      </c>
      <c r="E1420" s="98"/>
      <c r="F1420" s="35" t="s">
        <v>2922</v>
      </c>
      <c r="G1420" s="76"/>
      <c r="H1420" s="76"/>
      <c r="I1420" s="76"/>
      <c r="J1420" s="76"/>
      <c r="K1420" s="76"/>
      <c r="L1420" s="76"/>
      <c r="M1420" s="76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9"/>
    </row>
    <row r="1421">
      <c r="A1421" s="36">
        <v>1.000059497E9</v>
      </c>
      <c r="B1421" s="36" t="s">
        <v>2923</v>
      </c>
      <c r="C1421" s="36" t="s">
        <v>2673</v>
      </c>
      <c r="D1421" s="36" t="s">
        <v>95</v>
      </c>
      <c r="E1421" s="97"/>
      <c r="F1421" s="36" t="s">
        <v>2924</v>
      </c>
      <c r="G1421" s="75"/>
      <c r="H1421" s="75"/>
      <c r="I1421" s="75"/>
      <c r="J1421" s="75"/>
      <c r="K1421" s="75"/>
      <c r="L1421" s="75"/>
      <c r="M1421" s="7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9"/>
    </row>
    <row r="1422">
      <c r="A1422" s="35">
        <v>2.4201016E7</v>
      </c>
      <c r="B1422" s="35" t="s">
        <v>2925</v>
      </c>
      <c r="C1422" s="35" t="s">
        <v>2673</v>
      </c>
      <c r="D1422" s="35" t="s">
        <v>95</v>
      </c>
      <c r="E1422" s="98"/>
      <c r="F1422" s="35" t="s">
        <v>2926</v>
      </c>
      <c r="G1422" s="73"/>
      <c r="H1422" s="73"/>
      <c r="I1422" s="73"/>
      <c r="J1422" s="73"/>
      <c r="K1422" s="73"/>
      <c r="L1422" s="73"/>
      <c r="M1422" s="73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9"/>
    </row>
    <row r="1423">
      <c r="A1423" s="36">
        <v>2.4321211E7</v>
      </c>
      <c r="B1423" s="36" t="s">
        <v>2927</v>
      </c>
      <c r="C1423" s="36" t="s">
        <v>2673</v>
      </c>
      <c r="D1423" s="36" t="s">
        <v>95</v>
      </c>
      <c r="E1423" s="97"/>
      <c r="F1423" s="36" t="s">
        <v>2928</v>
      </c>
      <c r="G1423" s="74"/>
      <c r="H1423" s="74"/>
      <c r="I1423" s="74"/>
      <c r="J1423" s="74"/>
      <c r="K1423" s="74"/>
      <c r="L1423" s="74"/>
      <c r="M1423" s="74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9"/>
    </row>
    <row r="1424">
      <c r="A1424" s="35">
        <v>1.000055244E9</v>
      </c>
      <c r="B1424" s="35" t="s">
        <v>2929</v>
      </c>
      <c r="C1424" s="35" t="s">
        <v>2673</v>
      </c>
      <c r="D1424" s="35" t="s">
        <v>95</v>
      </c>
      <c r="E1424" s="98"/>
      <c r="F1424" s="35" t="s">
        <v>2930</v>
      </c>
      <c r="G1424" s="76"/>
      <c r="H1424" s="76"/>
      <c r="I1424" s="76"/>
      <c r="J1424" s="76"/>
      <c r="K1424" s="76"/>
      <c r="L1424" s="76"/>
      <c r="M1424" s="76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9"/>
    </row>
    <row r="1425">
      <c r="A1425" s="36">
        <v>1.000060257E9</v>
      </c>
      <c r="B1425" s="36" t="s">
        <v>2931</v>
      </c>
      <c r="C1425" s="36" t="s">
        <v>2673</v>
      </c>
      <c r="D1425" s="36" t="s">
        <v>95</v>
      </c>
      <c r="E1425" s="97"/>
      <c r="F1425" s="36" t="s">
        <v>2932</v>
      </c>
      <c r="G1425" s="75"/>
      <c r="H1425" s="75"/>
      <c r="I1425" s="75"/>
      <c r="J1425" s="75"/>
      <c r="K1425" s="75"/>
      <c r="L1425" s="75"/>
      <c r="M1425" s="7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9"/>
    </row>
    <row r="1426">
      <c r="A1426" s="35">
        <v>1.000054114E9</v>
      </c>
      <c r="B1426" s="35" t="s">
        <v>2933</v>
      </c>
      <c r="C1426" s="35" t="s">
        <v>2673</v>
      </c>
      <c r="D1426" s="35" t="s">
        <v>95</v>
      </c>
      <c r="E1426" s="98"/>
      <c r="F1426" s="35" t="s">
        <v>2934</v>
      </c>
      <c r="G1426" s="76"/>
      <c r="H1426" s="76"/>
      <c r="I1426" s="76"/>
      <c r="J1426" s="76"/>
      <c r="K1426" s="76"/>
      <c r="L1426" s="76"/>
      <c r="M1426" s="76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9"/>
    </row>
    <row r="1427">
      <c r="A1427" s="36">
        <v>2.4301213E7</v>
      </c>
      <c r="B1427" s="36" t="s">
        <v>2935</v>
      </c>
      <c r="C1427" s="36" t="s">
        <v>2673</v>
      </c>
      <c r="D1427" s="36" t="s">
        <v>95</v>
      </c>
      <c r="E1427" s="97"/>
      <c r="F1427" s="36" t="s">
        <v>2936</v>
      </c>
      <c r="G1427" s="74"/>
      <c r="H1427" s="74"/>
      <c r="I1427" s="74"/>
      <c r="J1427" s="74"/>
      <c r="K1427" s="74"/>
      <c r="L1427" s="74"/>
      <c r="M1427" s="74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9"/>
    </row>
    <row r="1428">
      <c r="A1428" s="35">
        <v>2.4301109E7</v>
      </c>
      <c r="B1428" s="35" t="s">
        <v>2937</v>
      </c>
      <c r="C1428" s="35" t="s">
        <v>2673</v>
      </c>
      <c r="D1428" s="35" t="s">
        <v>95</v>
      </c>
      <c r="E1428" s="98"/>
      <c r="F1428" s="35" t="s">
        <v>2938</v>
      </c>
      <c r="G1428" s="73"/>
      <c r="H1428" s="73"/>
      <c r="I1428" s="73"/>
      <c r="J1428" s="73"/>
      <c r="K1428" s="73"/>
      <c r="L1428" s="73"/>
      <c r="M1428" s="73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9"/>
    </row>
    <row r="1429">
      <c r="A1429" s="36">
        <v>1.000054825E9</v>
      </c>
      <c r="B1429" s="36" t="s">
        <v>2939</v>
      </c>
      <c r="C1429" s="36" t="s">
        <v>2673</v>
      </c>
      <c r="D1429" s="36" t="s">
        <v>95</v>
      </c>
      <c r="E1429" s="97"/>
      <c r="F1429" s="36" t="s">
        <v>2940</v>
      </c>
      <c r="G1429" s="75"/>
      <c r="H1429" s="75"/>
      <c r="I1429" s="75"/>
      <c r="J1429" s="75"/>
      <c r="K1429" s="75"/>
      <c r="L1429" s="75"/>
      <c r="M1429" s="7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9"/>
    </row>
    <row r="1430">
      <c r="A1430" s="99"/>
      <c r="B1430" s="100"/>
      <c r="C1430" s="100"/>
      <c r="D1430" s="100"/>
      <c r="E1430" s="101"/>
      <c r="F1430" s="100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>
      <c r="A1431" s="99"/>
      <c r="B1431" s="100"/>
      <c r="C1431" s="100"/>
      <c r="D1431" s="100"/>
      <c r="E1431" s="101"/>
      <c r="F1431" s="100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>
      <c r="A1432" s="102"/>
      <c r="B1432" s="100"/>
      <c r="C1432" s="100"/>
      <c r="D1432" s="100"/>
      <c r="E1432" s="101"/>
      <c r="F1432" s="100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>
      <c r="A1433" s="103"/>
      <c r="B1433" s="100"/>
      <c r="C1433" s="100"/>
      <c r="D1433" s="100"/>
      <c r="E1433" s="101"/>
      <c r="F1433" s="100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>
      <c r="A1434" s="103"/>
      <c r="B1434" s="100"/>
      <c r="C1434" s="100"/>
      <c r="D1434" s="100"/>
      <c r="E1434" s="101"/>
      <c r="F1434" s="100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>
      <c r="A1435" s="99"/>
      <c r="B1435" s="100"/>
      <c r="C1435" s="100"/>
      <c r="D1435" s="100"/>
      <c r="E1435" s="101"/>
      <c r="F1435" s="100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>
      <c r="A1436" s="99"/>
      <c r="B1436" s="100"/>
      <c r="C1436" s="100"/>
      <c r="D1436" s="100"/>
      <c r="E1436" s="101"/>
      <c r="F1436" s="100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>
      <c r="A1437" s="99"/>
      <c r="B1437" s="100"/>
      <c r="C1437" s="100"/>
      <c r="D1437" s="100"/>
      <c r="E1437" s="101"/>
      <c r="F1437" s="100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>
      <c r="A1438" s="99"/>
      <c r="B1438" s="100"/>
      <c r="C1438" s="100"/>
      <c r="D1438" s="100"/>
      <c r="E1438" s="101"/>
      <c r="F1438" s="100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>
      <c r="A1439" s="99"/>
      <c r="B1439" s="100"/>
      <c r="C1439" s="100"/>
      <c r="D1439" s="100"/>
      <c r="E1439" s="101"/>
      <c r="F1439" s="100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>
      <c r="A1440" s="99"/>
      <c r="B1440" s="100"/>
      <c r="C1440" s="100"/>
      <c r="D1440" s="100"/>
      <c r="E1440" s="101"/>
      <c r="F1440" s="100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>
      <c r="A1441" s="99"/>
      <c r="B1441" s="100"/>
      <c r="C1441" s="100"/>
      <c r="D1441" s="100"/>
      <c r="E1441" s="101"/>
      <c r="F1441" s="100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>
      <c r="A1442" s="99"/>
      <c r="B1442" s="100"/>
      <c r="C1442" s="100"/>
      <c r="D1442" s="100"/>
      <c r="E1442" s="101"/>
      <c r="F1442" s="100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>
      <c r="A1443" s="99"/>
      <c r="B1443" s="100"/>
      <c r="C1443" s="100"/>
      <c r="D1443" s="100"/>
      <c r="E1443" s="101"/>
      <c r="F1443" s="100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>
      <c r="A1444" s="99"/>
      <c r="B1444" s="100"/>
      <c r="C1444" s="100"/>
      <c r="D1444" s="100"/>
      <c r="E1444" s="101"/>
      <c r="F1444" s="100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>
      <c r="A1445" s="99"/>
      <c r="B1445" s="100"/>
      <c r="C1445" s="100"/>
      <c r="D1445" s="100"/>
      <c r="E1445" s="101"/>
      <c r="F1445" s="100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>
      <c r="A1446" s="99"/>
      <c r="B1446" s="100"/>
      <c r="C1446" s="100"/>
      <c r="D1446" s="100"/>
      <c r="E1446" s="101"/>
      <c r="F1446" s="100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>
      <c r="A1447" s="99"/>
      <c r="B1447" s="100"/>
      <c r="C1447" s="100"/>
      <c r="D1447" s="100"/>
      <c r="E1447" s="101"/>
      <c r="F1447" s="100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>
      <c r="A1448" s="99"/>
      <c r="B1448" s="100"/>
      <c r="C1448" s="100"/>
      <c r="D1448" s="100"/>
      <c r="E1448" s="101"/>
      <c r="F1448" s="100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>
      <c r="A1449" s="99"/>
      <c r="B1449" s="100"/>
      <c r="C1449" s="100"/>
      <c r="D1449" s="100"/>
      <c r="E1449" s="101"/>
      <c r="F1449" s="100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>
      <c r="A1450" s="99"/>
      <c r="B1450" s="100"/>
      <c r="C1450" s="100"/>
      <c r="D1450" s="100"/>
      <c r="E1450" s="101"/>
      <c r="F1450" s="100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>
      <c r="A1451" s="99"/>
      <c r="B1451" s="100"/>
      <c r="C1451" s="100"/>
      <c r="D1451" s="100"/>
      <c r="E1451" s="101"/>
      <c r="F1451" s="100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>
      <c r="A1452" s="99"/>
      <c r="B1452" s="100"/>
      <c r="C1452" s="100"/>
      <c r="D1452" s="100"/>
      <c r="E1452" s="101"/>
      <c r="F1452" s="100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>
      <c r="A1453" s="99"/>
      <c r="B1453" s="100"/>
      <c r="C1453" s="100"/>
      <c r="D1453" s="100"/>
      <c r="E1453" s="101"/>
      <c r="F1453" s="100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>
      <c r="A1454" s="99"/>
      <c r="B1454" s="100"/>
      <c r="C1454" s="100"/>
      <c r="D1454" s="100"/>
      <c r="E1454" s="101"/>
      <c r="F1454" s="100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>
      <c r="A1455" s="99"/>
      <c r="B1455" s="100"/>
      <c r="C1455" s="100"/>
      <c r="D1455" s="100"/>
      <c r="E1455" s="101"/>
      <c r="F1455" s="100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>
      <c r="A1456" s="99"/>
      <c r="B1456" s="100"/>
      <c r="C1456" s="100"/>
      <c r="D1456" s="100"/>
      <c r="E1456" s="101"/>
      <c r="F1456" s="100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>
      <c r="A1457" s="99"/>
      <c r="B1457" s="100"/>
      <c r="C1457" s="100"/>
      <c r="D1457" s="100"/>
      <c r="E1457" s="101"/>
      <c r="F1457" s="100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>
      <c r="A1458" s="99"/>
      <c r="B1458" s="100"/>
      <c r="C1458" s="100"/>
      <c r="D1458" s="100"/>
      <c r="E1458" s="101"/>
      <c r="F1458" s="100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>
      <c r="A1459" s="99"/>
      <c r="B1459" s="100"/>
      <c r="C1459" s="100"/>
      <c r="D1459" s="100"/>
      <c r="E1459" s="101"/>
      <c r="F1459" s="100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>
      <c r="A1460" s="99"/>
      <c r="B1460" s="100"/>
      <c r="C1460" s="100"/>
      <c r="D1460" s="100"/>
      <c r="E1460" s="101"/>
      <c r="F1460" s="100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>
      <c r="A1461" s="99"/>
      <c r="B1461" s="100"/>
      <c r="C1461" s="100"/>
      <c r="D1461" s="100"/>
      <c r="E1461" s="101"/>
      <c r="F1461" s="100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>
      <c r="A1462" s="99"/>
      <c r="B1462" s="100"/>
      <c r="C1462" s="100"/>
      <c r="D1462" s="100"/>
      <c r="E1462" s="101"/>
      <c r="F1462" s="100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>
      <c r="A1463" s="99"/>
      <c r="B1463" s="100"/>
      <c r="C1463" s="100"/>
      <c r="D1463" s="100"/>
      <c r="E1463" s="101"/>
      <c r="F1463" s="100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>
      <c r="A1464" s="99"/>
      <c r="B1464" s="100"/>
      <c r="C1464" s="100"/>
      <c r="D1464" s="100"/>
      <c r="E1464" s="101"/>
      <c r="F1464" s="100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>
      <c r="A1465" s="99"/>
      <c r="B1465" s="100"/>
      <c r="C1465" s="100"/>
      <c r="D1465" s="100"/>
      <c r="E1465" s="101"/>
      <c r="F1465" s="100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>
      <c r="A1466" s="99"/>
      <c r="B1466" s="100"/>
      <c r="C1466" s="100"/>
      <c r="D1466" s="100"/>
      <c r="E1466" s="101"/>
      <c r="F1466" s="100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>
      <c r="A1467" s="99"/>
      <c r="B1467" s="100"/>
      <c r="C1467" s="100"/>
      <c r="D1467" s="100"/>
      <c r="E1467" s="101"/>
      <c r="F1467" s="100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>
      <c r="A1468" s="99"/>
      <c r="B1468" s="100"/>
      <c r="C1468" s="100"/>
      <c r="D1468" s="100"/>
      <c r="E1468" s="101"/>
      <c r="F1468" s="100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>
      <c r="A1469" s="99"/>
      <c r="B1469" s="100"/>
      <c r="C1469" s="100"/>
      <c r="D1469" s="100"/>
      <c r="E1469" s="101"/>
      <c r="F1469" s="100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>
      <c r="A1470" s="99"/>
      <c r="B1470" s="100"/>
      <c r="C1470" s="100"/>
      <c r="D1470" s="100"/>
      <c r="E1470" s="101"/>
      <c r="F1470" s="100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>
      <c r="A1471" s="99"/>
      <c r="B1471" s="100"/>
      <c r="C1471" s="100"/>
      <c r="D1471" s="100"/>
      <c r="E1471" s="101"/>
      <c r="F1471" s="100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>
      <c r="A1472" s="99"/>
      <c r="B1472" s="100"/>
      <c r="C1472" s="100"/>
      <c r="D1472" s="100"/>
      <c r="E1472" s="101"/>
      <c r="F1472" s="100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>
      <c r="A1473" s="99"/>
      <c r="B1473" s="100"/>
      <c r="C1473" s="100"/>
      <c r="D1473" s="100"/>
      <c r="E1473" s="101"/>
      <c r="F1473" s="100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>
      <c r="A1474" s="99"/>
      <c r="B1474" s="100"/>
      <c r="C1474" s="100"/>
      <c r="D1474" s="100"/>
      <c r="E1474" s="101"/>
      <c r="F1474" s="100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>
      <c r="A1475" s="99"/>
      <c r="B1475" s="100"/>
      <c r="C1475" s="100"/>
      <c r="D1475" s="100"/>
      <c r="E1475" s="101"/>
      <c r="F1475" s="100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>
      <c r="A1476" s="99"/>
      <c r="B1476" s="100"/>
      <c r="C1476" s="100"/>
      <c r="D1476" s="100"/>
      <c r="E1476" s="101"/>
      <c r="F1476" s="100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>
      <c r="A1477" s="99"/>
      <c r="B1477" s="100"/>
      <c r="C1477" s="100"/>
      <c r="D1477" s="100"/>
      <c r="E1477" s="101"/>
      <c r="F1477" s="100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>
      <c r="A1478" s="104"/>
      <c r="B1478" s="105"/>
      <c r="C1478" s="105"/>
      <c r="D1478" s="105"/>
      <c r="E1478" s="105"/>
      <c r="F1478" s="105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>
      <c r="A1479" s="104"/>
      <c r="B1479" s="105"/>
      <c r="C1479" s="105"/>
      <c r="D1479" s="105"/>
      <c r="E1479" s="105"/>
      <c r="F1479" s="105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>
      <c r="A1480" s="104"/>
      <c r="B1480" s="105"/>
      <c r="C1480" s="105"/>
      <c r="D1480" s="105"/>
      <c r="E1480" s="105"/>
      <c r="F1480" s="105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>
      <c r="A1481" s="104"/>
      <c r="B1481" s="105"/>
      <c r="C1481" s="105"/>
      <c r="D1481" s="105"/>
      <c r="E1481" s="105"/>
      <c r="F1481" s="105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>
      <c r="A1482" s="104"/>
      <c r="B1482" s="105"/>
      <c r="C1482" s="105"/>
      <c r="D1482" s="105"/>
      <c r="E1482" s="105"/>
      <c r="F1482" s="105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>
      <c r="A1483" s="104"/>
      <c r="B1483" s="105"/>
      <c r="C1483" s="105"/>
      <c r="D1483" s="105"/>
      <c r="E1483" s="105"/>
      <c r="F1483" s="105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>
      <c r="A1484" s="104"/>
      <c r="B1484" s="105"/>
      <c r="C1484" s="105"/>
      <c r="D1484" s="105"/>
      <c r="E1484" s="105"/>
      <c r="F1484" s="105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>
      <c r="A1485" s="104"/>
      <c r="B1485" s="105"/>
      <c r="C1485" s="105"/>
      <c r="D1485" s="105"/>
      <c r="E1485" s="105"/>
      <c r="F1485" s="105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>
      <c r="A1486" s="104"/>
      <c r="B1486" s="105"/>
      <c r="C1486" s="105"/>
      <c r="D1486" s="105"/>
      <c r="E1486" s="105"/>
      <c r="F1486" s="105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>
      <c r="A1487" s="104"/>
      <c r="B1487" s="105"/>
      <c r="C1487" s="105"/>
      <c r="D1487" s="105"/>
      <c r="E1487" s="105"/>
      <c r="F1487" s="105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>
      <c r="A1488" s="104"/>
      <c r="B1488" s="105"/>
      <c r="C1488" s="105"/>
      <c r="D1488" s="105"/>
      <c r="E1488" s="105"/>
      <c r="F1488" s="105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>
      <c r="A1489" s="104"/>
      <c r="B1489" s="105"/>
      <c r="C1489" s="105"/>
      <c r="D1489" s="105"/>
      <c r="E1489" s="105"/>
      <c r="F1489" s="105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>
      <c r="A1490" s="104"/>
      <c r="B1490" s="105"/>
      <c r="C1490" s="105"/>
      <c r="D1490" s="105"/>
      <c r="E1490" s="105"/>
      <c r="F1490" s="105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>
      <c r="A1491" s="104"/>
      <c r="B1491" s="105"/>
      <c r="C1491" s="105"/>
      <c r="D1491" s="105"/>
      <c r="E1491" s="105"/>
      <c r="F1491" s="105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>
      <c r="A1492" s="104"/>
      <c r="B1492" s="105"/>
      <c r="C1492" s="105"/>
      <c r="D1492" s="105"/>
      <c r="E1492" s="105"/>
      <c r="F1492" s="105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>
      <c r="A1493" s="104"/>
      <c r="B1493" s="105"/>
      <c r="C1493" s="105"/>
      <c r="D1493" s="105"/>
      <c r="E1493" s="105"/>
      <c r="F1493" s="105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>
      <c r="A1494" s="104"/>
      <c r="B1494" s="105"/>
      <c r="C1494" s="105"/>
      <c r="D1494" s="105"/>
      <c r="E1494" s="105"/>
      <c r="F1494" s="105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>
      <c r="A1495" s="104"/>
      <c r="B1495" s="105"/>
      <c r="C1495" s="105"/>
      <c r="D1495" s="105"/>
      <c r="E1495" s="105"/>
      <c r="F1495" s="105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>
      <c r="A1496" s="104"/>
      <c r="B1496" s="105"/>
      <c r="C1496" s="105"/>
      <c r="D1496" s="105"/>
      <c r="E1496" s="105"/>
      <c r="F1496" s="105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>
      <c r="A1497" s="104"/>
      <c r="B1497" s="105"/>
      <c r="C1497" s="105"/>
      <c r="D1497" s="105"/>
      <c r="E1497" s="105"/>
      <c r="F1497" s="105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>
      <c r="A1498" s="104"/>
      <c r="B1498" s="105"/>
      <c r="C1498" s="105"/>
      <c r="D1498" s="105"/>
      <c r="E1498" s="105"/>
      <c r="F1498" s="105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>
      <c r="A1499" s="104"/>
      <c r="B1499" s="105"/>
      <c r="C1499" s="105"/>
      <c r="D1499" s="105"/>
      <c r="E1499" s="105"/>
      <c r="F1499" s="105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>
      <c r="A1500" s="104"/>
      <c r="B1500" s="105"/>
      <c r="C1500" s="105"/>
      <c r="D1500" s="105"/>
      <c r="E1500" s="105"/>
      <c r="F1500" s="105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>
      <c r="A1501" s="104"/>
      <c r="B1501" s="105"/>
      <c r="C1501" s="105"/>
      <c r="D1501" s="105"/>
      <c r="E1501" s="105"/>
      <c r="F1501" s="105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>
      <c r="A1502" s="104"/>
      <c r="B1502" s="105"/>
      <c r="C1502" s="105"/>
      <c r="D1502" s="105"/>
      <c r="E1502" s="105"/>
      <c r="F1502" s="105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>
      <c r="A1503" s="104"/>
      <c r="B1503" s="105"/>
      <c r="C1503" s="105"/>
      <c r="D1503" s="105"/>
      <c r="E1503" s="105"/>
      <c r="F1503" s="105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>
      <c r="A1504" s="104"/>
      <c r="B1504" s="105"/>
      <c r="C1504" s="105"/>
      <c r="D1504" s="105"/>
      <c r="E1504" s="105"/>
      <c r="F1504" s="105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>
      <c r="A1505" s="104"/>
      <c r="B1505" s="105"/>
      <c r="C1505" s="105"/>
      <c r="D1505" s="105"/>
      <c r="E1505" s="105"/>
      <c r="F1505" s="105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>
      <c r="A1506" s="104"/>
      <c r="B1506" s="105"/>
      <c r="C1506" s="105"/>
      <c r="D1506" s="105"/>
      <c r="E1506" s="105"/>
      <c r="F1506" s="105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>
      <c r="A1507" s="104"/>
      <c r="B1507" s="105"/>
      <c r="C1507" s="105"/>
      <c r="D1507" s="105"/>
      <c r="E1507" s="105"/>
      <c r="F1507" s="105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>
      <c r="A1508" s="104"/>
      <c r="B1508" s="105"/>
      <c r="C1508" s="105"/>
      <c r="D1508" s="105"/>
      <c r="E1508" s="105"/>
      <c r="F1508" s="105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>
      <c r="A1509" s="104"/>
      <c r="B1509" s="105"/>
      <c r="C1509" s="105"/>
      <c r="D1509" s="105"/>
      <c r="E1509" s="105"/>
      <c r="F1509" s="105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>
      <c r="A1510" s="104"/>
      <c r="B1510" s="105"/>
      <c r="C1510" s="105"/>
      <c r="D1510" s="105"/>
      <c r="E1510" s="105"/>
      <c r="F1510" s="105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>
      <c r="A1511" s="104"/>
      <c r="B1511" s="105"/>
      <c r="C1511" s="105"/>
      <c r="D1511" s="105"/>
      <c r="E1511" s="105"/>
      <c r="F1511" s="105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>
      <c r="A1512" s="104"/>
      <c r="B1512" s="105"/>
      <c r="C1512" s="105"/>
      <c r="D1512" s="105"/>
      <c r="E1512" s="105"/>
      <c r="F1512" s="105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>
      <c r="A1513" s="104"/>
      <c r="B1513" s="105"/>
      <c r="C1513" s="105"/>
      <c r="D1513" s="105"/>
      <c r="E1513" s="105"/>
      <c r="F1513" s="105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>
      <c r="A1514" s="104"/>
      <c r="B1514" s="105"/>
      <c r="C1514" s="105"/>
      <c r="D1514" s="105"/>
      <c r="E1514" s="105"/>
      <c r="F1514" s="105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>
      <c r="A1515" s="104"/>
      <c r="B1515" s="105"/>
      <c r="C1515" s="105"/>
      <c r="D1515" s="105"/>
      <c r="E1515" s="105"/>
      <c r="F1515" s="105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>
      <c r="A1516" s="104"/>
      <c r="B1516" s="105"/>
      <c r="C1516" s="105"/>
      <c r="D1516" s="105"/>
      <c r="E1516" s="105"/>
      <c r="F1516" s="105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>
      <c r="A1517" s="104"/>
      <c r="B1517" s="105"/>
      <c r="C1517" s="105"/>
      <c r="D1517" s="105"/>
      <c r="E1517" s="105"/>
      <c r="F1517" s="105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>
      <c r="A1518" s="104"/>
      <c r="B1518" s="105"/>
      <c r="C1518" s="105"/>
      <c r="D1518" s="105"/>
      <c r="E1518" s="105"/>
      <c r="F1518" s="105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>
      <c r="A1519" s="104"/>
      <c r="B1519" s="105"/>
      <c r="C1519" s="105"/>
      <c r="D1519" s="105"/>
      <c r="E1519" s="105"/>
      <c r="F1519" s="105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>
      <c r="A1520" s="104"/>
      <c r="B1520" s="105"/>
      <c r="C1520" s="105"/>
      <c r="D1520" s="105"/>
      <c r="E1520" s="105"/>
      <c r="F1520" s="105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>
      <c r="A1521" s="104"/>
      <c r="B1521" s="105"/>
      <c r="C1521" s="105"/>
      <c r="D1521" s="105"/>
      <c r="E1521" s="105"/>
      <c r="F1521" s="105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>
      <c r="A1522" s="104"/>
      <c r="B1522" s="105"/>
      <c r="C1522" s="105"/>
      <c r="D1522" s="105"/>
      <c r="E1522" s="105"/>
      <c r="F1522" s="105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>
      <c r="A1523" s="104"/>
      <c r="B1523" s="105"/>
      <c r="C1523" s="105"/>
      <c r="D1523" s="105"/>
      <c r="E1523" s="105"/>
      <c r="F1523" s="105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>
      <c r="A1524" s="104"/>
      <c r="B1524" s="105"/>
      <c r="C1524" s="105"/>
      <c r="D1524" s="105"/>
      <c r="E1524" s="105"/>
      <c r="F1524" s="105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>
      <c r="A1525" s="104"/>
      <c r="B1525" s="105"/>
      <c r="C1525" s="105"/>
      <c r="D1525" s="105"/>
      <c r="E1525" s="105"/>
      <c r="F1525" s="105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>
      <c r="A1526" s="104"/>
      <c r="B1526" s="105"/>
      <c r="C1526" s="105"/>
      <c r="D1526" s="105"/>
      <c r="E1526" s="105"/>
      <c r="F1526" s="105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>
      <c r="A1527" s="104"/>
      <c r="B1527" s="105"/>
      <c r="C1527" s="105"/>
      <c r="D1527" s="105"/>
      <c r="E1527" s="105"/>
      <c r="F1527" s="105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>
      <c r="A1528" s="104"/>
      <c r="B1528" s="105"/>
      <c r="C1528" s="105"/>
      <c r="D1528" s="105"/>
      <c r="E1528" s="105"/>
      <c r="F1528" s="105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>
      <c r="A1529" s="104"/>
      <c r="B1529" s="105"/>
      <c r="C1529" s="105"/>
      <c r="D1529" s="105"/>
      <c r="E1529" s="105"/>
      <c r="F1529" s="105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>
      <c r="A1530" s="104"/>
      <c r="B1530" s="105"/>
      <c r="C1530" s="105"/>
      <c r="D1530" s="105"/>
      <c r="E1530" s="105"/>
      <c r="F1530" s="105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>
      <c r="A1531" s="104"/>
      <c r="B1531" s="105"/>
      <c r="C1531" s="105"/>
      <c r="D1531" s="105"/>
      <c r="E1531" s="105"/>
      <c r="F1531" s="105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>
      <c r="A1532" s="104"/>
      <c r="B1532" s="105"/>
      <c r="C1532" s="105"/>
      <c r="D1532" s="105"/>
      <c r="E1532" s="105"/>
      <c r="F1532" s="105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>
      <c r="A1533" s="104"/>
      <c r="B1533" s="105"/>
      <c r="C1533" s="105"/>
      <c r="D1533" s="105"/>
      <c r="E1533" s="105"/>
      <c r="F1533" s="105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>
      <c r="A1534" s="104"/>
      <c r="B1534" s="105"/>
      <c r="C1534" s="105"/>
      <c r="D1534" s="105"/>
      <c r="E1534" s="105"/>
      <c r="F1534" s="105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>
      <c r="A1535" s="104"/>
      <c r="B1535" s="105"/>
      <c r="C1535" s="105"/>
      <c r="D1535" s="105"/>
      <c r="E1535" s="105"/>
      <c r="F1535" s="105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>
      <c r="A1536" s="104"/>
      <c r="B1536" s="105"/>
      <c r="C1536" s="105"/>
      <c r="D1536" s="105"/>
      <c r="E1536" s="105"/>
      <c r="F1536" s="105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>
      <c r="A1537" s="104"/>
      <c r="B1537" s="105"/>
      <c r="C1537" s="105"/>
      <c r="D1537" s="105"/>
      <c r="E1537" s="105"/>
      <c r="F1537" s="105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>
      <c r="A1538" s="104"/>
      <c r="B1538" s="105"/>
      <c r="C1538" s="105"/>
      <c r="D1538" s="105"/>
      <c r="E1538" s="105"/>
      <c r="F1538" s="105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>
      <c r="A1539" s="104"/>
      <c r="B1539" s="105"/>
      <c r="C1539" s="105"/>
      <c r="D1539" s="105"/>
      <c r="E1539" s="105"/>
      <c r="F1539" s="105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>
      <c r="A1540" s="104"/>
      <c r="B1540" s="105"/>
      <c r="C1540" s="105"/>
      <c r="D1540" s="105"/>
      <c r="E1540" s="105"/>
      <c r="F1540" s="105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>
      <c r="A1541" s="104"/>
      <c r="B1541" s="105"/>
      <c r="C1541" s="105"/>
      <c r="D1541" s="105"/>
      <c r="E1541" s="105"/>
      <c r="F1541" s="105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>
      <c r="A1542" s="104"/>
      <c r="B1542" s="105"/>
      <c r="C1542" s="105"/>
      <c r="D1542" s="105"/>
      <c r="E1542" s="105"/>
      <c r="F1542" s="105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>
      <c r="A1543" s="104"/>
      <c r="B1543" s="105"/>
      <c r="C1543" s="105"/>
      <c r="D1543" s="105"/>
      <c r="E1543" s="105"/>
      <c r="F1543" s="105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>
      <c r="A1544" s="104"/>
      <c r="B1544" s="105"/>
      <c r="C1544" s="105"/>
      <c r="D1544" s="105"/>
      <c r="E1544" s="105"/>
      <c r="F1544" s="105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>
      <c r="A1545" s="104"/>
      <c r="B1545" s="105"/>
      <c r="C1545" s="105"/>
      <c r="D1545" s="105"/>
      <c r="E1545" s="105"/>
      <c r="F1545" s="105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>
      <c r="A1546" s="104"/>
      <c r="B1546" s="105"/>
      <c r="C1546" s="105"/>
      <c r="D1546" s="105"/>
      <c r="E1546" s="105"/>
      <c r="F1546" s="105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>
      <c r="A1547" s="104"/>
      <c r="B1547" s="105"/>
      <c r="C1547" s="105"/>
      <c r="D1547" s="105"/>
      <c r="E1547" s="105"/>
      <c r="F1547" s="105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>
      <c r="A1548" s="104"/>
      <c r="B1548" s="105"/>
      <c r="C1548" s="105"/>
      <c r="D1548" s="105"/>
      <c r="E1548" s="105"/>
      <c r="F1548" s="105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>
      <c r="A1549" s="104"/>
      <c r="B1549" s="105"/>
      <c r="C1549" s="105"/>
      <c r="D1549" s="105"/>
      <c r="E1549" s="105"/>
      <c r="F1549" s="105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>
      <c r="A1550" s="104"/>
      <c r="B1550" s="105"/>
      <c r="C1550" s="105"/>
      <c r="D1550" s="105"/>
      <c r="E1550" s="105"/>
      <c r="F1550" s="105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>
      <c r="A1551" s="104"/>
      <c r="B1551" s="105"/>
      <c r="C1551" s="105"/>
      <c r="D1551" s="105"/>
      <c r="E1551" s="105"/>
      <c r="F1551" s="105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>
      <c r="A1552" s="104"/>
      <c r="B1552" s="105"/>
      <c r="C1552" s="105"/>
      <c r="D1552" s="105"/>
      <c r="E1552" s="105"/>
      <c r="F1552" s="105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>
      <c r="A1553" s="104"/>
      <c r="B1553" s="105"/>
      <c r="C1553" s="105"/>
      <c r="D1553" s="105"/>
      <c r="E1553" s="105"/>
      <c r="F1553" s="105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>
      <c r="A1554" s="104"/>
      <c r="B1554" s="105"/>
      <c r="C1554" s="105"/>
      <c r="D1554" s="105"/>
      <c r="E1554" s="105"/>
      <c r="F1554" s="105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>
      <c r="A1555" s="104"/>
      <c r="B1555" s="105"/>
      <c r="C1555" s="105"/>
      <c r="D1555" s="105"/>
      <c r="E1555" s="105"/>
      <c r="F1555" s="105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>
      <c r="A1556" s="104"/>
      <c r="B1556" s="105"/>
      <c r="C1556" s="105"/>
      <c r="D1556" s="105"/>
      <c r="E1556" s="105"/>
      <c r="F1556" s="105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>
      <c r="A1557" s="104"/>
      <c r="B1557" s="105"/>
      <c r="C1557" s="105"/>
      <c r="D1557" s="105"/>
      <c r="E1557" s="105"/>
      <c r="F1557" s="105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>
      <c r="A1558" s="104"/>
      <c r="B1558" s="105"/>
      <c r="C1558" s="105"/>
      <c r="D1558" s="105"/>
      <c r="E1558" s="105"/>
      <c r="F1558" s="105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>
      <c r="A1559" s="104"/>
      <c r="B1559" s="105"/>
      <c r="C1559" s="105"/>
      <c r="D1559" s="105"/>
      <c r="E1559" s="105"/>
      <c r="F1559" s="105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>
      <c r="A1560" s="104"/>
      <c r="B1560" s="105"/>
      <c r="C1560" s="105"/>
      <c r="D1560" s="105"/>
      <c r="E1560" s="105"/>
      <c r="F1560" s="105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>
      <c r="A1561" s="104"/>
      <c r="B1561" s="105"/>
      <c r="C1561" s="105"/>
      <c r="D1561" s="105"/>
      <c r="E1561" s="105"/>
      <c r="F1561" s="105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>
      <c r="A1562" s="104"/>
      <c r="B1562" s="105"/>
      <c r="C1562" s="105"/>
      <c r="D1562" s="105"/>
      <c r="E1562" s="105"/>
      <c r="F1562" s="105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>
      <c r="A1563" s="104"/>
      <c r="B1563" s="105"/>
      <c r="C1563" s="105"/>
      <c r="D1563" s="105"/>
      <c r="E1563" s="105"/>
      <c r="F1563" s="105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>
      <c r="A1564" s="104"/>
      <c r="B1564" s="105"/>
      <c r="C1564" s="105"/>
      <c r="D1564" s="105"/>
      <c r="E1564" s="105"/>
      <c r="F1564" s="105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>
      <c r="A1565" s="104"/>
      <c r="B1565" s="105"/>
      <c r="C1565" s="105"/>
      <c r="D1565" s="105"/>
      <c r="E1565" s="105"/>
      <c r="F1565" s="105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>
      <c r="A1566" s="104"/>
      <c r="B1566" s="105"/>
      <c r="C1566" s="105"/>
      <c r="D1566" s="105"/>
      <c r="E1566" s="105"/>
      <c r="F1566" s="105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>
      <c r="A1567" s="104"/>
      <c r="B1567" s="105"/>
      <c r="C1567" s="105"/>
      <c r="D1567" s="105"/>
      <c r="E1567" s="105"/>
      <c r="F1567" s="105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>
      <c r="A1568" s="104"/>
      <c r="B1568" s="105"/>
      <c r="C1568" s="105"/>
      <c r="D1568" s="105"/>
      <c r="E1568" s="105"/>
      <c r="F1568" s="105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>
      <c r="A1569" s="104"/>
      <c r="B1569" s="105"/>
      <c r="C1569" s="105"/>
      <c r="D1569" s="105"/>
      <c r="E1569" s="105"/>
      <c r="F1569" s="105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>
      <c r="A1570" s="104"/>
      <c r="B1570" s="105"/>
      <c r="C1570" s="105"/>
      <c r="D1570" s="105"/>
      <c r="E1570" s="105"/>
      <c r="F1570" s="105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>
      <c r="A1571" s="104"/>
      <c r="B1571" s="105"/>
      <c r="C1571" s="105"/>
      <c r="D1571" s="105"/>
      <c r="E1571" s="105"/>
      <c r="F1571" s="105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>
      <c r="A1572" s="104"/>
      <c r="B1572" s="105"/>
      <c r="C1572" s="105"/>
      <c r="D1572" s="105"/>
      <c r="E1572" s="105"/>
      <c r="F1572" s="105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>
      <c r="A1573" s="104"/>
      <c r="B1573" s="105"/>
      <c r="C1573" s="105"/>
      <c r="D1573" s="105"/>
      <c r="E1573" s="105"/>
      <c r="F1573" s="105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>
      <c r="A1574" s="104"/>
      <c r="B1574" s="105"/>
      <c r="C1574" s="105"/>
      <c r="D1574" s="105"/>
      <c r="E1574" s="105"/>
      <c r="F1574" s="105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>
      <c r="A1575" s="104"/>
      <c r="B1575" s="105"/>
      <c r="C1575" s="105"/>
      <c r="D1575" s="105"/>
      <c r="E1575" s="105"/>
      <c r="F1575" s="105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>
      <c r="A1576" s="104"/>
      <c r="B1576" s="105"/>
      <c r="C1576" s="105"/>
      <c r="D1576" s="105"/>
      <c r="E1576" s="105"/>
      <c r="F1576" s="105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>
      <c r="A1577" s="104"/>
      <c r="B1577" s="105"/>
      <c r="C1577" s="105"/>
      <c r="D1577" s="105"/>
      <c r="E1577" s="105"/>
      <c r="F1577" s="105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>
      <c r="A1578" s="104"/>
      <c r="B1578" s="105"/>
      <c r="C1578" s="105"/>
      <c r="D1578" s="105"/>
      <c r="E1578" s="105"/>
      <c r="F1578" s="105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>
      <c r="A1579" s="104"/>
      <c r="B1579" s="105"/>
      <c r="C1579" s="105"/>
      <c r="D1579" s="105"/>
      <c r="E1579" s="105"/>
      <c r="F1579" s="105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>
      <c r="A1580" s="104"/>
      <c r="B1580" s="105"/>
      <c r="C1580" s="105"/>
      <c r="D1580" s="105"/>
      <c r="E1580" s="105"/>
      <c r="F1580" s="105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>
      <c r="A1581" s="104"/>
      <c r="B1581" s="105"/>
      <c r="C1581" s="105"/>
      <c r="D1581" s="105"/>
      <c r="E1581" s="105"/>
      <c r="F1581" s="105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>
      <c r="A1582" s="104"/>
      <c r="B1582" s="105"/>
      <c r="C1582" s="105"/>
      <c r="D1582" s="105"/>
      <c r="E1582" s="105"/>
      <c r="F1582" s="105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>
      <c r="A1583" s="104"/>
      <c r="B1583" s="105"/>
      <c r="C1583" s="105"/>
      <c r="D1583" s="105"/>
      <c r="E1583" s="105"/>
      <c r="F1583" s="105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>
      <c r="A1584" s="104"/>
      <c r="B1584" s="105"/>
      <c r="C1584" s="105"/>
      <c r="D1584" s="105"/>
      <c r="E1584" s="105"/>
      <c r="F1584" s="105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>
      <c r="A1585" s="104"/>
      <c r="B1585" s="105"/>
      <c r="C1585" s="105"/>
      <c r="D1585" s="105"/>
      <c r="E1585" s="105"/>
      <c r="F1585" s="105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>
      <c r="A1586" s="104"/>
      <c r="B1586" s="105"/>
      <c r="C1586" s="105"/>
      <c r="D1586" s="105"/>
      <c r="E1586" s="105"/>
      <c r="F1586" s="105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>
      <c r="A1587" s="104"/>
      <c r="B1587" s="105"/>
      <c r="C1587" s="105"/>
      <c r="D1587" s="105"/>
      <c r="E1587" s="105"/>
      <c r="F1587" s="105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>
      <c r="A1588" s="104"/>
      <c r="B1588" s="105"/>
      <c r="C1588" s="105"/>
      <c r="D1588" s="105"/>
      <c r="E1588" s="105"/>
      <c r="F1588" s="105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>
      <c r="A1589" s="104"/>
      <c r="B1589" s="105"/>
      <c r="C1589" s="105"/>
      <c r="D1589" s="105"/>
      <c r="E1589" s="105"/>
      <c r="F1589" s="105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>
      <c r="A1590" s="104"/>
      <c r="B1590" s="105"/>
      <c r="C1590" s="105"/>
      <c r="D1590" s="105"/>
      <c r="E1590" s="105"/>
      <c r="F1590" s="105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>
      <c r="A1591" s="104"/>
      <c r="B1591" s="105"/>
      <c r="C1591" s="105"/>
      <c r="D1591" s="105"/>
      <c r="E1591" s="105"/>
      <c r="F1591" s="105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>
      <c r="A1592" s="104"/>
      <c r="B1592" s="105"/>
      <c r="C1592" s="105"/>
      <c r="D1592" s="105"/>
      <c r="E1592" s="105"/>
      <c r="F1592" s="105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>
      <c r="A1593" s="104"/>
      <c r="B1593" s="105"/>
      <c r="C1593" s="105"/>
      <c r="D1593" s="105"/>
      <c r="E1593" s="105"/>
      <c r="F1593" s="105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>
      <c r="A1594" s="104"/>
      <c r="B1594" s="105"/>
      <c r="C1594" s="105"/>
      <c r="D1594" s="105"/>
      <c r="E1594" s="105"/>
      <c r="F1594" s="105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>
      <c r="A1595" s="104"/>
      <c r="B1595" s="105"/>
      <c r="C1595" s="105"/>
      <c r="D1595" s="105"/>
      <c r="E1595" s="105"/>
      <c r="F1595" s="105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>
      <c r="A1596" s="104"/>
      <c r="B1596" s="105"/>
      <c r="C1596" s="105"/>
      <c r="D1596" s="105"/>
      <c r="E1596" s="105"/>
      <c r="F1596" s="105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>
      <c r="A1597" s="104"/>
      <c r="B1597" s="105"/>
      <c r="C1597" s="105"/>
      <c r="D1597" s="105"/>
      <c r="E1597" s="105"/>
      <c r="F1597" s="105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>
      <c r="A1598" s="104"/>
      <c r="B1598" s="105"/>
      <c r="C1598" s="105"/>
      <c r="D1598" s="105"/>
      <c r="E1598" s="105"/>
      <c r="F1598" s="105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>
      <c r="A1599" s="104"/>
      <c r="B1599" s="105"/>
      <c r="C1599" s="105"/>
      <c r="D1599" s="105"/>
      <c r="E1599" s="105"/>
      <c r="F1599" s="105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>
      <c r="A1600" s="104"/>
      <c r="B1600" s="105"/>
      <c r="C1600" s="105"/>
      <c r="D1600" s="105"/>
      <c r="E1600" s="105"/>
      <c r="F1600" s="105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>
      <c r="A1601" s="104"/>
      <c r="B1601" s="105"/>
      <c r="C1601" s="105"/>
      <c r="D1601" s="105"/>
      <c r="E1601" s="105"/>
      <c r="F1601" s="105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>
      <c r="A1602" s="104"/>
      <c r="B1602" s="105"/>
      <c r="C1602" s="105"/>
      <c r="D1602" s="105"/>
      <c r="E1602" s="105"/>
      <c r="F1602" s="105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>
      <c r="A1603" s="104"/>
      <c r="B1603" s="105"/>
      <c r="C1603" s="105"/>
      <c r="D1603" s="105"/>
      <c r="E1603" s="105"/>
      <c r="F1603" s="105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>
      <c r="A1604" s="104"/>
      <c r="B1604" s="105"/>
      <c r="C1604" s="105"/>
      <c r="D1604" s="105"/>
      <c r="E1604" s="105"/>
      <c r="F1604" s="105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>
      <c r="A1605" s="104"/>
      <c r="B1605" s="105"/>
      <c r="C1605" s="105"/>
      <c r="D1605" s="105"/>
      <c r="E1605" s="105"/>
      <c r="F1605" s="105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>
      <c r="A1606" s="104"/>
      <c r="B1606" s="105"/>
      <c r="C1606" s="105"/>
      <c r="D1606" s="105"/>
      <c r="E1606" s="105"/>
      <c r="F1606" s="105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>
      <c r="A1607" s="104"/>
      <c r="B1607" s="105"/>
      <c r="C1607" s="105"/>
      <c r="D1607" s="105"/>
      <c r="E1607" s="105"/>
      <c r="F1607" s="105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>
      <c r="A1608" s="104"/>
      <c r="B1608" s="105"/>
      <c r="C1608" s="105"/>
      <c r="D1608" s="105"/>
      <c r="E1608" s="105"/>
      <c r="F1608" s="105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>
      <c r="A1609" s="104"/>
      <c r="B1609" s="105"/>
      <c r="C1609" s="105"/>
      <c r="D1609" s="105"/>
      <c r="E1609" s="105"/>
      <c r="F1609" s="105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>
      <c r="A1610" s="104"/>
      <c r="B1610" s="105"/>
      <c r="C1610" s="105"/>
      <c r="D1610" s="105"/>
      <c r="E1610" s="105"/>
      <c r="F1610" s="105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>
      <c r="A1611" s="104"/>
      <c r="B1611" s="105"/>
      <c r="C1611" s="105"/>
      <c r="D1611" s="105"/>
      <c r="E1611" s="105"/>
      <c r="F1611" s="105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>
      <c r="A1612" s="104"/>
      <c r="B1612" s="105"/>
      <c r="C1612" s="105"/>
      <c r="D1612" s="105"/>
      <c r="E1612" s="105"/>
      <c r="F1612" s="105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>
      <c r="A1613" s="104"/>
      <c r="B1613" s="105"/>
      <c r="C1613" s="105"/>
      <c r="D1613" s="105"/>
      <c r="E1613" s="105"/>
      <c r="F1613" s="105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>
      <c r="A1614" s="104"/>
      <c r="B1614" s="105"/>
      <c r="C1614" s="105"/>
      <c r="D1614" s="105"/>
      <c r="E1614" s="105"/>
      <c r="F1614" s="105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>
      <c r="A1615" s="104"/>
      <c r="B1615" s="105"/>
      <c r="C1615" s="105"/>
      <c r="D1615" s="105"/>
      <c r="E1615" s="105"/>
      <c r="F1615" s="105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>
      <c r="A1616" s="104"/>
      <c r="B1616" s="105"/>
      <c r="C1616" s="105"/>
      <c r="D1616" s="105"/>
      <c r="E1616" s="105"/>
      <c r="F1616" s="105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>
      <c r="A1617" s="104"/>
      <c r="B1617" s="105"/>
      <c r="C1617" s="105"/>
      <c r="D1617" s="105"/>
      <c r="E1617" s="105"/>
      <c r="F1617" s="105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>
      <c r="A1618" s="104"/>
      <c r="B1618" s="105"/>
      <c r="C1618" s="105"/>
      <c r="D1618" s="105"/>
      <c r="E1618" s="105"/>
      <c r="F1618" s="105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>
      <c r="A1619" s="104"/>
      <c r="B1619" s="105"/>
      <c r="C1619" s="105"/>
      <c r="D1619" s="105"/>
      <c r="E1619" s="105"/>
      <c r="F1619" s="105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>
      <c r="A1620" s="104"/>
      <c r="B1620" s="105"/>
      <c r="C1620" s="105"/>
      <c r="D1620" s="105"/>
      <c r="E1620" s="105"/>
      <c r="F1620" s="105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>
      <c r="A1621" s="104"/>
      <c r="B1621" s="105"/>
      <c r="C1621" s="105"/>
      <c r="D1621" s="105"/>
      <c r="E1621" s="105"/>
      <c r="F1621" s="105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>
      <c r="A1622" s="104"/>
      <c r="B1622" s="105"/>
      <c r="C1622" s="105"/>
      <c r="D1622" s="105"/>
      <c r="E1622" s="105"/>
      <c r="F1622" s="105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>
      <c r="A1623" s="104"/>
      <c r="B1623" s="105"/>
      <c r="C1623" s="105"/>
      <c r="D1623" s="105"/>
      <c r="E1623" s="105"/>
      <c r="F1623" s="105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>
      <c r="A1624" s="104"/>
      <c r="B1624" s="105"/>
      <c r="C1624" s="105"/>
      <c r="D1624" s="105"/>
      <c r="E1624" s="105"/>
      <c r="F1624" s="105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>
      <c r="A1625" s="104"/>
      <c r="B1625" s="105"/>
      <c r="C1625" s="105"/>
      <c r="D1625" s="105"/>
      <c r="E1625" s="105"/>
      <c r="F1625" s="105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>
      <c r="A1626" s="104"/>
      <c r="B1626" s="105"/>
      <c r="C1626" s="105"/>
      <c r="D1626" s="105"/>
      <c r="E1626" s="105"/>
      <c r="F1626" s="105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>
      <c r="A1627" s="104"/>
      <c r="B1627" s="105"/>
      <c r="C1627" s="105"/>
      <c r="D1627" s="105"/>
      <c r="E1627" s="105"/>
      <c r="F1627" s="105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>
      <c r="A1628" s="104"/>
      <c r="B1628" s="105"/>
      <c r="C1628" s="105"/>
      <c r="D1628" s="105"/>
      <c r="E1628" s="105"/>
      <c r="F1628" s="105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>
      <c r="A1629" s="104"/>
      <c r="B1629" s="105"/>
      <c r="C1629" s="105"/>
      <c r="D1629" s="105"/>
      <c r="E1629" s="105"/>
      <c r="F1629" s="105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>
      <c r="A1630" s="104"/>
      <c r="B1630" s="105"/>
      <c r="C1630" s="105"/>
      <c r="D1630" s="105"/>
      <c r="E1630" s="105"/>
      <c r="F1630" s="105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>
      <c r="A1631" s="104"/>
      <c r="B1631" s="105"/>
      <c r="C1631" s="105"/>
      <c r="D1631" s="105"/>
      <c r="E1631" s="105"/>
      <c r="F1631" s="105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>
      <c r="A1632" s="104"/>
      <c r="B1632" s="105"/>
      <c r="C1632" s="105"/>
      <c r="D1632" s="105"/>
      <c r="E1632" s="105"/>
      <c r="F1632" s="105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>
      <c r="A1633" s="104"/>
      <c r="B1633" s="105"/>
      <c r="C1633" s="105"/>
      <c r="D1633" s="105"/>
      <c r="E1633" s="105"/>
      <c r="F1633" s="105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>
      <c r="A1634" s="104"/>
      <c r="B1634" s="105"/>
      <c r="C1634" s="105"/>
      <c r="D1634" s="105"/>
      <c r="E1634" s="105"/>
      <c r="F1634" s="105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>
      <c r="A1635" s="104"/>
      <c r="B1635" s="105"/>
      <c r="C1635" s="105"/>
      <c r="D1635" s="105"/>
      <c r="E1635" s="105"/>
      <c r="F1635" s="105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>
      <c r="A1636" s="104"/>
      <c r="B1636" s="105"/>
      <c r="C1636" s="105"/>
      <c r="D1636" s="105"/>
      <c r="E1636" s="105"/>
      <c r="F1636" s="105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>
      <c r="A1637" s="104"/>
      <c r="B1637" s="105"/>
      <c r="C1637" s="105"/>
      <c r="D1637" s="105"/>
      <c r="E1637" s="105"/>
      <c r="F1637" s="105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>
      <c r="A1638" s="104"/>
      <c r="B1638" s="105"/>
      <c r="C1638" s="105"/>
      <c r="D1638" s="105"/>
      <c r="E1638" s="105"/>
      <c r="F1638" s="105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>
      <c r="A1639" s="104"/>
      <c r="B1639" s="105"/>
      <c r="C1639" s="105"/>
      <c r="D1639" s="105"/>
      <c r="E1639" s="105"/>
      <c r="F1639" s="105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>
      <c r="A1640" s="104"/>
      <c r="B1640" s="105"/>
      <c r="C1640" s="105"/>
      <c r="D1640" s="105"/>
      <c r="E1640" s="105"/>
      <c r="F1640" s="105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>
      <c r="A1641" s="104"/>
      <c r="B1641" s="105"/>
      <c r="C1641" s="105"/>
      <c r="D1641" s="105"/>
      <c r="E1641" s="105"/>
      <c r="F1641" s="105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>
      <c r="A1642" s="104"/>
      <c r="B1642" s="105"/>
      <c r="C1642" s="105"/>
      <c r="D1642" s="105"/>
      <c r="E1642" s="105"/>
      <c r="F1642" s="105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>
      <c r="A1643" s="104"/>
      <c r="B1643" s="105"/>
      <c r="C1643" s="105"/>
      <c r="D1643" s="105"/>
      <c r="E1643" s="105"/>
      <c r="F1643" s="105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>
      <c r="A1644" s="104"/>
      <c r="B1644" s="105"/>
      <c r="C1644" s="105"/>
      <c r="D1644" s="105"/>
      <c r="E1644" s="105"/>
      <c r="F1644" s="105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>
      <c r="A1645" s="104"/>
      <c r="B1645" s="105"/>
      <c r="C1645" s="105"/>
      <c r="D1645" s="105"/>
      <c r="E1645" s="105"/>
      <c r="F1645" s="105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>
      <c r="A1646" s="104"/>
      <c r="B1646" s="105"/>
      <c r="C1646" s="105"/>
      <c r="D1646" s="105"/>
      <c r="E1646" s="105"/>
      <c r="F1646" s="105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>
      <c r="A1647" s="104"/>
      <c r="B1647" s="105"/>
      <c r="C1647" s="105"/>
      <c r="D1647" s="105"/>
      <c r="E1647" s="105"/>
      <c r="F1647" s="105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>
      <c r="A1648" s="104"/>
      <c r="B1648" s="105"/>
      <c r="C1648" s="105"/>
      <c r="D1648" s="105"/>
      <c r="E1648" s="105"/>
      <c r="F1648" s="105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>
      <c r="A1649" s="104"/>
      <c r="B1649" s="105"/>
      <c r="C1649" s="105"/>
      <c r="D1649" s="105"/>
      <c r="E1649" s="105"/>
      <c r="F1649" s="105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>
      <c r="A1650" s="104"/>
      <c r="B1650" s="105"/>
      <c r="C1650" s="105"/>
      <c r="D1650" s="105"/>
      <c r="E1650" s="105"/>
      <c r="F1650" s="105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>
      <c r="A1651" s="104"/>
      <c r="B1651" s="105"/>
      <c r="C1651" s="105"/>
      <c r="D1651" s="105"/>
      <c r="E1651" s="105"/>
      <c r="F1651" s="105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>
      <c r="A1652" s="104"/>
      <c r="B1652" s="105"/>
      <c r="C1652" s="105"/>
      <c r="D1652" s="105"/>
      <c r="E1652" s="105"/>
      <c r="F1652" s="105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>
      <c r="A1653" s="104"/>
      <c r="B1653" s="105"/>
      <c r="C1653" s="105"/>
      <c r="D1653" s="105"/>
      <c r="E1653" s="105"/>
      <c r="F1653" s="105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>
      <c r="A1654" s="104"/>
      <c r="B1654" s="105"/>
      <c r="C1654" s="105"/>
      <c r="D1654" s="105"/>
      <c r="E1654" s="105"/>
      <c r="F1654" s="105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>
      <c r="A1655" s="104"/>
      <c r="B1655" s="105"/>
      <c r="C1655" s="105"/>
      <c r="D1655" s="105"/>
      <c r="E1655" s="105"/>
      <c r="F1655" s="105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>
      <c r="A1656" s="104"/>
      <c r="B1656" s="105"/>
      <c r="C1656" s="105"/>
      <c r="D1656" s="105"/>
      <c r="E1656" s="105"/>
      <c r="F1656" s="105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>
      <c r="A1657" s="104"/>
      <c r="B1657" s="105"/>
      <c r="C1657" s="105"/>
      <c r="D1657" s="105"/>
      <c r="E1657" s="105"/>
      <c r="F1657" s="105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>
      <c r="A1658" s="104"/>
      <c r="B1658" s="105"/>
      <c r="C1658" s="105"/>
      <c r="D1658" s="105"/>
      <c r="E1658" s="105"/>
      <c r="F1658" s="105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>
      <c r="A1659" s="104"/>
      <c r="B1659" s="105"/>
      <c r="C1659" s="105"/>
      <c r="D1659" s="105"/>
      <c r="E1659" s="105"/>
      <c r="F1659" s="105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>
      <c r="A1660" s="104"/>
      <c r="B1660" s="105"/>
      <c r="C1660" s="105"/>
      <c r="D1660" s="105"/>
      <c r="E1660" s="105"/>
      <c r="F1660" s="105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>
      <c r="A1661" s="104"/>
      <c r="B1661" s="105"/>
      <c r="C1661" s="105"/>
      <c r="D1661" s="105"/>
      <c r="E1661" s="105"/>
      <c r="F1661" s="105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>
      <c r="A1662" s="104"/>
      <c r="B1662" s="105"/>
      <c r="C1662" s="105"/>
      <c r="D1662" s="105"/>
      <c r="E1662" s="105"/>
      <c r="F1662" s="105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>
      <c r="A1663" s="104"/>
      <c r="B1663" s="105"/>
      <c r="C1663" s="105"/>
      <c r="D1663" s="105"/>
      <c r="E1663" s="105"/>
      <c r="F1663" s="105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>
      <c r="A1664" s="104"/>
      <c r="B1664" s="105"/>
      <c r="C1664" s="105"/>
      <c r="D1664" s="105"/>
      <c r="E1664" s="105"/>
      <c r="F1664" s="105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>
      <c r="A1665" s="104"/>
      <c r="B1665" s="105"/>
      <c r="C1665" s="105"/>
      <c r="D1665" s="105"/>
      <c r="E1665" s="105"/>
      <c r="F1665" s="105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>
      <c r="A1666" s="104"/>
      <c r="B1666" s="105"/>
      <c r="C1666" s="105"/>
      <c r="D1666" s="105"/>
      <c r="E1666" s="105"/>
      <c r="F1666" s="105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>
      <c r="A1667" s="104"/>
      <c r="B1667" s="105"/>
      <c r="C1667" s="105"/>
      <c r="D1667" s="105"/>
      <c r="E1667" s="105"/>
      <c r="F1667" s="105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>
      <c r="A1668" s="104"/>
      <c r="B1668" s="105"/>
      <c r="C1668" s="105"/>
      <c r="D1668" s="105"/>
      <c r="E1668" s="105"/>
      <c r="F1668" s="105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>
      <c r="A1669" s="104"/>
      <c r="B1669" s="105"/>
      <c r="C1669" s="105"/>
      <c r="D1669" s="105"/>
      <c r="E1669" s="105"/>
      <c r="F1669" s="105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>
      <c r="A1670" s="104"/>
      <c r="B1670" s="105"/>
      <c r="C1670" s="105"/>
      <c r="D1670" s="105"/>
      <c r="E1670" s="105"/>
      <c r="F1670" s="105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>
      <c r="A1671" s="104"/>
      <c r="B1671" s="105"/>
      <c r="C1671" s="105"/>
      <c r="D1671" s="105"/>
      <c r="E1671" s="105"/>
      <c r="F1671" s="105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>
      <c r="A1672" s="104"/>
      <c r="B1672" s="105"/>
      <c r="C1672" s="105"/>
      <c r="D1672" s="105"/>
      <c r="E1672" s="105"/>
      <c r="F1672" s="105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>
      <c r="A1673" s="104"/>
      <c r="B1673" s="105"/>
      <c r="C1673" s="105"/>
      <c r="D1673" s="105"/>
      <c r="E1673" s="105"/>
      <c r="F1673" s="105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>
      <c r="A1674" s="104"/>
      <c r="B1674" s="105"/>
      <c r="C1674" s="105"/>
      <c r="D1674" s="105"/>
      <c r="E1674" s="105"/>
      <c r="F1674" s="105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>
      <c r="A1675" s="104"/>
      <c r="B1675" s="105"/>
      <c r="C1675" s="105"/>
      <c r="D1675" s="105"/>
      <c r="E1675" s="105"/>
      <c r="F1675" s="105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>
      <c r="A1676" s="104"/>
      <c r="B1676" s="105"/>
      <c r="C1676" s="105"/>
      <c r="D1676" s="105"/>
      <c r="E1676" s="105"/>
      <c r="F1676" s="105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>
      <c r="A1677" s="104"/>
      <c r="B1677" s="105"/>
      <c r="C1677" s="105"/>
      <c r="D1677" s="105"/>
      <c r="E1677" s="105"/>
      <c r="F1677" s="105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>
      <c r="A1678" s="104"/>
      <c r="B1678" s="105"/>
      <c r="C1678" s="105"/>
      <c r="D1678" s="105"/>
      <c r="E1678" s="105"/>
      <c r="F1678" s="105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>
      <c r="A1679" s="104"/>
      <c r="B1679" s="105"/>
      <c r="C1679" s="105"/>
      <c r="D1679" s="105"/>
      <c r="E1679" s="105"/>
      <c r="F1679" s="105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>
      <c r="A1680" s="104"/>
      <c r="B1680" s="105"/>
      <c r="C1680" s="105"/>
      <c r="D1680" s="105"/>
      <c r="E1680" s="105"/>
      <c r="F1680" s="105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>
      <c r="A1681" s="104"/>
      <c r="B1681" s="105"/>
      <c r="C1681" s="105"/>
      <c r="D1681" s="105"/>
      <c r="E1681" s="105"/>
      <c r="F1681" s="105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>
      <c r="A1682" s="104"/>
      <c r="B1682" s="105"/>
      <c r="C1682" s="105"/>
      <c r="D1682" s="105"/>
      <c r="E1682" s="105"/>
      <c r="F1682" s="105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>
      <c r="A1683" s="104"/>
      <c r="B1683" s="105"/>
      <c r="C1683" s="105"/>
      <c r="D1683" s="105"/>
      <c r="E1683" s="105"/>
      <c r="F1683" s="105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>
      <c r="A1684" s="104"/>
      <c r="B1684" s="105"/>
      <c r="C1684" s="105"/>
      <c r="D1684" s="105"/>
      <c r="E1684" s="105"/>
      <c r="F1684" s="105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>
      <c r="A1685" s="104"/>
      <c r="B1685" s="105"/>
      <c r="C1685" s="105"/>
      <c r="D1685" s="105"/>
      <c r="E1685" s="105"/>
      <c r="F1685" s="105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>
      <c r="A1686" s="104"/>
      <c r="B1686" s="105"/>
      <c r="C1686" s="105"/>
      <c r="D1686" s="105"/>
      <c r="E1686" s="105"/>
      <c r="F1686" s="105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>
      <c r="A1687" s="104"/>
      <c r="B1687" s="105"/>
      <c r="C1687" s="105"/>
      <c r="D1687" s="105"/>
      <c r="E1687" s="105"/>
      <c r="F1687" s="105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>
      <c r="A1688" s="104"/>
      <c r="B1688" s="105"/>
      <c r="C1688" s="105"/>
      <c r="D1688" s="105"/>
      <c r="E1688" s="105"/>
      <c r="F1688" s="105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>
      <c r="A1689" s="104"/>
      <c r="B1689" s="105"/>
      <c r="C1689" s="105"/>
      <c r="D1689" s="105"/>
      <c r="E1689" s="105"/>
      <c r="F1689" s="105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>
      <c r="A1690" s="104"/>
      <c r="B1690" s="105"/>
      <c r="C1690" s="105"/>
      <c r="D1690" s="105"/>
      <c r="E1690" s="105"/>
      <c r="F1690" s="105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>
      <c r="A1691" s="104"/>
      <c r="B1691" s="105"/>
      <c r="C1691" s="105"/>
      <c r="D1691" s="105"/>
      <c r="E1691" s="105"/>
      <c r="F1691" s="105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>
      <c r="A1692" s="104"/>
      <c r="B1692" s="105"/>
      <c r="C1692" s="105"/>
      <c r="D1692" s="105"/>
      <c r="E1692" s="105"/>
      <c r="F1692" s="105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>
      <c r="A1693" s="104"/>
      <c r="B1693" s="105"/>
      <c r="C1693" s="105"/>
      <c r="D1693" s="105"/>
      <c r="E1693" s="105"/>
      <c r="F1693" s="105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>
      <c r="A1694" s="104"/>
      <c r="B1694" s="105"/>
      <c r="C1694" s="105"/>
      <c r="D1694" s="105"/>
      <c r="E1694" s="105"/>
      <c r="F1694" s="105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>
      <c r="A1695" s="104"/>
      <c r="B1695" s="105"/>
      <c r="C1695" s="105"/>
      <c r="D1695" s="105"/>
      <c r="E1695" s="105"/>
      <c r="F1695" s="105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>
      <c r="A1696" s="104"/>
      <c r="B1696" s="105"/>
      <c r="C1696" s="105"/>
      <c r="D1696" s="105"/>
      <c r="E1696" s="105"/>
      <c r="F1696" s="105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>
      <c r="A1697" s="104"/>
      <c r="B1697" s="105"/>
      <c r="C1697" s="105"/>
      <c r="D1697" s="105"/>
      <c r="E1697" s="105"/>
      <c r="F1697" s="105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>
      <c r="A1698" s="104"/>
      <c r="B1698" s="105"/>
      <c r="C1698" s="105"/>
      <c r="D1698" s="105"/>
      <c r="E1698" s="105"/>
      <c r="F1698" s="105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>
      <c r="A1699" s="104"/>
      <c r="B1699" s="105"/>
      <c r="C1699" s="105"/>
      <c r="D1699" s="105"/>
      <c r="E1699" s="105"/>
      <c r="F1699" s="105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>
      <c r="A1700" s="104"/>
      <c r="B1700" s="105"/>
      <c r="C1700" s="105"/>
      <c r="D1700" s="105"/>
      <c r="E1700" s="105"/>
      <c r="F1700" s="105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>
      <c r="A1701" s="104"/>
      <c r="B1701" s="105"/>
      <c r="C1701" s="105"/>
      <c r="D1701" s="105"/>
      <c r="E1701" s="105"/>
      <c r="F1701" s="105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>
      <c r="A1702" s="104"/>
      <c r="B1702" s="105"/>
      <c r="C1702" s="105"/>
      <c r="D1702" s="105"/>
      <c r="E1702" s="105"/>
      <c r="F1702" s="105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>
      <c r="A1703" s="104"/>
      <c r="B1703" s="105"/>
      <c r="C1703" s="105"/>
      <c r="D1703" s="105"/>
      <c r="E1703" s="105"/>
      <c r="F1703" s="105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>
      <c r="A1704" s="104"/>
      <c r="B1704" s="105"/>
      <c r="C1704" s="105"/>
      <c r="D1704" s="105"/>
      <c r="E1704" s="105"/>
      <c r="F1704" s="105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>
      <c r="A1705" s="104"/>
      <c r="B1705" s="105"/>
      <c r="C1705" s="105"/>
      <c r="D1705" s="105"/>
      <c r="E1705" s="105"/>
      <c r="F1705" s="105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>
      <c r="A1706" s="104"/>
      <c r="B1706" s="105"/>
      <c r="C1706" s="105"/>
      <c r="D1706" s="105"/>
      <c r="E1706" s="105"/>
      <c r="F1706" s="105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>
      <c r="A1707" s="104"/>
      <c r="B1707" s="105"/>
      <c r="C1707" s="105"/>
      <c r="D1707" s="105"/>
      <c r="E1707" s="105"/>
      <c r="F1707" s="105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>
      <c r="A1708" s="104"/>
      <c r="B1708" s="105"/>
      <c r="C1708" s="105"/>
      <c r="D1708" s="105"/>
      <c r="E1708" s="105"/>
      <c r="F1708" s="105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>
      <c r="A1709" s="104"/>
      <c r="B1709" s="105"/>
      <c r="C1709" s="105"/>
      <c r="D1709" s="105"/>
      <c r="E1709" s="105"/>
      <c r="F1709" s="105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>
      <c r="A1710" s="104"/>
      <c r="B1710" s="105"/>
      <c r="C1710" s="105"/>
      <c r="D1710" s="105"/>
      <c r="E1710" s="105"/>
      <c r="F1710" s="105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>
      <c r="A1711" s="104"/>
      <c r="B1711" s="105"/>
      <c r="C1711" s="105"/>
      <c r="D1711" s="105"/>
      <c r="E1711" s="105"/>
      <c r="F1711" s="105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>
      <c r="A1712" s="104"/>
      <c r="B1712" s="105"/>
      <c r="C1712" s="105"/>
      <c r="D1712" s="105"/>
      <c r="E1712" s="105"/>
      <c r="F1712" s="105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>
      <c r="A1713" s="104"/>
      <c r="B1713" s="105"/>
      <c r="C1713" s="105"/>
      <c r="D1713" s="105"/>
      <c r="E1713" s="105"/>
      <c r="F1713" s="105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>
      <c r="A1714" s="104"/>
      <c r="B1714" s="105"/>
      <c r="C1714" s="105"/>
      <c r="D1714" s="105"/>
      <c r="E1714" s="105"/>
      <c r="F1714" s="105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>
      <c r="A1715" s="104"/>
      <c r="B1715" s="105"/>
      <c r="C1715" s="105"/>
      <c r="D1715" s="105"/>
      <c r="E1715" s="105"/>
      <c r="F1715" s="105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>
      <c r="A1716" s="104"/>
      <c r="B1716" s="105"/>
      <c r="C1716" s="105"/>
      <c r="D1716" s="105"/>
      <c r="E1716" s="105"/>
      <c r="F1716" s="105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>
      <c r="A1717" s="104"/>
      <c r="B1717" s="105"/>
      <c r="C1717" s="105"/>
      <c r="D1717" s="105"/>
      <c r="E1717" s="105"/>
      <c r="F1717" s="105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>
      <c r="A1718" s="104"/>
      <c r="B1718" s="105"/>
      <c r="C1718" s="105"/>
      <c r="D1718" s="105"/>
      <c r="E1718" s="105"/>
      <c r="F1718" s="105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>
      <c r="A1719" s="104"/>
      <c r="B1719" s="105"/>
      <c r="C1719" s="105"/>
      <c r="D1719" s="105"/>
      <c r="E1719" s="105"/>
      <c r="F1719" s="105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>
      <c r="A1720" s="104"/>
      <c r="B1720" s="105"/>
      <c r="C1720" s="105"/>
      <c r="D1720" s="105"/>
      <c r="E1720" s="105"/>
      <c r="F1720" s="105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>
      <c r="A1721" s="104"/>
      <c r="B1721" s="105"/>
      <c r="C1721" s="105"/>
      <c r="D1721" s="105"/>
      <c r="E1721" s="105"/>
      <c r="F1721" s="105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>
      <c r="A1722" s="104"/>
      <c r="B1722" s="105"/>
      <c r="C1722" s="105"/>
      <c r="D1722" s="105"/>
      <c r="E1722" s="105"/>
      <c r="F1722" s="105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>
      <c r="A1723" s="104"/>
      <c r="B1723" s="105"/>
      <c r="C1723" s="105"/>
      <c r="D1723" s="105"/>
      <c r="E1723" s="105"/>
      <c r="F1723" s="105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>
      <c r="A1724" s="104"/>
      <c r="B1724" s="105"/>
      <c r="C1724" s="105"/>
      <c r="D1724" s="105"/>
      <c r="E1724" s="105"/>
      <c r="F1724" s="105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>
      <c r="A1725" s="104"/>
      <c r="B1725" s="105"/>
      <c r="C1725" s="105"/>
      <c r="D1725" s="105"/>
      <c r="E1725" s="105"/>
      <c r="F1725" s="105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>
      <c r="A1726" s="104"/>
      <c r="B1726" s="105"/>
      <c r="C1726" s="105"/>
      <c r="D1726" s="105"/>
      <c r="E1726" s="105"/>
      <c r="F1726" s="105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>
      <c r="A1727" s="104"/>
      <c r="B1727" s="105"/>
      <c r="C1727" s="105"/>
      <c r="D1727" s="105"/>
      <c r="E1727" s="105"/>
      <c r="F1727" s="105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>
      <c r="A1728" s="104"/>
      <c r="B1728" s="105"/>
      <c r="C1728" s="105"/>
      <c r="D1728" s="105"/>
      <c r="E1728" s="105"/>
      <c r="F1728" s="105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>
      <c r="A1729" s="104"/>
      <c r="B1729" s="105"/>
      <c r="C1729" s="105"/>
      <c r="D1729" s="105"/>
      <c r="E1729" s="105"/>
      <c r="F1729" s="105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>
      <c r="A1730" s="104"/>
      <c r="B1730" s="105"/>
      <c r="C1730" s="105"/>
      <c r="D1730" s="105"/>
      <c r="E1730" s="105"/>
      <c r="F1730" s="105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>
      <c r="A1731" s="104"/>
      <c r="B1731" s="105"/>
      <c r="C1731" s="105"/>
      <c r="D1731" s="105"/>
      <c r="E1731" s="105"/>
      <c r="F1731" s="105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>
      <c r="A1732" s="104"/>
      <c r="B1732" s="105"/>
      <c r="C1732" s="105"/>
      <c r="D1732" s="105"/>
      <c r="E1732" s="105"/>
      <c r="F1732" s="105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>
      <c r="A1733" s="104"/>
      <c r="B1733" s="105"/>
      <c r="C1733" s="105"/>
      <c r="D1733" s="105"/>
      <c r="E1733" s="105"/>
      <c r="F1733" s="105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>
      <c r="A1734" s="104"/>
      <c r="B1734" s="105"/>
      <c r="C1734" s="105"/>
      <c r="D1734" s="105"/>
      <c r="E1734" s="105"/>
      <c r="F1734" s="105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>
      <c r="A1735" s="104"/>
      <c r="B1735" s="105"/>
      <c r="C1735" s="105"/>
      <c r="D1735" s="105"/>
      <c r="E1735" s="105"/>
      <c r="F1735" s="105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>
      <c r="A1736" s="104"/>
      <c r="B1736" s="105"/>
      <c r="C1736" s="105"/>
      <c r="D1736" s="105"/>
      <c r="E1736" s="105"/>
      <c r="F1736" s="105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>
      <c r="A1737" s="104"/>
      <c r="B1737" s="105"/>
      <c r="C1737" s="105"/>
      <c r="D1737" s="105"/>
      <c r="E1737" s="105"/>
      <c r="F1737" s="105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>
      <c r="A1738" s="104"/>
      <c r="B1738" s="105"/>
      <c r="C1738" s="105"/>
      <c r="D1738" s="105"/>
      <c r="E1738" s="105"/>
      <c r="F1738" s="105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>
      <c r="A1739" s="104"/>
      <c r="B1739" s="105"/>
      <c r="C1739" s="105"/>
      <c r="D1739" s="105"/>
      <c r="E1739" s="105"/>
      <c r="F1739" s="105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>
      <c r="A1740" s="104"/>
      <c r="B1740" s="105"/>
      <c r="C1740" s="105"/>
      <c r="D1740" s="105"/>
      <c r="E1740" s="105"/>
      <c r="F1740" s="105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>
      <c r="A1741" s="104"/>
      <c r="B1741" s="105"/>
      <c r="C1741" s="105"/>
      <c r="D1741" s="105"/>
      <c r="E1741" s="105"/>
      <c r="F1741" s="105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>
      <c r="A1742" s="104"/>
      <c r="B1742" s="105"/>
      <c r="C1742" s="105"/>
      <c r="D1742" s="105"/>
      <c r="E1742" s="105"/>
      <c r="F1742" s="105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>
      <c r="A1743" s="104"/>
      <c r="B1743" s="105"/>
      <c r="C1743" s="105"/>
      <c r="D1743" s="105"/>
      <c r="E1743" s="105"/>
      <c r="F1743" s="105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>
      <c r="A1744" s="104"/>
      <c r="B1744" s="105"/>
      <c r="C1744" s="105"/>
      <c r="D1744" s="105"/>
      <c r="E1744" s="105"/>
      <c r="F1744" s="105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>
      <c r="A1745" s="104"/>
      <c r="B1745" s="105"/>
      <c r="C1745" s="105"/>
      <c r="D1745" s="105"/>
      <c r="E1745" s="105"/>
      <c r="F1745" s="105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>
      <c r="A1746" s="104"/>
      <c r="B1746" s="105"/>
      <c r="C1746" s="105"/>
      <c r="D1746" s="105"/>
      <c r="E1746" s="105"/>
      <c r="F1746" s="105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>
      <c r="A1747" s="104"/>
      <c r="B1747" s="105"/>
      <c r="C1747" s="105"/>
      <c r="D1747" s="105"/>
      <c r="E1747" s="105"/>
      <c r="F1747" s="105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>
      <c r="A1748" s="104"/>
      <c r="B1748" s="105"/>
      <c r="C1748" s="105"/>
      <c r="D1748" s="105"/>
      <c r="E1748" s="105"/>
      <c r="F1748" s="105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>
      <c r="A1749" s="104"/>
      <c r="B1749" s="105"/>
      <c r="C1749" s="105"/>
      <c r="D1749" s="105"/>
      <c r="E1749" s="105"/>
      <c r="F1749" s="105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>
      <c r="A1750" s="104"/>
      <c r="B1750" s="105"/>
      <c r="C1750" s="105"/>
      <c r="D1750" s="105"/>
      <c r="E1750" s="105"/>
      <c r="F1750" s="105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>
      <c r="A1751" s="104"/>
      <c r="B1751" s="105"/>
      <c r="C1751" s="105"/>
      <c r="D1751" s="105"/>
      <c r="E1751" s="105"/>
      <c r="F1751" s="105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>
      <c r="A1752" s="104"/>
      <c r="B1752" s="105"/>
      <c r="C1752" s="105"/>
      <c r="D1752" s="105"/>
      <c r="E1752" s="105"/>
      <c r="F1752" s="105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>
      <c r="A1753" s="104"/>
      <c r="B1753" s="105"/>
      <c r="C1753" s="105"/>
      <c r="D1753" s="105"/>
      <c r="E1753" s="105"/>
      <c r="F1753" s="105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>
      <c r="A1754" s="104"/>
      <c r="B1754" s="105"/>
      <c r="C1754" s="105"/>
      <c r="D1754" s="105"/>
      <c r="E1754" s="105"/>
      <c r="F1754" s="105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>
      <c r="A1755" s="104"/>
      <c r="B1755" s="105"/>
      <c r="C1755" s="105"/>
      <c r="D1755" s="105"/>
      <c r="E1755" s="105"/>
      <c r="F1755" s="105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>
      <c r="A1756" s="104"/>
      <c r="B1756" s="105"/>
      <c r="C1756" s="105"/>
      <c r="D1756" s="105"/>
      <c r="E1756" s="105"/>
      <c r="F1756" s="105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>
      <c r="A1757" s="104"/>
      <c r="B1757" s="105"/>
      <c r="C1757" s="105"/>
      <c r="D1757" s="105"/>
      <c r="E1757" s="105"/>
      <c r="F1757" s="105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>
      <c r="A1758" s="104"/>
      <c r="B1758" s="105"/>
      <c r="C1758" s="105"/>
      <c r="D1758" s="105"/>
      <c r="E1758" s="105"/>
      <c r="F1758" s="105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>
      <c r="A1759" s="104"/>
      <c r="B1759" s="105"/>
      <c r="C1759" s="105"/>
      <c r="D1759" s="105"/>
      <c r="E1759" s="105"/>
      <c r="F1759" s="105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>
      <c r="A1760" s="104"/>
      <c r="B1760" s="105"/>
      <c r="C1760" s="105"/>
      <c r="D1760" s="105"/>
      <c r="E1760" s="105"/>
      <c r="F1760" s="105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>
      <c r="A1761" s="104"/>
      <c r="B1761" s="105"/>
      <c r="C1761" s="105"/>
      <c r="D1761" s="105"/>
      <c r="E1761" s="105"/>
      <c r="F1761" s="105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>
      <c r="A1762" s="104"/>
      <c r="B1762" s="105"/>
      <c r="C1762" s="105"/>
      <c r="D1762" s="105"/>
      <c r="E1762" s="105"/>
      <c r="F1762" s="105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>
      <c r="A1763" s="104"/>
      <c r="B1763" s="105"/>
      <c r="C1763" s="105"/>
      <c r="D1763" s="105"/>
      <c r="E1763" s="105"/>
      <c r="F1763" s="105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>
      <c r="A1764" s="104"/>
      <c r="B1764" s="105"/>
      <c r="C1764" s="105"/>
      <c r="D1764" s="105"/>
      <c r="E1764" s="105"/>
      <c r="F1764" s="105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>
      <c r="A1765" s="104"/>
      <c r="B1765" s="105"/>
      <c r="C1765" s="105"/>
      <c r="D1765" s="105"/>
      <c r="E1765" s="105"/>
      <c r="F1765" s="105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>
      <c r="A1766" s="104"/>
      <c r="B1766" s="105"/>
      <c r="C1766" s="105"/>
      <c r="D1766" s="105"/>
      <c r="E1766" s="105"/>
      <c r="F1766" s="105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>
      <c r="A1767" s="104"/>
      <c r="B1767" s="105"/>
      <c r="C1767" s="105"/>
      <c r="D1767" s="105"/>
      <c r="E1767" s="105"/>
      <c r="F1767" s="105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>
      <c r="A1768" s="104"/>
      <c r="B1768" s="105"/>
      <c r="C1768" s="105"/>
      <c r="D1768" s="105"/>
      <c r="E1768" s="105"/>
      <c r="F1768" s="105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>
      <c r="A1769" s="104"/>
      <c r="B1769" s="105"/>
      <c r="C1769" s="105"/>
      <c r="D1769" s="105"/>
      <c r="E1769" s="105"/>
      <c r="F1769" s="105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>
      <c r="A1770" s="104"/>
      <c r="B1770" s="105"/>
      <c r="C1770" s="105"/>
      <c r="D1770" s="105"/>
      <c r="E1770" s="105"/>
      <c r="F1770" s="105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>
      <c r="A1771" s="104"/>
      <c r="B1771" s="105"/>
      <c r="C1771" s="105"/>
      <c r="D1771" s="105"/>
      <c r="E1771" s="105"/>
      <c r="F1771" s="105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>
      <c r="A1772" s="104"/>
      <c r="B1772" s="105"/>
      <c r="C1772" s="105"/>
      <c r="D1772" s="105"/>
      <c r="E1772" s="105"/>
      <c r="F1772" s="105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>
      <c r="A1773" s="104"/>
      <c r="B1773" s="105"/>
      <c r="C1773" s="105"/>
      <c r="D1773" s="105"/>
      <c r="E1773" s="105"/>
      <c r="F1773" s="105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>
      <c r="A1774" s="104"/>
      <c r="B1774" s="105"/>
      <c r="C1774" s="105"/>
      <c r="D1774" s="105"/>
      <c r="E1774" s="105"/>
      <c r="F1774" s="105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>
      <c r="A1775" s="104"/>
      <c r="B1775" s="105"/>
      <c r="C1775" s="105"/>
      <c r="D1775" s="105"/>
      <c r="E1775" s="105"/>
      <c r="F1775" s="105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>
      <c r="A1776" s="104"/>
      <c r="B1776" s="105"/>
      <c r="C1776" s="105"/>
      <c r="D1776" s="105"/>
      <c r="E1776" s="105"/>
      <c r="F1776" s="105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>
      <c r="A1777" s="104"/>
      <c r="B1777" s="105"/>
      <c r="C1777" s="105"/>
      <c r="D1777" s="105"/>
      <c r="E1777" s="105"/>
      <c r="F1777" s="105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>
      <c r="A1778" s="104"/>
      <c r="B1778" s="105"/>
      <c r="C1778" s="105"/>
      <c r="D1778" s="105"/>
      <c r="E1778" s="105"/>
      <c r="F1778" s="105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>
      <c r="A1779" s="104"/>
      <c r="B1779" s="105"/>
      <c r="C1779" s="105"/>
      <c r="D1779" s="105"/>
      <c r="E1779" s="105"/>
      <c r="F1779" s="105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>
      <c r="A1780" s="104"/>
      <c r="B1780" s="105"/>
      <c r="C1780" s="105"/>
      <c r="D1780" s="105"/>
      <c r="E1780" s="105"/>
      <c r="F1780" s="105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>
      <c r="A1781" s="104"/>
      <c r="B1781" s="105"/>
      <c r="C1781" s="105"/>
      <c r="D1781" s="105"/>
      <c r="E1781" s="105"/>
      <c r="F1781" s="105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>
      <c r="A1782" s="104"/>
      <c r="B1782" s="105"/>
      <c r="C1782" s="105"/>
      <c r="D1782" s="105"/>
      <c r="E1782" s="105"/>
      <c r="F1782" s="105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>
      <c r="A1783" s="104"/>
      <c r="B1783" s="105"/>
      <c r="C1783" s="105"/>
      <c r="D1783" s="105"/>
      <c r="E1783" s="105"/>
      <c r="F1783" s="105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>
      <c r="A1784" s="104"/>
      <c r="B1784" s="105"/>
      <c r="C1784" s="105"/>
      <c r="D1784" s="105"/>
      <c r="E1784" s="105"/>
      <c r="F1784" s="105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>
      <c r="A1785" s="104"/>
      <c r="B1785" s="105"/>
      <c r="C1785" s="105"/>
      <c r="D1785" s="105"/>
      <c r="E1785" s="105"/>
      <c r="F1785" s="105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>
      <c r="A1786" s="104"/>
      <c r="B1786" s="105"/>
      <c r="C1786" s="105"/>
      <c r="D1786" s="105"/>
      <c r="E1786" s="105"/>
      <c r="F1786" s="105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>
      <c r="A1787" s="104"/>
      <c r="B1787" s="105"/>
      <c r="C1787" s="105"/>
      <c r="D1787" s="105"/>
      <c r="E1787" s="105"/>
      <c r="F1787" s="105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>
      <c r="A1788" s="104"/>
      <c r="B1788" s="105"/>
      <c r="C1788" s="105"/>
      <c r="D1788" s="105"/>
      <c r="E1788" s="105"/>
      <c r="F1788" s="105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>
      <c r="A1789" s="104"/>
      <c r="B1789" s="105"/>
      <c r="C1789" s="105"/>
      <c r="D1789" s="105"/>
      <c r="E1789" s="105"/>
      <c r="F1789" s="105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>
      <c r="A1790" s="104"/>
      <c r="B1790" s="105"/>
      <c r="C1790" s="105"/>
      <c r="D1790" s="105"/>
      <c r="E1790" s="105"/>
      <c r="F1790" s="105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>
      <c r="A1791" s="104"/>
      <c r="B1791" s="105"/>
      <c r="C1791" s="105"/>
      <c r="D1791" s="105"/>
      <c r="E1791" s="105"/>
      <c r="F1791" s="105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>
      <c r="A1792" s="104"/>
      <c r="B1792" s="105"/>
      <c r="C1792" s="105"/>
      <c r="D1792" s="105"/>
      <c r="E1792" s="105"/>
      <c r="F1792" s="105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>
      <c r="A1793" s="104"/>
      <c r="B1793" s="105"/>
      <c r="C1793" s="105"/>
      <c r="D1793" s="105"/>
      <c r="E1793" s="105"/>
      <c r="F1793" s="105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>
      <c r="A1794" s="104"/>
      <c r="B1794" s="105"/>
      <c r="C1794" s="105"/>
      <c r="D1794" s="105"/>
      <c r="E1794" s="105"/>
      <c r="F1794" s="105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>
      <c r="A1795" s="104"/>
      <c r="B1795" s="105"/>
      <c r="C1795" s="105"/>
      <c r="D1795" s="105"/>
      <c r="E1795" s="105"/>
      <c r="F1795" s="105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>
      <c r="A1796" s="104"/>
      <c r="B1796" s="105"/>
      <c r="C1796" s="105"/>
      <c r="D1796" s="105"/>
      <c r="E1796" s="105"/>
      <c r="F1796" s="105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>
      <c r="A1797" s="104"/>
      <c r="B1797" s="105"/>
      <c r="C1797" s="105"/>
      <c r="D1797" s="105"/>
      <c r="E1797" s="105"/>
      <c r="F1797" s="105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>
      <c r="A1798" s="104"/>
      <c r="B1798" s="105"/>
      <c r="C1798" s="105"/>
      <c r="D1798" s="105"/>
      <c r="E1798" s="105"/>
      <c r="F1798" s="105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>
      <c r="A1799" s="104"/>
      <c r="B1799" s="105"/>
      <c r="C1799" s="105"/>
      <c r="D1799" s="105"/>
      <c r="E1799" s="105"/>
      <c r="F1799" s="105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>
      <c r="A1800" s="104"/>
      <c r="B1800" s="105"/>
      <c r="C1800" s="105"/>
      <c r="D1800" s="105"/>
      <c r="E1800" s="105"/>
      <c r="F1800" s="105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>
      <c r="A1801" s="104"/>
      <c r="B1801" s="105"/>
      <c r="C1801" s="105"/>
      <c r="D1801" s="105"/>
      <c r="E1801" s="105"/>
      <c r="F1801" s="105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>
      <c r="A1802" s="104"/>
      <c r="B1802" s="105"/>
      <c r="C1802" s="105"/>
      <c r="D1802" s="105"/>
      <c r="E1802" s="105"/>
      <c r="F1802" s="105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>
      <c r="A1803" s="104"/>
      <c r="B1803" s="105"/>
      <c r="C1803" s="105"/>
      <c r="D1803" s="105"/>
      <c r="E1803" s="105"/>
      <c r="F1803" s="105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>
      <c r="A1804" s="104"/>
      <c r="B1804" s="105"/>
      <c r="C1804" s="105"/>
      <c r="D1804" s="105"/>
      <c r="E1804" s="105"/>
      <c r="F1804" s="105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>
      <c r="A1805" s="104"/>
      <c r="B1805" s="105"/>
      <c r="C1805" s="105"/>
      <c r="D1805" s="105"/>
      <c r="E1805" s="105"/>
      <c r="F1805" s="105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>
      <c r="A1806" s="104"/>
      <c r="B1806" s="105"/>
      <c r="C1806" s="105"/>
      <c r="D1806" s="105"/>
      <c r="E1806" s="105"/>
      <c r="F1806" s="105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>
      <c r="A1807" s="104"/>
      <c r="B1807" s="105"/>
      <c r="C1807" s="105"/>
      <c r="D1807" s="105"/>
      <c r="E1807" s="105"/>
      <c r="F1807" s="105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>
      <c r="A1808" s="104"/>
      <c r="B1808" s="105"/>
      <c r="C1808" s="105"/>
      <c r="D1808" s="105"/>
      <c r="E1808" s="105"/>
      <c r="F1808" s="105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>
      <c r="A1809" s="104"/>
      <c r="B1809" s="105"/>
      <c r="C1809" s="105"/>
      <c r="D1809" s="105"/>
      <c r="E1809" s="105"/>
      <c r="F1809" s="105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>
      <c r="A1810" s="104"/>
      <c r="B1810" s="105"/>
      <c r="C1810" s="105"/>
      <c r="D1810" s="105"/>
      <c r="E1810" s="105"/>
      <c r="F1810" s="105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>
      <c r="A1811" s="104"/>
      <c r="B1811" s="105"/>
      <c r="C1811" s="105"/>
      <c r="D1811" s="105"/>
      <c r="E1811" s="105"/>
      <c r="F1811" s="105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>
      <c r="A1812" s="104"/>
      <c r="B1812" s="105"/>
      <c r="C1812" s="105"/>
      <c r="D1812" s="105"/>
      <c r="E1812" s="105"/>
      <c r="F1812" s="105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>
      <c r="A1813" s="104"/>
      <c r="B1813" s="105"/>
      <c r="C1813" s="105"/>
      <c r="D1813" s="105"/>
      <c r="E1813" s="105"/>
      <c r="F1813" s="105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>
      <c r="A1814" s="104"/>
      <c r="B1814" s="105"/>
      <c r="C1814" s="105"/>
      <c r="D1814" s="105"/>
      <c r="E1814" s="105"/>
      <c r="F1814" s="105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>
      <c r="A1815" s="104"/>
      <c r="B1815" s="105"/>
      <c r="C1815" s="105"/>
      <c r="D1815" s="105"/>
      <c r="E1815" s="105"/>
      <c r="F1815" s="105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>
      <c r="A1816" s="104"/>
      <c r="B1816" s="105"/>
      <c r="C1816" s="105"/>
      <c r="D1816" s="105"/>
      <c r="E1816" s="105"/>
      <c r="F1816" s="105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>
      <c r="A1817" s="104"/>
      <c r="B1817" s="105"/>
      <c r="C1817" s="105"/>
      <c r="D1817" s="105"/>
      <c r="E1817" s="105"/>
      <c r="F1817" s="105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>
      <c r="A1818" s="104"/>
      <c r="B1818" s="105"/>
      <c r="C1818" s="105"/>
      <c r="D1818" s="105"/>
      <c r="E1818" s="105"/>
      <c r="F1818" s="105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>
      <c r="A1819" s="104"/>
      <c r="B1819" s="105"/>
      <c r="C1819" s="105"/>
      <c r="D1819" s="105"/>
      <c r="E1819" s="105"/>
      <c r="F1819" s="105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>
      <c r="A1820" s="104"/>
      <c r="B1820" s="105"/>
      <c r="C1820" s="105"/>
      <c r="D1820" s="105"/>
      <c r="E1820" s="105"/>
      <c r="F1820" s="105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>
      <c r="A1821" s="104"/>
      <c r="B1821" s="105"/>
      <c r="C1821" s="105"/>
      <c r="D1821" s="105"/>
      <c r="E1821" s="105"/>
      <c r="F1821" s="105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>
      <c r="A1822" s="104"/>
      <c r="B1822" s="105"/>
      <c r="C1822" s="105"/>
      <c r="D1822" s="105"/>
      <c r="E1822" s="105"/>
      <c r="F1822" s="105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>
      <c r="A1823" s="104"/>
      <c r="B1823" s="105"/>
      <c r="C1823" s="105"/>
      <c r="D1823" s="105"/>
      <c r="E1823" s="105"/>
      <c r="F1823" s="105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>
      <c r="A1824" s="104"/>
      <c r="B1824" s="105"/>
      <c r="C1824" s="105"/>
      <c r="D1824" s="105"/>
      <c r="E1824" s="105"/>
      <c r="F1824" s="105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>
      <c r="A1825" s="104"/>
      <c r="B1825" s="105"/>
      <c r="C1825" s="105"/>
      <c r="D1825" s="105"/>
      <c r="E1825" s="105"/>
      <c r="F1825" s="105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>
      <c r="A1826" s="104"/>
      <c r="B1826" s="105"/>
      <c r="C1826" s="105"/>
      <c r="D1826" s="105"/>
      <c r="E1826" s="105"/>
      <c r="F1826" s="105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>
      <c r="A1827" s="104"/>
      <c r="B1827" s="105"/>
      <c r="C1827" s="105"/>
      <c r="D1827" s="105"/>
      <c r="E1827" s="105"/>
      <c r="F1827" s="105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>
      <c r="A1828" s="104"/>
      <c r="B1828" s="105"/>
      <c r="C1828" s="105"/>
      <c r="D1828" s="105"/>
      <c r="E1828" s="105"/>
      <c r="F1828" s="105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>
      <c r="A1829" s="104"/>
      <c r="B1829" s="105"/>
      <c r="C1829" s="105"/>
      <c r="D1829" s="105"/>
      <c r="E1829" s="105"/>
      <c r="F1829" s="105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>
      <c r="A1830" s="104"/>
      <c r="B1830" s="105"/>
      <c r="C1830" s="105"/>
      <c r="D1830" s="105"/>
      <c r="E1830" s="105"/>
      <c r="F1830" s="105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>
      <c r="A1831" s="104"/>
      <c r="B1831" s="105"/>
      <c r="C1831" s="105"/>
      <c r="D1831" s="105"/>
      <c r="E1831" s="105"/>
      <c r="F1831" s="105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>
      <c r="A1832" s="104"/>
      <c r="B1832" s="105"/>
      <c r="C1832" s="105"/>
      <c r="D1832" s="105"/>
      <c r="E1832" s="105"/>
      <c r="F1832" s="105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>
      <c r="A1833" s="104"/>
      <c r="B1833" s="105"/>
      <c r="C1833" s="105"/>
      <c r="D1833" s="105"/>
      <c r="E1833" s="105"/>
      <c r="F1833" s="105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>
      <c r="A1834" s="104"/>
      <c r="B1834" s="105"/>
      <c r="C1834" s="105"/>
      <c r="D1834" s="105"/>
      <c r="E1834" s="105"/>
      <c r="F1834" s="105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>
      <c r="A1835" s="104"/>
      <c r="B1835" s="105"/>
      <c r="C1835" s="105"/>
      <c r="D1835" s="105"/>
      <c r="E1835" s="105"/>
      <c r="F1835" s="105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>
      <c r="A1836" s="104"/>
      <c r="B1836" s="105"/>
      <c r="C1836" s="105"/>
      <c r="D1836" s="105"/>
      <c r="E1836" s="105"/>
      <c r="F1836" s="105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>
      <c r="A1837" s="104"/>
      <c r="B1837" s="105"/>
      <c r="C1837" s="105"/>
      <c r="D1837" s="105"/>
      <c r="E1837" s="105"/>
      <c r="F1837" s="105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>
      <c r="A1838" s="104"/>
      <c r="B1838" s="105"/>
      <c r="C1838" s="105"/>
      <c r="D1838" s="105"/>
      <c r="E1838" s="105"/>
      <c r="F1838" s="105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>
      <c r="A1839" s="104"/>
      <c r="B1839" s="105"/>
      <c r="C1839" s="105"/>
      <c r="D1839" s="105"/>
      <c r="E1839" s="105"/>
      <c r="F1839" s="105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>
      <c r="A1840" s="104"/>
      <c r="B1840" s="105"/>
      <c r="C1840" s="105"/>
      <c r="D1840" s="105"/>
      <c r="E1840" s="105"/>
      <c r="F1840" s="105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>
      <c r="A1841" s="104"/>
      <c r="B1841" s="105"/>
      <c r="C1841" s="105"/>
      <c r="D1841" s="105"/>
      <c r="E1841" s="105"/>
      <c r="F1841" s="105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>
      <c r="A1842" s="104"/>
      <c r="B1842" s="105"/>
      <c r="C1842" s="105"/>
      <c r="D1842" s="105"/>
      <c r="E1842" s="105"/>
      <c r="F1842" s="105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>
      <c r="A1843" s="104"/>
      <c r="B1843" s="105"/>
      <c r="C1843" s="105"/>
      <c r="D1843" s="105"/>
      <c r="E1843" s="105"/>
      <c r="F1843" s="105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>
      <c r="A1844" s="104"/>
      <c r="B1844" s="105"/>
      <c r="C1844" s="105"/>
      <c r="D1844" s="105"/>
      <c r="E1844" s="105"/>
      <c r="F1844" s="105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>
      <c r="A1845" s="104"/>
      <c r="B1845" s="105"/>
      <c r="C1845" s="105"/>
      <c r="D1845" s="105"/>
      <c r="E1845" s="105"/>
      <c r="F1845" s="105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>
      <c r="A1846" s="104"/>
      <c r="B1846" s="105"/>
      <c r="C1846" s="105"/>
      <c r="D1846" s="105"/>
      <c r="E1846" s="105"/>
      <c r="F1846" s="105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>
      <c r="A1847" s="104"/>
      <c r="B1847" s="105"/>
      <c r="C1847" s="105"/>
      <c r="D1847" s="105"/>
      <c r="E1847" s="105"/>
      <c r="F1847" s="105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>
      <c r="A1848" s="104"/>
      <c r="B1848" s="105"/>
      <c r="C1848" s="105"/>
      <c r="D1848" s="105"/>
      <c r="E1848" s="105"/>
      <c r="F1848" s="105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>
      <c r="A1849" s="104"/>
      <c r="B1849" s="105"/>
      <c r="C1849" s="105"/>
      <c r="D1849" s="105"/>
      <c r="E1849" s="105"/>
      <c r="F1849" s="105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>
      <c r="A1850" s="104"/>
      <c r="B1850" s="105"/>
      <c r="C1850" s="105"/>
      <c r="D1850" s="105"/>
      <c r="E1850" s="105"/>
      <c r="F1850" s="105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>
      <c r="A1851" s="104"/>
      <c r="B1851" s="105"/>
      <c r="C1851" s="105"/>
      <c r="D1851" s="105"/>
      <c r="E1851" s="105"/>
      <c r="F1851" s="105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>
      <c r="A1852" s="104"/>
      <c r="B1852" s="105"/>
      <c r="C1852" s="105"/>
      <c r="D1852" s="105"/>
      <c r="E1852" s="105"/>
      <c r="F1852" s="105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>
      <c r="A1853" s="104"/>
      <c r="B1853" s="105"/>
      <c r="C1853" s="105"/>
      <c r="D1853" s="105"/>
      <c r="E1853" s="105"/>
      <c r="F1853" s="105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>
      <c r="A1854" s="104"/>
      <c r="B1854" s="105"/>
      <c r="C1854" s="105"/>
      <c r="D1854" s="105"/>
      <c r="E1854" s="105"/>
      <c r="F1854" s="105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>
      <c r="A1855" s="104"/>
      <c r="B1855" s="105"/>
      <c r="C1855" s="105"/>
      <c r="D1855" s="105"/>
      <c r="E1855" s="105"/>
      <c r="F1855" s="105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>
      <c r="A1856" s="104"/>
      <c r="B1856" s="105"/>
      <c r="C1856" s="105"/>
      <c r="D1856" s="105"/>
      <c r="E1856" s="105"/>
      <c r="F1856" s="105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>
      <c r="A1857" s="104"/>
      <c r="B1857" s="105"/>
      <c r="C1857" s="105"/>
      <c r="D1857" s="105"/>
      <c r="E1857" s="105"/>
      <c r="F1857" s="105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>
      <c r="A1858" s="104"/>
      <c r="B1858" s="105"/>
      <c r="C1858" s="105"/>
      <c r="D1858" s="105"/>
      <c r="E1858" s="105"/>
      <c r="F1858" s="105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>
      <c r="A1859" s="104"/>
      <c r="B1859" s="105"/>
      <c r="C1859" s="105"/>
      <c r="D1859" s="105"/>
      <c r="E1859" s="105"/>
      <c r="F1859" s="105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>
      <c r="A1860" s="104"/>
      <c r="B1860" s="105"/>
      <c r="C1860" s="105"/>
      <c r="D1860" s="105"/>
      <c r="E1860" s="105"/>
      <c r="F1860" s="105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>
      <c r="A1861" s="104"/>
      <c r="B1861" s="105"/>
      <c r="C1861" s="105"/>
      <c r="D1861" s="105"/>
      <c r="E1861" s="105"/>
      <c r="F1861" s="105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>
      <c r="A1862" s="104"/>
      <c r="B1862" s="105"/>
      <c r="C1862" s="105"/>
      <c r="D1862" s="105"/>
      <c r="E1862" s="105"/>
      <c r="F1862" s="105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>
      <c r="A1863" s="104"/>
      <c r="B1863" s="105"/>
      <c r="C1863" s="105"/>
      <c r="D1863" s="105"/>
      <c r="E1863" s="105"/>
      <c r="F1863" s="105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>
      <c r="A1864" s="104"/>
      <c r="B1864" s="105"/>
      <c r="C1864" s="105"/>
      <c r="D1864" s="105"/>
      <c r="E1864" s="105"/>
      <c r="F1864" s="105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>
      <c r="A1865" s="104"/>
      <c r="B1865" s="105"/>
      <c r="C1865" s="105"/>
      <c r="D1865" s="105"/>
      <c r="E1865" s="105"/>
      <c r="F1865" s="105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>
      <c r="A1866" s="104"/>
      <c r="B1866" s="105"/>
      <c r="C1866" s="105"/>
      <c r="D1866" s="105"/>
      <c r="E1866" s="105"/>
      <c r="F1866" s="105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>
      <c r="A1867" s="104"/>
      <c r="B1867" s="105"/>
      <c r="C1867" s="105"/>
      <c r="D1867" s="105"/>
      <c r="E1867" s="105"/>
      <c r="F1867" s="105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>
      <c r="A1868" s="104"/>
      <c r="B1868" s="105"/>
      <c r="C1868" s="105"/>
      <c r="D1868" s="105"/>
      <c r="E1868" s="105"/>
      <c r="F1868" s="105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>
      <c r="A1869" s="104"/>
      <c r="B1869" s="105"/>
      <c r="C1869" s="105"/>
      <c r="D1869" s="105"/>
      <c r="E1869" s="105"/>
      <c r="F1869" s="105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>
      <c r="A1870" s="104"/>
      <c r="B1870" s="105"/>
      <c r="C1870" s="105"/>
      <c r="D1870" s="105"/>
      <c r="E1870" s="105"/>
      <c r="F1870" s="105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>
      <c r="A1871" s="104"/>
      <c r="B1871" s="105"/>
      <c r="C1871" s="105"/>
      <c r="D1871" s="105"/>
      <c r="E1871" s="105"/>
      <c r="F1871" s="105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>
      <c r="A1872" s="104"/>
      <c r="B1872" s="105"/>
      <c r="C1872" s="105"/>
      <c r="D1872" s="105"/>
      <c r="E1872" s="105"/>
      <c r="F1872" s="105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>
      <c r="A1873" s="104"/>
      <c r="B1873" s="105"/>
      <c r="C1873" s="105"/>
      <c r="D1873" s="105"/>
      <c r="E1873" s="105"/>
      <c r="F1873" s="105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>
      <c r="A1874" s="104"/>
      <c r="B1874" s="105"/>
      <c r="C1874" s="105"/>
      <c r="D1874" s="105"/>
      <c r="E1874" s="105"/>
      <c r="F1874" s="105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>
      <c r="A1875" s="104"/>
      <c r="B1875" s="105"/>
      <c r="C1875" s="105"/>
      <c r="D1875" s="105"/>
      <c r="E1875" s="105"/>
      <c r="F1875" s="105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>
      <c r="A1876" s="104"/>
      <c r="B1876" s="105"/>
      <c r="C1876" s="105"/>
      <c r="D1876" s="105"/>
      <c r="E1876" s="105"/>
      <c r="F1876" s="105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>
      <c r="A1877" s="104"/>
      <c r="B1877" s="105"/>
      <c r="C1877" s="105"/>
      <c r="D1877" s="105"/>
      <c r="E1877" s="105"/>
      <c r="F1877" s="105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>
      <c r="A1878" s="104"/>
      <c r="B1878" s="105"/>
      <c r="C1878" s="105"/>
      <c r="D1878" s="105"/>
      <c r="E1878" s="105"/>
      <c r="F1878" s="105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>
      <c r="A1879" s="104"/>
      <c r="B1879" s="105"/>
      <c r="C1879" s="105"/>
      <c r="D1879" s="105"/>
      <c r="E1879" s="105"/>
      <c r="F1879" s="105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>
      <c r="A1880" s="104"/>
      <c r="B1880" s="105"/>
      <c r="C1880" s="105"/>
      <c r="D1880" s="105"/>
      <c r="E1880" s="105"/>
      <c r="F1880" s="105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>
      <c r="A1881" s="104"/>
      <c r="B1881" s="105"/>
      <c r="C1881" s="105"/>
      <c r="D1881" s="105"/>
      <c r="E1881" s="105"/>
      <c r="F1881" s="105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>
      <c r="A1882" s="104"/>
      <c r="B1882" s="105"/>
      <c r="C1882" s="105"/>
      <c r="D1882" s="105"/>
      <c r="E1882" s="105"/>
      <c r="F1882" s="105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>
      <c r="A1883" s="104"/>
      <c r="B1883" s="105"/>
      <c r="C1883" s="105"/>
      <c r="D1883" s="105"/>
      <c r="E1883" s="105"/>
      <c r="F1883" s="105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>
      <c r="A1884" s="104"/>
      <c r="B1884" s="105"/>
      <c r="C1884" s="105"/>
      <c r="D1884" s="105"/>
      <c r="E1884" s="105"/>
      <c r="F1884" s="105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>
      <c r="A1885" s="104"/>
      <c r="B1885" s="105"/>
      <c r="C1885" s="105"/>
      <c r="D1885" s="105"/>
      <c r="E1885" s="105"/>
      <c r="F1885" s="105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>
      <c r="A1886" s="104"/>
      <c r="B1886" s="105"/>
      <c r="C1886" s="105"/>
      <c r="D1886" s="105"/>
      <c r="E1886" s="105"/>
      <c r="F1886" s="105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>
      <c r="A1887" s="104"/>
      <c r="B1887" s="105"/>
      <c r="C1887" s="105"/>
      <c r="D1887" s="105"/>
      <c r="E1887" s="105"/>
      <c r="F1887" s="105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>
      <c r="A1888" s="104"/>
      <c r="B1888" s="105"/>
      <c r="C1888" s="105"/>
      <c r="D1888" s="105"/>
      <c r="E1888" s="105"/>
      <c r="F1888" s="105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>
      <c r="A1889" s="104"/>
      <c r="B1889" s="105"/>
      <c r="C1889" s="105"/>
      <c r="D1889" s="105"/>
      <c r="E1889" s="105"/>
      <c r="F1889" s="105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>
      <c r="A1890" s="104"/>
      <c r="B1890" s="105"/>
      <c r="C1890" s="105"/>
      <c r="D1890" s="105"/>
      <c r="E1890" s="105"/>
      <c r="F1890" s="105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>
      <c r="A1891" s="104"/>
      <c r="B1891" s="105"/>
      <c r="C1891" s="105"/>
      <c r="D1891" s="105"/>
      <c r="E1891" s="105"/>
      <c r="F1891" s="105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>
      <c r="A1892" s="104"/>
      <c r="B1892" s="105"/>
      <c r="C1892" s="105"/>
      <c r="D1892" s="105"/>
      <c r="E1892" s="105"/>
      <c r="F1892" s="105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>
      <c r="A1893" s="104"/>
      <c r="B1893" s="105"/>
      <c r="C1893" s="105"/>
      <c r="D1893" s="105"/>
      <c r="E1893" s="105"/>
      <c r="F1893" s="105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>
      <c r="A1894" s="104"/>
      <c r="B1894" s="105"/>
      <c r="C1894" s="105"/>
      <c r="D1894" s="105"/>
      <c r="E1894" s="105"/>
      <c r="F1894" s="105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>
      <c r="A1895" s="104"/>
      <c r="B1895" s="105"/>
      <c r="C1895" s="105"/>
      <c r="D1895" s="105"/>
      <c r="E1895" s="105"/>
      <c r="F1895" s="105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>
      <c r="A1896" s="104"/>
      <c r="B1896" s="105"/>
      <c r="C1896" s="105"/>
      <c r="D1896" s="105"/>
      <c r="E1896" s="105"/>
      <c r="F1896" s="105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>
      <c r="A1897" s="104"/>
      <c r="B1897" s="105"/>
      <c r="C1897" s="105"/>
      <c r="D1897" s="105"/>
      <c r="E1897" s="105"/>
      <c r="F1897" s="105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>
      <c r="A1898" s="104"/>
      <c r="B1898" s="105"/>
      <c r="C1898" s="105"/>
      <c r="D1898" s="105"/>
      <c r="E1898" s="105"/>
      <c r="F1898" s="105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>
      <c r="A1899" s="104"/>
      <c r="B1899" s="105"/>
      <c r="C1899" s="105"/>
      <c r="D1899" s="105"/>
      <c r="E1899" s="105"/>
      <c r="F1899" s="105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>
      <c r="A1900" s="104"/>
      <c r="B1900" s="105"/>
      <c r="C1900" s="105"/>
      <c r="D1900" s="105"/>
      <c r="E1900" s="105"/>
      <c r="F1900" s="105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>
      <c r="A1901" s="104"/>
      <c r="B1901" s="105"/>
      <c r="C1901" s="105"/>
      <c r="D1901" s="105"/>
      <c r="E1901" s="105"/>
      <c r="F1901" s="105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>
      <c r="A1902" s="104"/>
      <c r="B1902" s="105"/>
      <c r="C1902" s="105"/>
      <c r="D1902" s="105"/>
      <c r="E1902" s="105"/>
      <c r="F1902" s="105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>
      <c r="A1903" s="104"/>
      <c r="B1903" s="105"/>
      <c r="C1903" s="105"/>
      <c r="D1903" s="105"/>
      <c r="E1903" s="105"/>
      <c r="F1903" s="105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>
      <c r="A1904" s="104"/>
      <c r="B1904" s="105"/>
      <c r="C1904" s="105"/>
      <c r="D1904" s="105"/>
      <c r="E1904" s="105"/>
      <c r="F1904" s="105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>
      <c r="A1905" s="104"/>
      <c r="B1905" s="105"/>
      <c r="C1905" s="105"/>
      <c r="D1905" s="105"/>
      <c r="E1905" s="105"/>
      <c r="F1905" s="105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>
      <c r="A1906" s="104"/>
      <c r="B1906" s="105"/>
      <c r="C1906" s="105"/>
      <c r="D1906" s="105"/>
      <c r="E1906" s="105"/>
      <c r="F1906" s="105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>
      <c r="A1907" s="104"/>
      <c r="B1907" s="105"/>
      <c r="C1907" s="105"/>
      <c r="D1907" s="105"/>
      <c r="E1907" s="105"/>
      <c r="F1907" s="105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>
      <c r="A1908" s="104"/>
      <c r="B1908" s="105"/>
      <c r="C1908" s="105"/>
      <c r="D1908" s="105"/>
      <c r="E1908" s="105"/>
      <c r="F1908" s="105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>
      <c r="A1909" s="104"/>
      <c r="B1909" s="105"/>
      <c r="C1909" s="105"/>
      <c r="D1909" s="105"/>
      <c r="E1909" s="105"/>
      <c r="F1909" s="105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>
      <c r="A1910" s="104"/>
      <c r="B1910" s="105"/>
      <c r="C1910" s="105"/>
      <c r="D1910" s="105"/>
      <c r="E1910" s="105"/>
      <c r="F1910" s="105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>
      <c r="A1911" s="104"/>
      <c r="B1911" s="105"/>
      <c r="C1911" s="105"/>
      <c r="D1911" s="105"/>
      <c r="E1911" s="105"/>
      <c r="F1911" s="105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>
      <c r="A1912" s="104"/>
      <c r="B1912" s="105"/>
      <c r="C1912" s="105"/>
      <c r="D1912" s="105"/>
      <c r="E1912" s="105"/>
      <c r="F1912" s="105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>
      <c r="A1913" s="104"/>
      <c r="B1913" s="105"/>
      <c r="C1913" s="105"/>
      <c r="D1913" s="105"/>
      <c r="E1913" s="105"/>
      <c r="F1913" s="105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>
      <c r="A1914" s="104"/>
      <c r="B1914" s="105"/>
      <c r="C1914" s="105"/>
      <c r="D1914" s="105"/>
      <c r="E1914" s="105"/>
      <c r="F1914" s="105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>
      <c r="A1915" s="104"/>
      <c r="B1915" s="105"/>
      <c r="C1915" s="105"/>
      <c r="D1915" s="105"/>
      <c r="E1915" s="105"/>
      <c r="F1915" s="105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>
      <c r="A1916" s="104"/>
      <c r="B1916" s="105"/>
      <c r="C1916" s="105"/>
      <c r="D1916" s="105"/>
      <c r="E1916" s="105"/>
      <c r="F1916" s="105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>
      <c r="A1917" s="104"/>
      <c r="B1917" s="105"/>
      <c r="C1917" s="105"/>
      <c r="D1917" s="105"/>
      <c r="E1917" s="105"/>
      <c r="F1917" s="105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>
      <c r="A1918" s="104"/>
      <c r="B1918" s="105"/>
      <c r="C1918" s="105"/>
      <c r="D1918" s="105"/>
      <c r="E1918" s="105"/>
      <c r="F1918" s="105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>
      <c r="A1919" s="104"/>
      <c r="B1919" s="105"/>
      <c r="C1919" s="105"/>
      <c r="D1919" s="105"/>
      <c r="E1919" s="105"/>
      <c r="F1919" s="105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>
      <c r="A1920" s="104"/>
      <c r="B1920" s="105"/>
      <c r="C1920" s="105"/>
      <c r="D1920" s="105"/>
      <c r="E1920" s="105"/>
      <c r="F1920" s="105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>
      <c r="A1921" s="104"/>
      <c r="B1921" s="105"/>
      <c r="C1921" s="105"/>
      <c r="D1921" s="105"/>
      <c r="E1921" s="105"/>
      <c r="F1921" s="105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>
      <c r="A1922" s="104"/>
      <c r="B1922" s="105"/>
      <c r="C1922" s="105"/>
      <c r="D1922" s="105"/>
      <c r="E1922" s="105"/>
      <c r="F1922" s="105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>
      <c r="A1923" s="104"/>
      <c r="B1923" s="105"/>
      <c r="C1923" s="105"/>
      <c r="D1923" s="105"/>
      <c r="E1923" s="105"/>
      <c r="F1923" s="105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>
      <c r="A1924" s="104"/>
      <c r="B1924" s="105"/>
      <c r="C1924" s="105"/>
      <c r="D1924" s="105"/>
      <c r="E1924" s="105"/>
      <c r="F1924" s="105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>
      <c r="A1925" s="104"/>
      <c r="B1925" s="105"/>
      <c r="C1925" s="105"/>
      <c r="D1925" s="105"/>
      <c r="E1925" s="105"/>
      <c r="F1925" s="105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>
      <c r="A1926" s="104"/>
      <c r="B1926" s="105"/>
      <c r="C1926" s="105"/>
      <c r="D1926" s="105"/>
      <c r="E1926" s="105"/>
      <c r="F1926" s="105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>
      <c r="A1927" s="104"/>
      <c r="B1927" s="105"/>
      <c r="C1927" s="105"/>
      <c r="D1927" s="105"/>
      <c r="E1927" s="105"/>
      <c r="F1927" s="105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>
      <c r="A1928" s="104"/>
      <c r="B1928" s="105"/>
      <c r="C1928" s="105"/>
      <c r="D1928" s="105"/>
      <c r="E1928" s="105"/>
      <c r="F1928" s="105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>
      <c r="A1929" s="104"/>
      <c r="B1929" s="105"/>
      <c r="C1929" s="105"/>
      <c r="D1929" s="105"/>
      <c r="E1929" s="105"/>
      <c r="F1929" s="105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>
      <c r="A1930" s="104"/>
      <c r="B1930" s="105"/>
      <c r="C1930" s="105"/>
      <c r="D1930" s="105"/>
      <c r="E1930" s="105"/>
      <c r="F1930" s="105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>
      <c r="A1931" s="104"/>
      <c r="B1931" s="105"/>
      <c r="C1931" s="105"/>
      <c r="D1931" s="105"/>
      <c r="E1931" s="105"/>
      <c r="F1931" s="105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>
      <c r="A1932" s="104"/>
      <c r="B1932" s="105"/>
      <c r="C1932" s="105"/>
      <c r="D1932" s="105"/>
      <c r="E1932" s="105"/>
      <c r="F1932" s="105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>
      <c r="A1933" s="104"/>
      <c r="B1933" s="105"/>
      <c r="C1933" s="105"/>
      <c r="D1933" s="105"/>
      <c r="E1933" s="105"/>
      <c r="F1933" s="105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>
      <c r="A1934" s="104"/>
      <c r="B1934" s="105"/>
      <c r="C1934" s="105"/>
      <c r="D1934" s="105"/>
      <c r="E1934" s="105"/>
      <c r="F1934" s="105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>
      <c r="A1935" s="104"/>
      <c r="B1935" s="105"/>
      <c r="C1935" s="105"/>
      <c r="D1935" s="105"/>
      <c r="E1935" s="105"/>
      <c r="F1935" s="105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>
      <c r="A1936" s="104"/>
      <c r="B1936" s="105"/>
      <c r="C1936" s="105"/>
      <c r="D1936" s="105"/>
      <c r="E1936" s="105"/>
      <c r="F1936" s="105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>
      <c r="A1937" s="104"/>
      <c r="B1937" s="105"/>
      <c r="C1937" s="105"/>
      <c r="D1937" s="105"/>
      <c r="E1937" s="105"/>
      <c r="F1937" s="105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>
      <c r="A1938" s="104"/>
      <c r="B1938" s="105"/>
      <c r="C1938" s="105"/>
      <c r="D1938" s="105"/>
      <c r="E1938" s="105"/>
      <c r="F1938" s="105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>
      <c r="A1939" s="104"/>
      <c r="B1939" s="105"/>
      <c r="C1939" s="105"/>
      <c r="D1939" s="105"/>
      <c r="E1939" s="105"/>
      <c r="F1939" s="105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>
      <c r="A1940" s="104"/>
      <c r="B1940" s="105"/>
      <c r="C1940" s="105"/>
      <c r="D1940" s="105"/>
      <c r="E1940" s="105"/>
      <c r="F1940" s="105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>
      <c r="A1941" s="104"/>
      <c r="B1941" s="105"/>
      <c r="C1941" s="105"/>
      <c r="D1941" s="105"/>
      <c r="E1941" s="105"/>
      <c r="F1941" s="105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>
      <c r="A1942" s="104"/>
      <c r="B1942" s="105"/>
      <c r="C1942" s="105"/>
      <c r="D1942" s="105"/>
      <c r="E1942" s="105"/>
      <c r="F1942" s="105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>
      <c r="A1943" s="104"/>
      <c r="B1943" s="105"/>
      <c r="C1943" s="105"/>
      <c r="D1943" s="105"/>
      <c r="E1943" s="105"/>
      <c r="F1943" s="105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>
      <c r="A1944" s="104"/>
      <c r="B1944" s="105"/>
      <c r="C1944" s="105"/>
      <c r="D1944" s="105"/>
      <c r="E1944" s="105"/>
      <c r="F1944" s="105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>
      <c r="A1945" s="104"/>
      <c r="B1945" s="105"/>
      <c r="C1945" s="105"/>
      <c r="D1945" s="105"/>
      <c r="E1945" s="105"/>
      <c r="F1945" s="105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>
      <c r="A1946" s="104"/>
      <c r="B1946" s="105"/>
      <c r="C1946" s="105"/>
      <c r="D1946" s="105"/>
      <c r="E1946" s="105"/>
      <c r="F1946" s="105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>
      <c r="A1947" s="104"/>
      <c r="B1947" s="105"/>
      <c r="C1947" s="105"/>
      <c r="D1947" s="105"/>
      <c r="E1947" s="105"/>
      <c r="F1947" s="105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>
      <c r="A1948" s="104"/>
      <c r="B1948" s="105"/>
      <c r="C1948" s="105"/>
      <c r="D1948" s="105"/>
      <c r="E1948" s="105"/>
      <c r="F1948" s="105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>
      <c r="A1949" s="104"/>
      <c r="B1949" s="105"/>
      <c r="C1949" s="105"/>
      <c r="D1949" s="105"/>
      <c r="E1949" s="105"/>
      <c r="F1949" s="105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>
      <c r="A1950" s="104"/>
      <c r="B1950" s="105"/>
      <c r="C1950" s="105"/>
      <c r="D1950" s="105"/>
      <c r="E1950" s="105"/>
      <c r="F1950" s="105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>
      <c r="A1951" s="104"/>
      <c r="B1951" s="105"/>
      <c r="C1951" s="105"/>
      <c r="D1951" s="105"/>
      <c r="E1951" s="105"/>
      <c r="F1951" s="105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>
      <c r="A1952" s="104"/>
      <c r="B1952" s="105"/>
      <c r="C1952" s="105"/>
      <c r="D1952" s="105"/>
      <c r="E1952" s="105"/>
      <c r="F1952" s="105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>
      <c r="A1953" s="104"/>
      <c r="B1953" s="105"/>
      <c r="C1953" s="105"/>
      <c r="D1953" s="105"/>
      <c r="E1953" s="105"/>
      <c r="F1953" s="105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>
      <c r="A1954" s="104"/>
      <c r="B1954" s="105"/>
      <c r="C1954" s="105"/>
      <c r="D1954" s="105"/>
      <c r="E1954" s="105"/>
      <c r="F1954" s="105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>
      <c r="A1955" s="104"/>
      <c r="B1955" s="105"/>
      <c r="C1955" s="105"/>
      <c r="D1955" s="105"/>
      <c r="E1955" s="105"/>
      <c r="F1955" s="105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>
      <c r="A1956" s="104"/>
      <c r="B1956" s="105"/>
      <c r="C1956" s="105"/>
      <c r="D1956" s="105"/>
      <c r="E1956" s="105"/>
      <c r="F1956" s="105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>
      <c r="A1957" s="104"/>
      <c r="B1957" s="105"/>
      <c r="C1957" s="105"/>
      <c r="D1957" s="105"/>
      <c r="E1957" s="105"/>
      <c r="F1957" s="105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>
      <c r="A1958" s="104"/>
      <c r="B1958" s="105"/>
      <c r="C1958" s="105"/>
      <c r="D1958" s="105"/>
      <c r="E1958" s="105"/>
      <c r="F1958" s="105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>
      <c r="A1959" s="104"/>
      <c r="B1959" s="105"/>
      <c r="C1959" s="105"/>
      <c r="D1959" s="105"/>
      <c r="E1959" s="105"/>
      <c r="F1959" s="105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>
      <c r="A1960" s="104"/>
      <c r="B1960" s="105"/>
      <c r="C1960" s="105"/>
      <c r="D1960" s="105"/>
      <c r="E1960" s="105"/>
      <c r="F1960" s="105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>
      <c r="A1961" s="104"/>
      <c r="B1961" s="105"/>
      <c r="C1961" s="105"/>
      <c r="D1961" s="105"/>
      <c r="E1961" s="105"/>
      <c r="F1961" s="105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>
      <c r="A1962" s="104"/>
      <c r="B1962" s="105"/>
      <c r="C1962" s="105"/>
      <c r="D1962" s="105"/>
      <c r="E1962" s="105"/>
      <c r="F1962" s="105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>
      <c r="A1963" s="104"/>
      <c r="B1963" s="105"/>
      <c r="C1963" s="105"/>
      <c r="D1963" s="105"/>
      <c r="E1963" s="105"/>
      <c r="F1963" s="105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>
      <c r="A1964" s="104"/>
      <c r="B1964" s="105"/>
      <c r="C1964" s="105"/>
      <c r="D1964" s="105"/>
      <c r="E1964" s="105"/>
      <c r="F1964" s="105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>
      <c r="A1965" s="104"/>
      <c r="B1965" s="105"/>
      <c r="C1965" s="105"/>
      <c r="D1965" s="105"/>
      <c r="E1965" s="105"/>
      <c r="F1965" s="105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>
      <c r="A1966" s="104"/>
      <c r="B1966" s="105"/>
      <c r="C1966" s="105"/>
      <c r="D1966" s="105"/>
      <c r="E1966" s="105"/>
      <c r="F1966" s="105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>
      <c r="A1967" s="104"/>
      <c r="B1967" s="105"/>
      <c r="C1967" s="105"/>
      <c r="D1967" s="105"/>
      <c r="E1967" s="105"/>
      <c r="F1967" s="105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>
      <c r="A1968" s="104"/>
      <c r="B1968" s="105"/>
      <c r="C1968" s="105"/>
      <c r="D1968" s="105"/>
      <c r="E1968" s="105"/>
      <c r="F1968" s="105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>
      <c r="A1969" s="104"/>
      <c r="B1969" s="105"/>
      <c r="C1969" s="105"/>
      <c r="D1969" s="105"/>
      <c r="E1969" s="105"/>
      <c r="F1969" s="105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>
      <c r="A1970" s="104"/>
      <c r="B1970" s="105"/>
      <c r="C1970" s="105"/>
      <c r="D1970" s="105"/>
      <c r="E1970" s="105"/>
      <c r="F1970" s="105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>
      <c r="A1971" s="104"/>
      <c r="B1971" s="105"/>
      <c r="C1971" s="105"/>
      <c r="D1971" s="105"/>
      <c r="E1971" s="105"/>
      <c r="F1971" s="105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>
      <c r="A1972" s="104"/>
      <c r="B1972" s="105"/>
      <c r="C1972" s="105"/>
      <c r="D1972" s="105"/>
      <c r="E1972" s="105"/>
      <c r="F1972" s="105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>
      <c r="A1973" s="104"/>
      <c r="B1973" s="105"/>
      <c r="C1973" s="105"/>
      <c r="D1973" s="105"/>
      <c r="E1973" s="105"/>
      <c r="F1973" s="105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>
      <c r="A1974" s="104"/>
      <c r="B1974" s="105"/>
      <c r="C1974" s="105"/>
      <c r="D1974" s="105"/>
      <c r="E1974" s="105"/>
      <c r="F1974" s="105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>
      <c r="A1975" s="104"/>
      <c r="B1975" s="105"/>
      <c r="C1975" s="105"/>
      <c r="D1975" s="105"/>
      <c r="E1975" s="105"/>
      <c r="F1975" s="105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>
      <c r="A1976" s="104"/>
      <c r="B1976" s="105"/>
      <c r="C1976" s="105"/>
      <c r="D1976" s="105"/>
      <c r="E1976" s="105"/>
      <c r="F1976" s="105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>
      <c r="A1977" s="104"/>
      <c r="B1977" s="105"/>
      <c r="C1977" s="105"/>
      <c r="D1977" s="105"/>
      <c r="E1977" s="105"/>
      <c r="F1977" s="105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>
      <c r="A1978" s="104"/>
      <c r="B1978" s="105"/>
      <c r="C1978" s="105"/>
      <c r="D1978" s="105"/>
      <c r="E1978" s="105"/>
      <c r="F1978" s="105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>
      <c r="A1979" s="104"/>
      <c r="B1979" s="105"/>
      <c r="C1979" s="105"/>
      <c r="D1979" s="105"/>
      <c r="E1979" s="105"/>
      <c r="F1979" s="105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>
      <c r="A1980" s="104"/>
      <c r="B1980" s="105"/>
      <c r="C1980" s="105"/>
      <c r="D1980" s="105"/>
      <c r="E1980" s="105"/>
      <c r="F1980" s="105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>
      <c r="A1981" s="104"/>
      <c r="B1981" s="105"/>
      <c r="C1981" s="105"/>
      <c r="D1981" s="105"/>
      <c r="E1981" s="105"/>
      <c r="F1981" s="105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>
      <c r="A1982" s="104"/>
      <c r="B1982" s="105"/>
      <c r="C1982" s="105"/>
      <c r="D1982" s="105"/>
      <c r="E1982" s="105"/>
      <c r="F1982" s="105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>
      <c r="A1983" s="104"/>
      <c r="B1983" s="105"/>
      <c r="C1983" s="105"/>
      <c r="D1983" s="105"/>
      <c r="E1983" s="105"/>
      <c r="F1983" s="105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>
      <c r="A1984" s="104"/>
      <c r="B1984" s="105"/>
      <c r="C1984" s="105"/>
      <c r="D1984" s="105"/>
      <c r="E1984" s="105"/>
      <c r="F1984" s="105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>
      <c r="A1985" s="104"/>
      <c r="B1985" s="105"/>
      <c r="C1985" s="105"/>
      <c r="D1985" s="105"/>
      <c r="E1985" s="105"/>
      <c r="F1985" s="105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>
      <c r="A1986" s="104"/>
      <c r="B1986" s="105"/>
      <c r="C1986" s="105"/>
      <c r="D1986" s="105"/>
      <c r="E1986" s="105"/>
      <c r="F1986" s="105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>
      <c r="A1987" s="104"/>
      <c r="B1987" s="105"/>
      <c r="C1987" s="105"/>
      <c r="D1987" s="105"/>
      <c r="E1987" s="105"/>
      <c r="F1987" s="105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>
      <c r="A1988" s="104"/>
      <c r="B1988" s="105"/>
      <c r="C1988" s="105"/>
      <c r="D1988" s="105"/>
      <c r="E1988" s="105"/>
      <c r="F1988" s="105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>
      <c r="A1989" s="104"/>
      <c r="B1989" s="105"/>
      <c r="C1989" s="105"/>
      <c r="D1989" s="105"/>
      <c r="E1989" s="105"/>
      <c r="F1989" s="105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>
      <c r="A1990" s="104"/>
      <c r="B1990" s="105"/>
      <c r="C1990" s="105"/>
      <c r="D1990" s="105"/>
      <c r="E1990" s="105"/>
      <c r="F1990" s="105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>
      <c r="A1991" s="104"/>
      <c r="B1991" s="105"/>
      <c r="C1991" s="105"/>
      <c r="D1991" s="105"/>
      <c r="E1991" s="105"/>
      <c r="F1991" s="105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>
      <c r="A1992" s="104"/>
      <c r="B1992" s="105"/>
      <c r="C1992" s="105"/>
      <c r="D1992" s="105"/>
      <c r="E1992" s="105"/>
      <c r="F1992" s="105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>
      <c r="A1993" s="104"/>
      <c r="B1993" s="105"/>
      <c r="C1993" s="105"/>
      <c r="D1993" s="105"/>
      <c r="E1993" s="105"/>
      <c r="F1993" s="105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>
      <c r="A1994" s="104"/>
      <c r="B1994" s="105"/>
      <c r="C1994" s="105"/>
      <c r="D1994" s="105"/>
      <c r="E1994" s="105"/>
      <c r="F1994" s="105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>
      <c r="A1995" s="104"/>
      <c r="B1995" s="105"/>
      <c r="C1995" s="105"/>
      <c r="D1995" s="105"/>
      <c r="E1995" s="105"/>
      <c r="F1995" s="105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>
      <c r="A1996" s="104"/>
      <c r="B1996" s="105"/>
      <c r="C1996" s="105"/>
      <c r="D1996" s="105"/>
      <c r="E1996" s="105"/>
      <c r="F1996" s="105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>
      <c r="A1997" s="104"/>
      <c r="B1997" s="105"/>
      <c r="C1997" s="105"/>
      <c r="D1997" s="105"/>
      <c r="E1997" s="105"/>
      <c r="F1997" s="105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>
      <c r="A1998" s="104"/>
      <c r="B1998" s="105"/>
      <c r="C1998" s="105"/>
      <c r="D1998" s="105"/>
      <c r="E1998" s="105"/>
      <c r="F1998" s="105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>
      <c r="A1999" s="104"/>
      <c r="B1999" s="105"/>
      <c r="C1999" s="105"/>
      <c r="D1999" s="105"/>
      <c r="E1999" s="105"/>
      <c r="F1999" s="105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>
      <c r="A2000" s="104"/>
      <c r="B2000" s="105"/>
      <c r="C2000" s="105"/>
      <c r="D2000" s="105"/>
      <c r="E2000" s="105"/>
      <c r="F2000" s="105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>
      <c r="A2001" s="104"/>
      <c r="B2001" s="105"/>
      <c r="C2001" s="105"/>
      <c r="D2001" s="105"/>
      <c r="E2001" s="105"/>
      <c r="F2001" s="105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>
      <c r="A2002" s="104"/>
      <c r="B2002" s="105"/>
      <c r="C2002" s="105"/>
      <c r="D2002" s="105"/>
      <c r="E2002" s="105"/>
      <c r="F2002" s="105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>
      <c r="A2003" s="104"/>
      <c r="B2003" s="105"/>
      <c r="C2003" s="105"/>
      <c r="D2003" s="105"/>
      <c r="E2003" s="105"/>
      <c r="F2003" s="105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>
      <c r="A2004" s="104"/>
      <c r="B2004" s="105"/>
      <c r="C2004" s="105"/>
      <c r="D2004" s="105"/>
      <c r="E2004" s="105"/>
      <c r="F2004" s="105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>
      <c r="A2005" s="104"/>
      <c r="B2005" s="105"/>
      <c r="C2005" s="105"/>
      <c r="D2005" s="105"/>
      <c r="E2005" s="105"/>
      <c r="F2005" s="105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>
      <c r="A2006" s="104"/>
      <c r="B2006" s="105"/>
      <c r="C2006" s="105"/>
      <c r="D2006" s="105"/>
      <c r="E2006" s="105"/>
      <c r="F2006" s="105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>
      <c r="A2007" s="104"/>
      <c r="B2007" s="105"/>
      <c r="C2007" s="105"/>
      <c r="D2007" s="105"/>
      <c r="E2007" s="105"/>
      <c r="F2007" s="105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>
      <c r="A2008" s="104"/>
      <c r="B2008" s="105"/>
      <c r="C2008" s="105"/>
      <c r="D2008" s="105"/>
      <c r="E2008" s="105"/>
      <c r="F2008" s="105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>
      <c r="A2009" s="104"/>
      <c r="B2009" s="105"/>
      <c r="C2009" s="105"/>
      <c r="D2009" s="105"/>
      <c r="E2009" s="105"/>
      <c r="F2009" s="105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>
      <c r="A2010" s="104"/>
      <c r="B2010" s="105"/>
      <c r="C2010" s="105"/>
      <c r="D2010" s="105"/>
      <c r="E2010" s="105"/>
      <c r="F2010" s="105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>
      <c r="A2011" s="104"/>
      <c r="B2011" s="105"/>
      <c r="C2011" s="105"/>
      <c r="D2011" s="105"/>
      <c r="E2011" s="105"/>
      <c r="F2011" s="105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>
      <c r="A2012" s="104"/>
      <c r="B2012" s="105"/>
      <c r="C2012" s="105"/>
      <c r="D2012" s="105"/>
      <c r="E2012" s="105"/>
      <c r="F2012" s="105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>
      <c r="A2013" s="104"/>
      <c r="B2013" s="105"/>
      <c r="C2013" s="105"/>
      <c r="D2013" s="105"/>
      <c r="E2013" s="105"/>
      <c r="F2013" s="105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>
      <c r="A2014" s="104"/>
      <c r="B2014" s="105"/>
      <c r="C2014" s="105"/>
      <c r="D2014" s="105"/>
      <c r="E2014" s="105"/>
      <c r="F2014" s="105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>
      <c r="A2015" s="104"/>
      <c r="B2015" s="105"/>
      <c r="C2015" s="105"/>
      <c r="D2015" s="105"/>
      <c r="E2015" s="105"/>
      <c r="F2015" s="105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>
      <c r="A2016" s="104"/>
      <c r="B2016" s="105"/>
      <c r="C2016" s="105"/>
      <c r="D2016" s="105"/>
      <c r="E2016" s="105"/>
      <c r="F2016" s="105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>
      <c r="A2017" s="104"/>
      <c r="B2017" s="105"/>
      <c r="C2017" s="105"/>
      <c r="D2017" s="105"/>
      <c r="E2017" s="105"/>
      <c r="F2017" s="105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>
      <c r="A2018" s="104"/>
      <c r="B2018" s="105"/>
      <c r="C2018" s="105"/>
      <c r="D2018" s="105"/>
      <c r="E2018" s="105"/>
      <c r="F2018" s="105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>
      <c r="A2019" s="104"/>
      <c r="B2019" s="105"/>
      <c r="C2019" s="105"/>
      <c r="D2019" s="105"/>
      <c r="E2019" s="105"/>
      <c r="F2019" s="105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>
      <c r="A2020" s="104"/>
      <c r="B2020" s="105"/>
      <c r="C2020" s="105"/>
      <c r="D2020" s="105"/>
      <c r="E2020" s="105"/>
      <c r="F2020" s="105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>
      <c r="A2021" s="104"/>
      <c r="B2021" s="105"/>
      <c r="C2021" s="105"/>
      <c r="D2021" s="105"/>
      <c r="E2021" s="105"/>
      <c r="F2021" s="105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>
      <c r="A2022" s="104"/>
      <c r="B2022" s="105"/>
      <c r="C2022" s="105"/>
      <c r="D2022" s="105"/>
      <c r="E2022" s="105"/>
      <c r="F2022" s="105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>
      <c r="A2023" s="104"/>
      <c r="B2023" s="105"/>
      <c r="C2023" s="105"/>
      <c r="D2023" s="105"/>
      <c r="E2023" s="105"/>
      <c r="F2023" s="105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>
      <c r="A2024" s="104"/>
      <c r="B2024" s="105"/>
      <c r="C2024" s="105"/>
      <c r="D2024" s="105"/>
      <c r="E2024" s="105"/>
      <c r="F2024" s="105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>
      <c r="A2025" s="104"/>
      <c r="B2025" s="105"/>
      <c r="C2025" s="105"/>
      <c r="D2025" s="105"/>
      <c r="E2025" s="105"/>
      <c r="F2025" s="105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>
      <c r="A2026" s="104"/>
      <c r="B2026" s="105"/>
      <c r="C2026" s="105"/>
      <c r="D2026" s="105"/>
      <c r="E2026" s="105"/>
      <c r="F2026" s="105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>
      <c r="A2027" s="104"/>
      <c r="B2027" s="105"/>
      <c r="C2027" s="105"/>
      <c r="D2027" s="105"/>
      <c r="E2027" s="105"/>
      <c r="F2027" s="105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>
      <c r="A2028" s="104"/>
      <c r="B2028" s="105"/>
      <c r="C2028" s="105"/>
      <c r="D2028" s="105"/>
      <c r="E2028" s="105"/>
      <c r="F2028" s="105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>
      <c r="A2029" s="104"/>
      <c r="B2029" s="105"/>
      <c r="C2029" s="105"/>
      <c r="D2029" s="105"/>
      <c r="E2029" s="105"/>
      <c r="F2029" s="105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>
      <c r="A2030" s="104"/>
      <c r="B2030" s="105"/>
      <c r="C2030" s="105"/>
      <c r="D2030" s="105"/>
      <c r="E2030" s="105"/>
      <c r="F2030" s="105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>
      <c r="A2031" s="104"/>
      <c r="B2031" s="105"/>
      <c r="C2031" s="105"/>
      <c r="D2031" s="105"/>
      <c r="E2031" s="105"/>
      <c r="F2031" s="105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>
      <c r="A2032" s="104"/>
      <c r="B2032" s="105"/>
      <c r="C2032" s="105"/>
      <c r="D2032" s="105"/>
      <c r="E2032" s="105"/>
      <c r="F2032" s="105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>
      <c r="A2033" s="104"/>
      <c r="B2033" s="105"/>
      <c r="C2033" s="105"/>
      <c r="D2033" s="105"/>
      <c r="E2033" s="105"/>
      <c r="F2033" s="105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>
      <c r="A2034" s="104"/>
      <c r="B2034" s="105"/>
      <c r="C2034" s="105"/>
      <c r="D2034" s="105"/>
      <c r="E2034" s="105"/>
      <c r="F2034" s="105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>
      <c r="A2035" s="104"/>
      <c r="B2035" s="105"/>
      <c r="C2035" s="105"/>
      <c r="D2035" s="105"/>
      <c r="E2035" s="105"/>
      <c r="F2035" s="105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>
      <c r="A2036" s="104"/>
      <c r="B2036" s="105"/>
      <c r="C2036" s="105"/>
      <c r="D2036" s="105"/>
      <c r="E2036" s="105"/>
      <c r="F2036" s="105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>
      <c r="A2037" s="104"/>
      <c r="B2037" s="105"/>
      <c r="C2037" s="105"/>
      <c r="D2037" s="105"/>
      <c r="E2037" s="105"/>
      <c r="F2037" s="105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>
      <c r="A2038" s="104"/>
      <c r="B2038" s="105"/>
      <c r="C2038" s="105"/>
      <c r="D2038" s="105"/>
      <c r="E2038" s="105"/>
      <c r="F2038" s="105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>
      <c r="A2039" s="104"/>
      <c r="B2039" s="105"/>
      <c r="C2039" s="105"/>
      <c r="D2039" s="105"/>
      <c r="E2039" s="105"/>
      <c r="F2039" s="105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>
      <c r="A2040" s="104"/>
      <c r="B2040" s="105"/>
      <c r="C2040" s="105"/>
      <c r="D2040" s="105"/>
      <c r="E2040" s="105"/>
      <c r="F2040" s="105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>
      <c r="A2041" s="104"/>
      <c r="B2041" s="105"/>
      <c r="C2041" s="105"/>
      <c r="D2041" s="105"/>
      <c r="E2041" s="105"/>
      <c r="F2041" s="105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>
      <c r="A2042" s="104"/>
      <c r="B2042" s="105"/>
      <c r="C2042" s="105"/>
      <c r="D2042" s="105"/>
      <c r="E2042" s="105"/>
      <c r="F2042" s="105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>
      <c r="A2043" s="104"/>
      <c r="B2043" s="105"/>
      <c r="C2043" s="105"/>
      <c r="D2043" s="105"/>
      <c r="E2043" s="105"/>
      <c r="F2043" s="105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>
      <c r="A2044" s="104"/>
      <c r="B2044" s="105"/>
      <c r="C2044" s="105"/>
      <c r="D2044" s="105"/>
      <c r="E2044" s="105"/>
      <c r="F2044" s="105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>
      <c r="A2045" s="104"/>
      <c r="B2045" s="105"/>
      <c r="C2045" s="105"/>
      <c r="D2045" s="105"/>
      <c r="E2045" s="105"/>
      <c r="F2045" s="105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>
      <c r="A2046" s="104"/>
      <c r="B2046" s="105"/>
      <c r="C2046" s="105"/>
      <c r="D2046" s="105"/>
      <c r="E2046" s="105"/>
      <c r="F2046" s="105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>
      <c r="A2047" s="104"/>
      <c r="B2047" s="105"/>
      <c r="C2047" s="105"/>
      <c r="D2047" s="105"/>
      <c r="E2047" s="105"/>
      <c r="F2047" s="105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>
      <c r="A2048" s="104"/>
      <c r="B2048" s="105"/>
      <c r="C2048" s="105"/>
      <c r="D2048" s="105"/>
      <c r="E2048" s="105"/>
      <c r="F2048" s="105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>
      <c r="A2049" s="104"/>
      <c r="B2049" s="105"/>
      <c r="C2049" s="105"/>
      <c r="D2049" s="105"/>
      <c r="E2049" s="105"/>
      <c r="F2049" s="105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>
      <c r="A2050" s="104"/>
      <c r="B2050" s="105"/>
      <c r="C2050" s="105"/>
      <c r="D2050" s="105"/>
      <c r="E2050" s="105"/>
      <c r="F2050" s="105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>
      <c r="A2051" s="104"/>
      <c r="B2051" s="105"/>
      <c r="C2051" s="105"/>
      <c r="D2051" s="105"/>
      <c r="E2051" s="105"/>
      <c r="F2051" s="105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>
      <c r="A2052" s="104"/>
      <c r="B2052" s="105"/>
      <c r="C2052" s="105"/>
      <c r="D2052" s="105"/>
      <c r="E2052" s="105"/>
      <c r="F2052" s="105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>
      <c r="A2053" s="104"/>
      <c r="B2053" s="105"/>
      <c r="C2053" s="105"/>
      <c r="D2053" s="105"/>
      <c r="E2053" s="105"/>
      <c r="F2053" s="105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>
      <c r="A2054" s="104"/>
      <c r="B2054" s="105"/>
      <c r="C2054" s="105"/>
      <c r="D2054" s="105"/>
      <c r="E2054" s="105"/>
      <c r="F2054" s="105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>
      <c r="A2055" s="104"/>
      <c r="B2055" s="105"/>
      <c r="C2055" s="105"/>
      <c r="D2055" s="105"/>
      <c r="E2055" s="105"/>
      <c r="F2055" s="105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>
      <c r="A2056" s="104"/>
      <c r="B2056" s="105"/>
      <c r="C2056" s="105"/>
      <c r="D2056" s="105"/>
      <c r="E2056" s="105"/>
      <c r="F2056" s="105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>
      <c r="A2057" s="104"/>
      <c r="B2057" s="105"/>
      <c r="C2057" s="105"/>
      <c r="D2057" s="105"/>
      <c r="E2057" s="105"/>
      <c r="F2057" s="105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>
      <c r="A2058" s="104"/>
      <c r="B2058" s="105"/>
      <c r="C2058" s="105"/>
      <c r="D2058" s="105"/>
      <c r="E2058" s="105"/>
      <c r="F2058" s="105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>
      <c r="A2059" s="104"/>
      <c r="B2059" s="105"/>
      <c r="C2059" s="105"/>
      <c r="D2059" s="105"/>
      <c r="E2059" s="105"/>
      <c r="F2059" s="105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>
      <c r="A2060" s="104"/>
      <c r="B2060" s="105"/>
      <c r="C2060" s="105"/>
      <c r="D2060" s="105"/>
      <c r="E2060" s="105"/>
      <c r="F2060" s="105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>
      <c r="A2061" s="104"/>
      <c r="B2061" s="105"/>
      <c r="C2061" s="105"/>
      <c r="D2061" s="105"/>
      <c r="E2061" s="105"/>
      <c r="F2061" s="105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>
      <c r="A2062" s="104"/>
      <c r="B2062" s="105"/>
      <c r="C2062" s="105"/>
      <c r="D2062" s="105"/>
      <c r="E2062" s="105"/>
      <c r="F2062" s="105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>
      <c r="A2063" s="104"/>
      <c r="B2063" s="105"/>
      <c r="C2063" s="105"/>
      <c r="D2063" s="105"/>
      <c r="E2063" s="105"/>
      <c r="F2063" s="105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>
      <c r="A2064" s="104"/>
      <c r="B2064" s="105"/>
      <c r="C2064" s="105"/>
      <c r="D2064" s="105"/>
      <c r="E2064" s="105"/>
      <c r="F2064" s="105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>
      <c r="A2065" s="104"/>
      <c r="B2065" s="105"/>
      <c r="C2065" s="105"/>
      <c r="D2065" s="105"/>
      <c r="E2065" s="105"/>
      <c r="F2065" s="105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>
      <c r="A2066" s="104"/>
      <c r="B2066" s="105"/>
      <c r="C2066" s="105"/>
      <c r="D2066" s="105"/>
      <c r="E2066" s="105"/>
      <c r="F2066" s="105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>
      <c r="A2067" s="104"/>
      <c r="B2067" s="105"/>
      <c r="C2067" s="105"/>
      <c r="D2067" s="105"/>
      <c r="E2067" s="105"/>
      <c r="F2067" s="105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>
      <c r="A2068" s="104"/>
      <c r="B2068" s="105"/>
      <c r="C2068" s="105"/>
      <c r="D2068" s="105"/>
      <c r="E2068" s="105"/>
      <c r="F2068" s="105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>
      <c r="A2069" s="104"/>
      <c r="B2069" s="105"/>
      <c r="C2069" s="105"/>
      <c r="D2069" s="105"/>
      <c r="E2069" s="105"/>
      <c r="F2069" s="105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>
      <c r="A2070" s="104"/>
      <c r="B2070" s="105"/>
      <c r="C2070" s="105"/>
      <c r="D2070" s="105"/>
      <c r="E2070" s="105"/>
      <c r="F2070" s="105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>
      <c r="A2071" s="104"/>
      <c r="B2071" s="105"/>
      <c r="C2071" s="105"/>
      <c r="D2071" s="105"/>
      <c r="E2071" s="105"/>
      <c r="F2071" s="105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>
      <c r="A2072" s="104"/>
      <c r="B2072" s="105"/>
      <c r="C2072" s="105"/>
      <c r="D2072" s="105"/>
      <c r="E2072" s="105"/>
      <c r="F2072" s="105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>
      <c r="A2073" s="104"/>
      <c r="B2073" s="105"/>
      <c r="C2073" s="105"/>
      <c r="D2073" s="105"/>
      <c r="E2073" s="105"/>
      <c r="F2073" s="105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>
      <c r="A2074" s="104"/>
      <c r="B2074" s="105"/>
      <c r="C2074" s="105"/>
      <c r="D2074" s="105"/>
      <c r="E2074" s="105"/>
      <c r="F2074" s="105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>
      <c r="A2075" s="104"/>
      <c r="B2075" s="105"/>
      <c r="C2075" s="105"/>
      <c r="D2075" s="105"/>
      <c r="E2075" s="105"/>
      <c r="F2075" s="105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>
      <c r="A2076" s="104"/>
      <c r="B2076" s="105"/>
      <c r="C2076" s="105"/>
      <c r="D2076" s="105"/>
      <c r="E2076" s="105"/>
      <c r="F2076" s="105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>
      <c r="A2077" s="104"/>
      <c r="B2077" s="105"/>
      <c r="C2077" s="105"/>
      <c r="D2077" s="105"/>
      <c r="E2077" s="105"/>
      <c r="F2077" s="105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>
      <c r="A2078" s="104"/>
      <c r="B2078" s="105"/>
      <c r="C2078" s="105"/>
      <c r="D2078" s="105"/>
      <c r="E2078" s="105"/>
      <c r="F2078" s="105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>
      <c r="A2079" s="104"/>
      <c r="B2079" s="105"/>
      <c r="C2079" s="105"/>
      <c r="D2079" s="105"/>
      <c r="E2079" s="105"/>
      <c r="F2079" s="105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>
      <c r="A2080" s="104"/>
      <c r="B2080" s="105"/>
      <c r="C2080" s="105"/>
      <c r="D2080" s="105"/>
      <c r="E2080" s="105"/>
      <c r="F2080" s="105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>
      <c r="A2081" s="104"/>
      <c r="B2081" s="105"/>
      <c r="C2081" s="105"/>
      <c r="D2081" s="105"/>
      <c r="E2081" s="105"/>
      <c r="F2081" s="105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>
      <c r="A2082" s="104"/>
      <c r="B2082" s="105"/>
      <c r="C2082" s="105"/>
      <c r="D2082" s="105"/>
      <c r="E2082" s="105"/>
      <c r="F2082" s="105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>
      <c r="A2083" s="104"/>
      <c r="B2083" s="105"/>
      <c r="C2083" s="105"/>
      <c r="D2083" s="105"/>
      <c r="E2083" s="105"/>
      <c r="F2083" s="105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>
      <c r="A2084" s="104"/>
      <c r="B2084" s="105"/>
      <c r="C2084" s="105"/>
      <c r="D2084" s="105"/>
      <c r="E2084" s="105"/>
      <c r="F2084" s="105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>
      <c r="A2085" s="104"/>
      <c r="B2085" s="105"/>
      <c r="C2085" s="105"/>
      <c r="D2085" s="105"/>
      <c r="E2085" s="105"/>
      <c r="F2085" s="105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>
      <c r="A2086" s="104"/>
      <c r="B2086" s="105"/>
      <c r="C2086" s="105"/>
      <c r="D2086" s="105"/>
      <c r="E2086" s="105"/>
      <c r="F2086" s="105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>
      <c r="A2087" s="104"/>
      <c r="B2087" s="105"/>
      <c r="C2087" s="105"/>
      <c r="D2087" s="105"/>
      <c r="E2087" s="105"/>
      <c r="F2087" s="105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>
      <c r="A2088" s="104"/>
      <c r="B2088" s="105"/>
      <c r="C2088" s="105"/>
      <c r="D2088" s="105"/>
      <c r="E2088" s="105"/>
      <c r="F2088" s="105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>
      <c r="A2089" s="104"/>
      <c r="B2089" s="105"/>
      <c r="C2089" s="105"/>
      <c r="D2089" s="105"/>
      <c r="E2089" s="105"/>
      <c r="F2089" s="105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>
      <c r="A2090" s="104"/>
      <c r="B2090" s="105"/>
      <c r="C2090" s="105"/>
      <c r="D2090" s="105"/>
      <c r="E2090" s="105"/>
      <c r="F2090" s="105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>
      <c r="A2091" s="104"/>
      <c r="B2091" s="105"/>
      <c r="C2091" s="105"/>
      <c r="D2091" s="105"/>
      <c r="E2091" s="105"/>
      <c r="F2091" s="105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>
      <c r="A2092" s="104"/>
      <c r="B2092" s="105"/>
      <c r="C2092" s="105"/>
      <c r="D2092" s="105"/>
      <c r="E2092" s="105"/>
      <c r="F2092" s="105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>
      <c r="A2093" s="104"/>
      <c r="B2093" s="105"/>
      <c r="C2093" s="105"/>
      <c r="D2093" s="105"/>
      <c r="E2093" s="105"/>
      <c r="F2093" s="105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>
      <c r="A2094" s="104"/>
      <c r="B2094" s="105"/>
      <c r="C2094" s="105"/>
      <c r="D2094" s="105"/>
      <c r="E2094" s="105"/>
      <c r="F2094" s="105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>
      <c r="A2095" s="104"/>
      <c r="B2095" s="105"/>
      <c r="C2095" s="105"/>
      <c r="D2095" s="105"/>
      <c r="E2095" s="105"/>
      <c r="F2095" s="105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>
      <c r="A2096" s="104"/>
      <c r="B2096" s="105"/>
      <c r="C2096" s="105"/>
      <c r="D2096" s="105"/>
      <c r="E2096" s="105"/>
      <c r="F2096" s="105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>
      <c r="A2097" s="104"/>
      <c r="B2097" s="105"/>
      <c r="C2097" s="105"/>
      <c r="D2097" s="105"/>
      <c r="E2097" s="105"/>
      <c r="F2097" s="105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>
      <c r="A2098" s="104"/>
      <c r="B2098" s="105"/>
      <c r="C2098" s="105"/>
      <c r="D2098" s="105"/>
      <c r="E2098" s="105"/>
      <c r="F2098" s="105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>
      <c r="A2099" s="104"/>
      <c r="B2099" s="105"/>
      <c r="C2099" s="105"/>
      <c r="D2099" s="105"/>
      <c r="E2099" s="105"/>
      <c r="F2099" s="105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>
      <c r="A2100" s="104"/>
      <c r="B2100" s="105"/>
      <c r="C2100" s="105"/>
      <c r="D2100" s="105"/>
      <c r="E2100" s="105"/>
      <c r="F2100" s="105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>
      <c r="A2101" s="104"/>
      <c r="B2101" s="105"/>
      <c r="C2101" s="105"/>
      <c r="D2101" s="105"/>
      <c r="E2101" s="105"/>
      <c r="F2101" s="105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>
      <c r="A2102" s="104"/>
      <c r="B2102" s="105"/>
      <c r="C2102" s="105"/>
      <c r="D2102" s="105"/>
      <c r="E2102" s="105"/>
      <c r="F2102" s="105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>
      <c r="A2103" s="104"/>
      <c r="B2103" s="105"/>
      <c r="C2103" s="105"/>
      <c r="D2103" s="105"/>
      <c r="E2103" s="105"/>
      <c r="F2103" s="105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>
      <c r="A2104" s="104"/>
      <c r="B2104" s="105"/>
      <c r="C2104" s="105"/>
      <c r="D2104" s="105"/>
      <c r="E2104" s="105"/>
      <c r="F2104" s="105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>
      <c r="A2105" s="104"/>
      <c r="B2105" s="105"/>
      <c r="C2105" s="105"/>
      <c r="D2105" s="105"/>
      <c r="E2105" s="105"/>
      <c r="F2105" s="105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>
      <c r="A2106" s="104"/>
      <c r="B2106" s="105"/>
      <c r="C2106" s="105"/>
      <c r="D2106" s="105"/>
      <c r="E2106" s="105"/>
      <c r="F2106" s="105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>
      <c r="A2107" s="104"/>
      <c r="B2107" s="105"/>
      <c r="C2107" s="105"/>
      <c r="D2107" s="105"/>
      <c r="E2107" s="105"/>
      <c r="F2107" s="105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>
      <c r="A2108" s="104"/>
      <c r="B2108" s="105"/>
      <c r="C2108" s="105"/>
      <c r="D2108" s="105"/>
      <c r="E2108" s="105"/>
      <c r="F2108" s="105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>
      <c r="A2109" s="104"/>
      <c r="B2109" s="105"/>
      <c r="C2109" s="105"/>
      <c r="D2109" s="105"/>
      <c r="E2109" s="105"/>
      <c r="F2109" s="105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>
      <c r="A2110" s="104"/>
      <c r="B2110" s="105"/>
      <c r="C2110" s="105"/>
      <c r="D2110" s="105"/>
      <c r="E2110" s="105"/>
      <c r="F2110" s="105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>
      <c r="A2111" s="104"/>
      <c r="B2111" s="105"/>
      <c r="C2111" s="105"/>
      <c r="D2111" s="105"/>
      <c r="E2111" s="105"/>
      <c r="F2111" s="105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>
      <c r="A2112" s="104"/>
      <c r="B2112" s="105"/>
      <c r="C2112" s="105"/>
      <c r="D2112" s="105"/>
      <c r="E2112" s="105"/>
      <c r="F2112" s="105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>
      <c r="A2113" s="104"/>
      <c r="B2113" s="105"/>
      <c r="C2113" s="105"/>
      <c r="D2113" s="105"/>
      <c r="E2113" s="105"/>
      <c r="F2113" s="105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>
      <c r="A2114" s="104"/>
      <c r="B2114" s="105"/>
      <c r="C2114" s="105"/>
      <c r="D2114" s="105"/>
      <c r="E2114" s="105"/>
      <c r="F2114" s="105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>
      <c r="A2115" s="104"/>
      <c r="B2115" s="105"/>
      <c r="C2115" s="105"/>
      <c r="D2115" s="105"/>
      <c r="E2115" s="105"/>
      <c r="F2115" s="105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>
      <c r="A2116" s="104"/>
      <c r="B2116" s="105"/>
      <c r="C2116" s="105"/>
      <c r="D2116" s="105"/>
      <c r="E2116" s="105"/>
      <c r="F2116" s="105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>
      <c r="A2117" s="104"/>
      <c r="B2117" s="105"/>
      <c r="C2117" s="105"/>
      <c r="D2117" s="105"/>
      <c r="E2117" s="105"/>
      <c r="F2117" s="105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>
      <c r="A2118" s="104"/>
      <c r="B2118" s="105"/>
      <c r="C2118" s="105"/>
      <c r="D2118" s="105"/>
      <c r="E2118" s="105"/>
      <c r="F2118" s="105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>
      <c r="A2119" s="104"/>
      <c r="B2119" s="105"/>
      <c r="C2119" s="105"/>
      <c r="D2119" s="105"/>
      <c r="E2119" s="105"/>
      <c r="F2119" s="105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>
      <c r="A2120" s="104"/>
      <c r="B2120" s="105"/>
      <c r="C2120" s="105"/>
      <c r="D2120" s="105"/>
      <c r="E2120" s="105"/>
      <c r="F2120" s="105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>
      <c r="A2121" s="104"/>
      <c r="B2121" s="105"/>
      <c r="C2121" s="105"/>
      <c r="D2121" s="105"/>
      <c r="E2121" s="105"/>
      <c r="F2121" s="105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>
      <c r="A2122" s="104"/>
      <c r="B2122" s="105"/>
      <c r="C2122" s="105"/>
      <c r="D2122" s="105"/>
      <c r="E2122" s="105"/>
      <c r="F2122" s="105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>
      <c r="A2123" s="104"/>
      <c r="B2123" s="105"/>
      <c r="C2123" s="105"/>
      <c r="D2123" s="105"/>
      <c r="E2123" s="105"/>
      <c r="F2123" s="105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>
      <c r="A2124" s="104"/>
      <c r="B2124" s="105"/>
      <c r="C2124" s="105"/>
      <c r="D2124" s="105"/>
      <c r="E2124" s="105"/>
      <c r="F2124" s="105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>
      <c r="A2125" s="104"/>
      <c r="B2125" s="105"/>
      <c r="C2125" s="105"/>
      <c r="D2125" s="105"/>
      <c r="E2125" s="105"/>
      <c r="F2125" s="105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>
      <c r="A2126" s="104"/>
      <c r="B2126" s="105"/>
      <c r="C2126" s="105"/>
      <c r="D2126" s="105"/>
      <c r="E2126" s="105"/>
      <c r="F2126" s="105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>
      <c r="A2127" s="104"/>
      <c r="B2127" s="105"/>
      <c r="C2127" s="105"/>
      <c r="D2127" s="105"/>
      <c r="E2127" s="105"/>
      <c r="F2127" s="105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>
      <c r="A2128" s="104"/>
      <c r="B2128" s="105"/>
      <c r="C2128" s="105"/>
      <c r="D2128" s="105"/>
      <c r="E2128" s="105"/>
      <c r="F2128" s="105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>
      <c r="A2129" s="104"/>
      <c r="B2129" s="105"/>
      <c r="C2129" s="105"/>
      <c r="D2129" s="105"/>
      <c r="E2129" s="105"/>
      <c r="F2129" s="105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>
      <c r="A2130" s="104"/>
      <c r="B2130" s="105"/>
      <c r="C2130" s="105"/>
      <c r="D2130" s="105"/>
      <c r="E2130" s="105"/>
      <c r="F2130" s="105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>
      <c r="A2131" s="104"/>
      <c r="B2131" s="105"/>
      <c r="C2131" s="105"/>
      <c r="D2131" s="105"/>
      <c r="E2131" s="105"/>
      <c r="F2131" s="105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>
      <c r="A2132" s="104"/>
      <c r="B2132" s="105"/>
      <c r="C2132" s="105"/>
      <c r="D2132" s="105"/>
      <c r="E2132" s="105"/>
      <c r="F2132" s="105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>
      <c r="A2133" s="104"/>
      <c r="B2133" s="105"/>
      <c r="C2133" s="105"/>
      <c r="D2133" s="105"/>
      <c r="E2133" s="105"/>
      <c r="F2133" s="105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>
      <c r="A2134" s="104"/>
      <c r="B2134" s="105"/>
      <c r="C2134" s="105"/>
      <c r="D2134" s="105"/>
      <c r="E2134" s="105"/>
      <c r="F2134" s="105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>
      <c r="A2135" s="104"/>
      <c r="B2135" s="105"/>
      <c r="C2135" s="105"/>
      <c r="D2135" s="105"/>
      <c r="E2135" s="105"/>
      <c r="F2135" s="105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>
      <c r="A2136" s="104"/>
      <c r="B2136" s="105"/>
      <c r="C2136" s="105"/>
      <c r="D2136" s="105"/>
      <c r="E2136" s="105"/>
      <c r="F2136" s="105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>
      <c r="A2137" s="104"/>
      <c r="B2137" s="105"/>
      <c r="C2137" s="105"/>
      <c r="D2137" s="105"/>
      <c r="E2137" s="105"/>
      <c r="F2137" s="105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>
      <c r="A2138" s="104"/>
      <c r="B2138" s="105"/>
      <c r="C2138" s="105"/>
      <c r="D2138" s="105"/>
      <c r="E2138" s="105"/>
      <c r="F2138" s="105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>
      <c r="A2139" s="104"/>
      <c r="B2139" s="105"/>
      <c r="C2139" s="105"/>
      <c r="D2139" s="105"/>
      <c r="E2139" s="105"/>
      <c r="F2139" s="105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>
      <c r="A2140" s="104"/>
      <c r="B2140" s="105"/>
      <c r="C2140" s="105"/>
      <c r="D2140" s="105"/>
      <c r="E2140" s="105"/>
      <c r="F2140" s="105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>
      <c r="A2141" s="104"/>
      <c r="B2141" s="105"/>
      <c r="C2141" s="105"/>
      <c r="D2141" s="105"/>
      <c r="E2141" s="105"/>
      <c r="F2141" s="105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>
      <c r="A2142" s="104"/>
      <c r="B2142" s="105"/>
      <c r="C2142" s="105"/>
      <c r="D2142" s="105"/>
      <c r="E2142" s="105"/>
      <c r="F2142" s="105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>
      <c r="A2143" s="104"/>
      <c r="B2143" s="105"/>
      <c r="C2143" s="105"/>
      <c r="D2143" s="105"/>
      <c r="E2143" s="105"/>
      <c r="F2143" s="105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>
      <c r="A2144" s="104"/>
      <c r="B2144" s="105"/>
      <c r="C2144" s="105"/>
      <c r="D2144" s="105"/>
      <c r="E2144" s="105"/>
      <c r="F2144" s="105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>
      <c r="A2145" s="104"/>
      <c r="B2145" s="105"/>
      <c r="C2145" s="105"/>
      <c r="D2145" s="105"/>
      <c r="E2145" s="105"/>
      <c r="F2145" s="105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>
      <c r="A2146" s="104"/>
      <c r="B2146" s="105"/>
      <c r="C2146" s="105"/>
      <c r="D2146" s="105"/>
      <c r="E2146" s="105"/>
      <c r="F2146" s="105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>
      <c r="A2147" s="104"/>
      <c r="B2147" s="105"/>
      <c r="C2147" s="105"/>
      <c r="D2147" s="105"/>
      <c r="E2147" s="105"/>
      <c r="F2147" s="105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>
      <c r="A2148" s="104"/>
      <c r="B2148" s="105"/>
      <c r="C2148" s="105"/>
      <c r="D2148" s="105"/>
      <c r="E2148" s="105"/>
      <c r="F2148" s="105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>
      <c r="A2149" s="104"/>
      <c r="B2149" s="105"/>
      <c r="C2149" s="105"/>
      <c r="D2149" s="105"/>
      <c r="E2149" s="105"/>
      <c r="F2149" s="105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>
      <c r="A2150" s="104"/>
      <c r="B2150" s="105"/>
      <c r="C2150" s="105"/>
      <c r="D2150" s="105"/>
      <c r="E2150" s="105"/>
      <c r="F2150" s="105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>
      <c r="A2151" s="104"/>
      <c r="B2151" s="105"/>
      <c r="C2151" s="105"/>
      <c r="D2151" s="105"/>
      <c r="E2151" s="105"/>
      <c r="F2151" s="105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>
      <c r="A2152" s="104"/>
      <c r="B2152" s="105"/>
      <c r="C2152" s="105"/>
      <c r="D2152" s="105"/>
      <c r="E2152" s="105"/>
      <c r="F2152" s="105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>
      <c r="A2153" s="104"/>
      <c r="B2153" s="105"/>
      <c r="C2153" s="105"/>
      <c r="D2153" s="105"/>
      <c r="E2153" s="105"/>
      <c r="F2153" s="105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>
      <c r="A2154" s="104"/>
      <c r="B2154" s="105"/>
      <c r="C2154" s="105"/>
      <c r="D2154" s="105"/>
      <c r="E2154" s="105"/>
      <c r="F2154" s="105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>
      <c r="A2155" s="104"/>
      <c r="B2155" s="105"/>
      <c r="C2155" s="105"/>
      <c r="D2155" s="105"/>
      <c r="E2155" s="105"/>
      <c r="F2155" s="105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>
      <c r="A2156" s="104"/>
      <c r="B2156" s="105"/>
      <c r="C2156" s="105"/>
      <c r="D2156" s="105"/>
      <c r="E2156" s="105"/>
      <c r="F2156" s="105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>
      <c r="A2157" s="104"/>
      <c r="B2157" s="105"/>
      <c r="C2157" s="105"/>
      <c r="D2157" s="105"/>
      <c r="E2157" s="105"/>
      <c r="F2157" s="105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>
      <c r="A2158" s="104"/>
      <c r="B2158" s="105"/>
      <c r="C2158" s="105"/>
      <c r="D2158" s="105"/>
      <c r="E2158" s="105"/>
      <c r="F2158" s="105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>
      <c r="A2159" s="104"/>
      <c r="B2159" s="105"/>
      <c r="C2159" s="105"/>
      <c r="D2159" s="105"/>
      <c r="E2159" s="105"/>
      <c r="F2159" s="105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>
      <c r="A2160" s="104"/>
      <c r="B2160" s="105"/>
      <c r="C2160" s="105"/>
      <c r="D2160" s="105"/>
      <c r="E2160" s="105"/>
      <c r="F2160" s="105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>
      <c r="A2161" s="104"/>
      <c r="B2161" s="105"/>
      <c r="C2161" s="105"/>
      <c r="D2161" s="105"/>
      <c r="E2161" s="105"/>
      <c r="F2161" s="105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>
      <c r="A2162" s="104"/>
      <c r="B2162" s="105"/>
      <c r="C2162" s="105"/>
      <c r="D2162" s="105"/>
      <c r="E2162" s="105"/>
      <c r="F2162" s="105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>
      <c r="A2163" s="104"/>
      <c r="B2163" s="105"/>
      <c r="C2163" s="105"/>
      <c r="D2163" s="105"/>
      <c r="E2163" s="105"/>
      <c r="F2163" s="105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>
      <c r="A2164" s="104"/>
      <c r="B2164" s="105"/>
      <c r="C2164" s="105"/>
      <c r="D2164" s="105"/>
      <c r="E2164" s="105"/>
      <c r="F2164" s="105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>
      <c r="A2165" s="104"/>
      <c r="B2165" s="105"/>
      <c r="C2165" s="105"/>
      <c r="D2165" s="105"/>
      <c r="E2165" s="105"/>
      <c r="F2165" s="105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>
      <c r="A2166" s="104"/>
      <c r="B2166" s="105"/>
      <c r="C2166" s="105"/>
      <c r="D2166" s="105"/>
      <c r="E2166" s="105"/>
      <c r="F2166" s="105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>
      <c r="A2167" s="104"/>
      <c r="B2167" s="105"/>
      <c r="C2167" s="105"/>
      <c r="D2167" s="105"/>
      <c r="E2167" s="105"/>
      <c r="F2167" s="105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>
      <c r="A2168" s="104"/>
      <c r="B2168" s="105"/>
      <c r="C2168" s="105"/>
      <c r="D2168" s="105"/>
      <c r="E2168" s="105"/>
      <c r="F2168" s="105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>
      <c r="A2169" s="104"/>
      <c r="B2169" s="105"/>
      <c r="C2169" s="105"/>
      <c r="D2169" s="105"/>
      <c r="E2169" s="105"/>
      <c r="F2169" s="105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>
      <c r="A2170" s="104"/>
      <c r="B2170" s="105"/>
      <c r="C2170" s="105"/>
      <c r="D2170" s="105"/>
      <c r="E2170" s="105"/>
      <c r="F2170" s="105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>
      <c r="A2171" s="104"/>
      <c r="B2171" s="105"/>
      <c r="C2171" s="105"/>
      <c r="D2171" s="105"/>
      <c r="E2171" s="105"/>
      <c r="F2171" s="105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>
      <c r="A2172" s="104"/>
      <c r="B2172" s="105"/>
      <c r="C2172" s="105"/>
      <c r="D2172" s="105"/>
      <c r="E2172" s="105"/>
      <c r="F2172" s="105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>
      <c r="A2173" s="104"/>
      <c r="B2173" s="105"/>
      <c r="C2173" s="105"/>
      <c r="D2173" s="105"/>
      <c r="E2173" s="105"/>
      <c r="F2173" s="105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>
      <c r="A2174" s="104"/>
      <c r="B2174" s="105"/>
      <c r="C2174" s="105"/>
      <c r="D2174" s="105"/>
      <c r="E2174" s="105"/>
      <c r="F2174" s="105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>
      <c r="A2175" s="104"/>
      <c r="B2175" s="105"/>
      <c r="C2175" s="105"/>
      <c r="D2175" s="105"/>
      <c r="E2175" s="105"/>
      <c r="F2175" s="105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>
      <c r="A2176" s="104"/>
      <c r="B2176" s="105"/>
      <c r="C2176" s="105"/>
      <c r="D2176" s="105"/>
      <c r="E2176" s="105"/>
      <c r="F2176" s="105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>
      <c r="A2177" s="104"/>
      <c r="B2177" s="105"/>
      <c r="C2177" s="105"/>
      <c r="D2177" s="105"/>
      <c r="E2177" s="105"/>
      <c r="F2177" s="105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>
      <c r="A2178" s="104"/>
      <c r="B2178" s="105"/>
      <c r="C2178" s="105"/>
      <c r="D2178" s="105"/>
      <c r="E2178" s="105"/>
      <c r="F2178" s="105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>
      <c r="A2179" s="104"/>
      <c r="B2179" s="105"/>
      <c r="C2179" s="105"/>
      <c r="D2179" s="105"/>
      <c r="E2179" s="105"/>
      <c r="F2179" s="105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>
      <c r="A2180" s="104"/>
      <c r="B2180" s="105"/>
      <c r="C2180" s="105"/>
      <c r="D2180" s="105"/>
      <c r="E2180" s="105"/>
      <c r="F2180" s="105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>
      <c r="A2181" s="104"/>
      <c r="B2181" s="105"/>
      <c r="C2181" s="105"/>
      <c r="D2181" s="105"/>
      <c r="E2181" s="105"/>
      <c r="F2181" s="105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>
      <c r="A2182" s="104"/>
      <c r="B2182" s="105"/>
      <c r="C2182" s="105"/>
      <c r="D2182" s="105"/>
      <c r="E2182" s="105"/>
      <c r="F2182" s="105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>
      <c r="A2183" s="104"/>
      <c r="B2183" s="105"/>
      <c r="C2183" s="105"/>
      <c r="D2183" s="105"/>
      <c r="E2183" s="105"/>
      <c r="F2183" s="105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>
      <c r="A2184" s="104"/>
      <c r="B2184" s="105"/>
      <c r="C2184" s="105"/>
      <c r="D2184" s="105"/>
      <c r="E2184" s="105"/>
      <c r="F2184" s="105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>
      <c r="A2185" s="104"/>
      <c r="B2185" s="105"/>
      <c r="C2185" s="105"/>
      <c r="D2185" s="105"/>
      <c r="E2185" s="105"/>
      <c r="F2185" s="105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>
      <c r="A2186" s="104"/>
      <c r="B2186" s="105"/>
      <c r="C2186" s="105"/>
      <c r="D2186" s="105"/>
      <c r="E2186" s="105"/>
      <c r="F2186" s="105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>
      <c r="A2187" s="104"/>
      <c r="B2187" s="105"/>
      <c r="C2187" s="105"/>
      <c r="D2187" s="105"/>
      <c r="E2187" s="105"/>
      <c r="F2187" s="105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>
      <c r="A2188" s="104"/>
      <c r="B2188" s="105"/>
      <c r="C2188" s="105"/>
      <c r="D2188" s="105"/>
      <c r="E2188" s="105"/>
      <c r="F2188" s="105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>
      <c r="A2189" s="104"/>
      <c r="B2189" s="105"/>
      <c r="C2189" s="105"/>
      <c r="D2189" s="105"/>
      <c r="E2189" s="105"/>
      <c r="F2189" s="105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>
      <c r="A2190" s="104"/>
      <c r="B2190" s="105"/>
      <c r="C2190" s="105"/>
      <c r="D2190" s="105"/>
      <c r="E2190" s="105"/>
      <c r="F2190" s="105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>
      <c r="A2191" s="104"/>
      <c r="B2191" s="105"/>
      <c r="C2191" s="105"/>
      <c r="D2191" s="105"/>
      <c r="E2191" s="105"/>
      <c r="F2191" s="105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>
      <c r="A2192" s="104"/>
      <c r="B2192" s="105"/>
      <c r="C2192" s="105"/>
      <c r="D2192" s="105"/>
      <c r="E2192" s="105"/>
      <c r="F2192" s="105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>
      <c r="A2193" s="104"/>
      <c r="B2193" s="105"/>
      <c r="C2193" s="105"/>
      <c r="D2193" s="105"/>
      <c r="E2193" s="105"/>
      <c r="F2193" s="105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>
      <c r="A2194" s="104"/>
      <c r="B2194" s="105"/>
      <c r="C2194" s="105"/>
      <c r="D2194" s="105"/>
      <c r="E2194" s="105"/>
      <c r="F2194" s="105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>
      <c r="A2195" s="104"/>
      <c r="B2195" s="105"/>
      <c r="C2195" s="105"/>
      <c r="D2195" s="105"/>
      <c r="E2195" s="105"/>
      <c r="F2195" s="105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>
      <c r="A2196" s="104"/>
      <c r="B2196" s="105"/>
      <c r="C2196" s="105"/>
      <c r="D2196" s="105"/>
      <c r="E2196" s="105"/>
      <c r="F2196" s="105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>
      <c r="A2197" s="104"/>
      <c r="B2197" s="105"/>
      <c r="C2197" s="105"/>
      <c r="D2197" s="105"/>
      <c r="E2197" s="105"/>
      <c r="F2197" s="105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>
      <c r="A2198" s="104"/>
      <c r="B2198" s="105"/>
      <c r="C2198" s="105"/>
      <c r="D2198" s="105"/>
      <c r="E2198" s="105"/>
      <c r="F2198" s="105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>
      <c r="A2199" s="104"/>
      <c r="B2199" s="105"/>
      <c r="C2199" s="105"/>
      <c r="D2199" s="105"/>
      <c r="E2199" s="105"/>
      <c r="F2199" s="105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>
      <c r="A2200" s="104"/>
      <c r="B2200" s="105"/>
      <c r="C2200" s="105"/>
      <c r="D2200" s="105"/>
      <c r="E2200" s="105"/>
      <c r="F2200" s="105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>
      <c r="A2201" s="104"/>
      <c r="B2201" s="105"/>
      <c r="C2201" s="105"/>
      <c r="D2201" s="105"/>
      <c r="E2201" s="105"/>
      <c r="F2201" s="105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>
      <c r="A2202" s="104"/>
      <c r="B2202" s="105"/>
      <c r="C2202" s="105"/>
      <c r="D2202" s="105"/>
      <c r="E2202" s="105"/>
      <c r="F2202" s="105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>
      <c r="A2203" s="104"/>
      <c r="B2203" s="105"/>
      <c r="C2203" s="105"/>
      <c r="D2203" s="105"/>
      <c r="E2203" s="105"/>
      <c r="F2203" s="105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>
      <c r="A2204" s="104"/>
      <c r="B2204" s="105"/>
      <c r="C2204" s="105"/>
      <c r="D2204" s="105"/>
      <c r="E2204" s="105"/>
      <c r="F2204" s="105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>
      <c r="A2205" s="104"/>
      <c r="B2205" s="105"/>
      <c r="C2205" s="105"/>
      <c r="D2205" s="105"/>
      <c r="E2205" s="105"/>
      <c r="F2205" s="105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>
      <c r="A2206" s="104"/>
      <c r="B2206" s="105"/>
      <c r="C2206" s="105"/>
      <c r="D2206" s="105"/>
      <c r="E2206" s="105"/>
      <c r="F2206" s="105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>
      <c r="A2207" s="104"/>
      <c r="B2207" s="105"/>
      <c r="C2207" s="105"/>
      <c r="D2207" s="105"/>
      <c r="E2207" s="105"/>
      <c r="F2207" s="105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>
      <c r="A2208" s="104"/>
      <c r="B2208" s="105"/>
      <c r="C2208" s="105"/>
      <c r="D2208" s="105"/>
      <c r="E2208" s="105"/>
      <c r="F2208" s="105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>
      <c r="A2209" s="104"/>
      <c r="B2209" s="105"/>
      <c r="C2209" s="105"/>
      <c r="D2209" s="105"/>
      <c r="E2209" s="105"/>
      <c r="F2209" s="105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>
      <c r="A2210" s="104"/>
      <c r="B2210" s="105"/>
      <c r="C2210" s="105"/>
      <c r="D2210" s="105"/>
      <c r="E2210" s="105"/>
      <c r="F2210" s="105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>
      <c r="A2211" s="104"/>
      <c r="B2211" s="105"/>
      <c r="C2211" s="105"/>
      <c r="D2211" s="105"/>
      <c r="E2211" s="105"/>
      <c r="F2211" s="105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>
      <c r="A2212" s="104"/>
      <c r="B2212" s="105"/>
      <c r="C2212" s="105"/>
      <c r="D2212" s="105"/>
      <c r="E2212" s="105"/>
      <c r="F2212" s="105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>
      <c r="A2213" s="104"/>
      <c r="B2213" s="105"/>
      <c r="C2213" s="105"/>
      <c r="D2213" s="105"/>
      <c r="E2213" s="105"/>
      <c r="F2213" s="105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>
      <c r="A2214" s="104"/>
      <c r="B2214" s="105"/>
      <c r="C2214" s="105"/>
      <c r="D2214" s="105"/>
      <c r="E2214" s="105"/>
      <c r="F2214" s="105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>
      <c r="A2215" s="104"/>
      <c r="B2215" s="105"/>
      <c r="C2215" s="105"/>
      <c r="D2215" s="105"/>
      <c r="E2215" s="105"/>
      <c r="F2215" s="105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>
      <c r="A2216" s="104"/>
      <c r="B2216" s="105"/>
      <c r="C2216" s="105"/>
      <c r="D2216" s="105"/>
      <c r="E2216" s="105"/>
      <c r="F2216" s="105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>
      <c r="A2217" s="104"/>
      <c r="B2217" s="105"/>
      <c r="C2217" s="105"/>
      <c r="D2217" s="105"/>
      <c r="E2217" s="105"/>
      <c r="F2217" s="105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>
      <c r="A2218" s="104"/>
      <c r="B2218" s="105"/>
      <c r="C2218" s="105"/>
      <c r="D2218" s="105"/>
      <c r="E2218" s="105"/>
      <c r="F2218" s="105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>
      <c r="A2219" s="104"/>
      <c r="B2219" s="105"/>
      <c r="C2219" s="105"/>
      <c r="D2219" s="105"/>
      <c r="E2219" s="105"/>
      <c r="F2219" s="105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>
      <c r="A2220" s="104"/>
      <c r="B2220" s="105"/>
      <c r="C2220" s="105"/>
      <c r="D2220" s="105"/>
      <c r="E2220" s="105"/>
      <c r="F2220" s="105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>
      <c r="A2221" s="104"/>
      <c r="B2221" s="105"/>
      <c r="C2221" s="105"/>
      <c r="D2221" s="105"/>
      <c r="E2221" s="105"/>
      <c r="F2221" s="105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>
      <c r="A2222" s="104"/>
      <c r="B2222" s="105"/>
      <c r="C2222" s="105"/>
      <c r="D2222" s="105"/>
      <c r="E2222" s="105"/>
      <c r="F2222" s="105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>
      <c r="A2223" s="104"/>
      <c r="B2223" s="105"/>
      <c r="C2223" s="105"/>
      <c r="D2223" s="105"/>
      <c r="E2223" s="105"/>
      <c r="F2223" s="105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>
      <c r="A2224" s="104"/>
      <c r="B2224" s="105"/>
      <c r="C2224" s="105"/>
      <c r="D2224" s="105"/>
      <c r="E2224" s="105"/>
      <c r="F2224" s="105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>
      <c r="A2225" s="104"/>
      <c r="B2225" s="105"/>
      <c r="C2225" s="105"/>
      <c r="D2225" s="105"/>
      <c r="E2225" s="105"/>
      <c r="F2225" s="105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>
      <c r="A2226" s="104"/>
      <c r="B2226" s="105"/>
      <c r="C2226" s="105"/>
      <c r="D2226" s="105"/>
      <c r="E2226" s="105"/>
      <c r="F2226" s="105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>
      <c r="A2227" s="104"/>
      <c r="B2227" s="105"/>
      <c r="C2227" s="105"/>
      <c r="D2227" s="105"/>
      <c r="E2227" s="105"/>
      <c r="F2227" s="105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>
      <c r="A2228" s="104"/>
      <c r="B2228" s="105"/>
      <c r="C2228" s="105"/>
      <c r="D2228" s="105"/>
      <c r="E2228" s="105"/>
      <c r="F2228" s="105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>
      <c r="A2229" s="104"/>
      <c r="B2229" s="105"/>
      <c r="C2229" s="105"/>
      <c r="D2229" s="105"/>
      <c r="E2229" s="105"/>
      <c r="F2229" s="105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>
      <c r="A2230" s="104"/>
      <c r="B2230" s="105"/>
      <c r="C2230" s="105"/>
      <c r="D2230" s="105"/>
      <c r="E2230" s="105"/>
      <c r="F2230" s="105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>
      <c r="A2231" s="104"/>
      <c r="B2231" s="105"/>
      <c r="C2231" s="105"/>
      <c r="D2231" s="105"/>
      <c r="E2231" s="105"/>
      <c r="F2231" s="105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>
      <c r="A2232" s="104"/>
      <c r="B2232" s="105"/>
      <c r="C2232" s="105"/>
      <c r="D2232" s="105"/>
      <c r="E2232" s="105"/>
      <c r="F2232" s="105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>
      <c r="A2233" s="104"/>
      <c r="B2233" s="105"/>
      <c r="C2233" s="105"/>
      <c r="D2233" s="105"/>
      <c r="E2233" s="105"/>
      <c r="F2233" s="105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>
      <c r="A2234" s="104"/>
      <c r="B2234" s="105"/>
      <c r="C2234" s="105"/>
      <c r="D2234" s="105"/>
      <c r="E2234" s="105"/>
      <c r="F2234" s="105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>
      <c r="A2235" s="104"/>
      <c r="B2235" s="105"/>
      <c r="C2235" s="105"/>
      <c r="D2235" s="105"/>
      <c r="E2235" s="105"/>
      <c r="F2235" s="105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>
      <c r="A2236" s="104"/>
      <c r="B2236" s="105"/>
      <c r="C2236" s="105"/>
      <c r="D2236" s="105"/>
      <c r="E2236" s="105"/>
      <c r="F2236" s="105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>
      <c r="A2237" s="104"/>
      <c r="B2237" s="105"/>
      <c r="C2237" s="105"/>
      <c r="D2237" s="105"/>
      <c r="E2237" s="105"/>
      <c r="F2237" s="105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>
      <c r="A2238" s="104"/>
      <c r="B2238" s="105"/>
      <c r="C2238" s="105"/>
      <c r="D2238" s="105"/>
      <c r="E2238" s="105"/>
      <c r="F2238" s="105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>
      <c r="A2239" s="104"/>
      <c r="B2239" s="105"/>
      <c r="C2239" s="105"/>
      <c r="D2239" s="105"/>
      <c r="E2239" s="105"/>
      <c r="F2239" s="105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>
      <c r="A2240" s="104"/>
      <c r="B2240" s="105"/>
      <c r="C2240" s="105"/>
      <c r="D2240" s="105"/>
      <c r="E2240" s="105"/>
      <c r="F2240" s="105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>
      <c r="A2241" s="104"/>
      <c r="B2241" s="105"/>
      <c r="C2241" s="105"/>
      <c r="D2241" s="105"/>
      <c r="E2241" s="105"/>
      <c r="F2241" s="105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>
      <c r="A2242" s="104"/>
      <c r="B2242" s="105"/>
      <c r="C2242" s="105"/>
      <c r="D2242" s="105"/>
      <c r="E2242" s="105"/>
      <c r="F2242" s="105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>
      <c r="A2243" s="104"/>
      <c r="B2243" s="105"/>
      <c r="C2243" s="105"/>
      <c r="D2243" s="105"/>
      <c r="E2243" s="105"/>
      <c r="F2243" s="105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>
      <c r="A2244" s="104"/>
      <c r="B2244" s="105"/>
      <c r="C2244" s="105"/>
      <c r="D2244" s="105"/>
      <c r="E2244" s="105"/>
      <c r="F2244" s="105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>
      <c r="A2245" s="104"/>
      <c r="B2245" s="105"/>
      <c r="C2245" s="105"/>
      <c r="D2245" s="105"/>
      <c r="E2245" s="105"/>
      <c r="F2245" s="105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>
      <c r="A2246" s="104"/>
      <c r="B2246" s="105"/>
      <c r="C2246" s="105"/>
      <c r="D2246" s="105"/>
      <c r="E2246" s="105"/>
      <c r="F2246" s="105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>
      <c r="A2247" s="104"/>
      <c r="B2247" s="105"/>
      <c r="C2247" s="105"/>
      <c r="D2247" s="105"/>
      <c r="E2247" s="105"/>
      <c r="F2247" s="105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>
      <c r="A2248" s="104"/>
      <c r="B2248" s="105"/>
      <c r="C2248" s="105"/>
      <c r="D2248" s="105"/>
      <c r="E2248" s="105"/>
      <c r="F2248" s="105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>
      <c r="A2249" s="104"/>
      <c r="B2249" s="105"/>
      <c r="C2249" s="105"/>
      <c r="D2249" s="105"/>
      <c r="E2249" s="105"/>
      <c r="F2249" s="105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>
      <c r="A2250" s="104"/>
      <c r="B2250" s="105"/>
      <c r="C2250" s="105"/>
      <c r="D2250" s="105"/>
      <c r="E2250" s="105"/>
      <c r="F2250" s="105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>
      <c r="A2251" s="104"/>
      <c r="B2251" s="105"/>
      <c r="C2251" s="105"/>
      <c r="D2251" s="105"/>
      <c r="E2251" s="105"/>
      <c r="F2251" s="105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>
      <c r="A2252" s="104"/>
      <c r="B2252" s="105"/>
      <c r="C2252" s="105"/>
      <c r="D2252" s="105"/>
      <c r="E2252" s="105"/>
      <c r="F2252" s="105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>
      <c r="A2253" s="104"/>
      <c r="B2253" s="105"/>
      <c r="C2253" s="105"/>
      <c r="D2253" s="105"/>
      <c r="E2253" s="105"/>
      <c r="F2253" s="105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>
      <c r="A2254" s="104"/>
      <c r="B2254" s="105"/>
      <c r="C2254" s="105"/>
      <c r="D2254" s="105"/>
      <c r="E2254" s="105"/>
      <c r="F2254" s="105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>
      <c r="A2255" s="104"/>
      <c r="B2255" s="105"/>
      <c r="C2255" s="105"/>
      <c r="D2255" s="105"/>
      <c r="E2255" s="105"/>
      <c r="F2255" s="105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>
      <c r="A2256" s="104"/>
      <c r="B2256" s="105"/>
      <c r="C2256" s="105"/>
      <c r="D2256" s="105"/>
      <c r="E2256" s="105"/>
      <c r="F2256" s="105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>
      <c r="A2257" s="104"/>
      <c r="B2257" s="105"/>
      <c r="C2257" s="105"/>
      <c r="D2257" s="105"/>
      <c r="E2257" s="105"/>
      <c r="F2257" s="105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>
      <c r="A2258" s="104"/>
      <c r="B2258" s="105"/>
      <c r="C2258" s="105"/>
      <c r="D2258" s="105"/>
      <c r="E2258" s="105"/>
      <c r="F2258" s="105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>
      <c r="A2259" s="104"/>
      <c r="B2259" s="105"/>
      <c r="C2259" s="105"/>
      <c r="D2259" s="105"/>
      <c r="E2259" s="105"/>
      <c r="F2259" s="105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>
      <c r="A2260" s="104"/>
      <c r="B2260" s="105"/>
      <c r="C2260" s="105"/>
      <c r="D2260" s="105"/>
      <c r="E2260" s="105"/>
      <c r="F2260" s="105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>
      <c r="A2261" s="104"/>
      <c r="B2261" s="105"/>
      <c r="C2261" s="105"/>
      <c r="D2261" s="105"/>
      <c r="E2261" s="105"/>
      <c r="F2261" s="105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>
      <c r="A2262" s="104"/>
      <c r="B2262" s="105"/>
      <c r="C2262" s="105"/>
      <c r="D2262" s="105"/>
      <c r="E2262" s="105"/>
      <c r="F2262" s="105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>
      <c r="A2263" s="104"/>
      <c r="B2263" s="105"/>
      <c r="C2263" s="105"/>
      <c r="D2263" s="105"/>
      <c r="E2263" s="105"/>
      <c r="F2263" s="105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>
      <c r="A2264" s="104"/>
      <c r="B2264" s="105"/>
      <c r="C2264" s="105"/>
      <c r="D2264" s="105"/>
      <c r="E2264" s="105"/>
      <c r="F2264" s="105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>
      <c r="A2265" s="104"/>
      <c r="B2265" s="105"/>
      <c r="C2265" s="105"/>
      <c r="D2265" s="105"/>
      <c r="E2265" s="105"/>
      <c r="F2265" s="105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>
      <c r="A2266" s="104"/>
      <c r="B2266" s="105"/>
      <c r="C2266" s="105"/>
      <c r="D2266" s="105"/>
      <c r="E2266" s="105"/>
      <c r="F2266" s="105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>
      <c r="A2267" s="104"/>
      <c r="B2267" s="105"/>
      <c r="C2267" s="105"/>
      <c r="D2267" s="105"/>
      <c r="E2267" s="105"/>
      <c r="F2267" s="105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>
      <c r="A2268" s="104"/>
      <c r="B2268" s="105"/>
      <c r="C2268" s="105"/>
      <c r="D2268" s="105"/>
      <c r="E2268" s="105"/>
      <c r="F2268" s="105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>
      <c r="A2269" s="104"/>
      <c r="B2269" s="105"/>
      <c r="C2269" s="105"/>
      <c r="D2269" s="105"/>
      <c r="E2269" s="105"/>
      <c r="F2269" s="105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>
      <c r="A2270" s="104"/>
      <c r="B2270" s="105"/>
      <c r="C2270" s="105"/>
      <c r="D2270" s="105"/>
      <c r="E2270" s="105"/>
      <c r="F2270" s="105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>
      <c r="A2271" s="104"/>
      <c r="B2271" s="105"/>
      <c r="C2271" s="105"/>
      <c r="D2271" s="105"/>
      <c r="E2271" s="105"/>
      <c r="F2271" s="105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>
      <c r="A2272" s="104"/>
      <c r="B2272" s="105"/>
      <c r="C2272" s="105"/>
      <c r="D2272" s="105"/>
      <c r="E2272" s="105"/>
      <c r="F2272" s="105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>
      <c r="A2273" s="104"/>
      <c r="B2273" s="105"/>
      <c r="C2273" s="105"/>
      <c r="D2273" s="105"/>
      <c r="E2273" s="105"/>
      <c r="F2273" s="105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>
      <c r="A2274" s="104"/>
      <c r="B2274" s="105"/>
      <c r="C2274" s="105"/>
      <c r="D2274" s="105"/>
      <c r="E2274" s="105"/>
      <c r="F2274" s="105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>
      <c r="A2275" s="104"/>
      <c r="B2275" s="105"/>
      <c r="C2275" s="105"/>
      <c r="D2275" s="105"/>
      <c r="E2275" s="105"/>
      <c r="F2275" s="105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>
      <c r="A2276" s="104"/>
      <c r="B2276" s="105"/>
      <c r="C2276" s="105"/>
      <c r="D2276" s="105"/>
      <c r="E2276" s="105"/>
      <c r="F2276" s="105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>
      <c r="A2277" s="104"/>
      <c r="B2277" s="105"/>
      <c r="C2277" s="105"/>
      <c r="D2277" s="105"/>
      <c r="E2277" s="105"/>
      <c r="F2277" s="105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>
      <c r="A2278" s="104"/>
      <c r="B2278" s="105"/>
      <c r="C2278" s="105"/>
      <c r="D2278" s="105"/>
      <c r="E2278" s="105"/>
      <c r="F2278" s="105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>
      <c r="A2279" s="104"/>
      <c r="B2279" s="105"/>
      <c r="C2279" s="105"/>
      <c r="D2279" s="105"/>
      <c r="E2279" s="105"/>
      <c r="F2279" s="105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>
      <c r="A2280" s="104"/>
      <c r="B2280" s="105"/>
      <c r="C2280" s="105"/>
      <c r="D2280" s="105"/>
      <c r="E2280" s="105"/>
      <c r="F2280" s="105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>
      <c r="A2281" s="104"/>
      <c r="B2281" s="105"/>
      <c r="C2281" s="105"/>
      <c r="D2281" s="105"/>
      <c r="E2281" s="105"/>
      <c r="F2281" s="105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>
      <c r="A2282" s="104"/>
      <c r="B2282" s="105"/>
      <c r="C2282" s="105"/>
      <c r="D2282" s="105"/>
      <c r="E2282" s="105"/>
      <c r="F2282" s="105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>
      <c r="A2283" s="104"/>
      <c r="B2283" s="105"/>
      <c r="C2283" s="105"/>
      <c r="D2283" s="105"/>
      <c r="E2283" s="105"/>
      <c r="F2283" s="105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>
      <c r="A2284" s="104"/>
      <c r="B2284" s="105"/>
      <c r="C2284" s="105"/>
      <c r="D2284" s="105"/>
      <c r="E2284" s="105"/>
      <c r="F2284" s="105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>
      <c r="A2285" s="104"/>
      <c r="B2285" s="105"/>
      <c r="C2285" s="105"/>
      <c r="D2285" s="105"/>
      <c r="E2285" s="105"/>
      <c r="F2285" s="105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>
      <c r="A2286" s="104"/>
      <c r="B2286" s="105"/>
      <c r="C2286" s="105"/>
      <c r="D2286" s="105"/>
      <c r="E2286" s="105"/>
      <c r="F2286" s="105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>
      <c r="A2287" s="104"/>
      <c r="B2287" s="105"/>
      <c r="C2287" s="105"/>
      <c r="D2287" s="105"/>
      <c r="E2287" s="105"/>
      <c r="F2287" s="105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>
      <c r="A2288" s="104"/>
      <c r="B2288" s="105"/>
      <c r="C2288" s="105"/>
      <c r="D2288" s="105"/>
      <c r="E2288" s="105"/>
      <c r="F2288" s="105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>
      <c r="A2289" s="104"/>
      <c r="B2289" s="105"/>
      <c r="C2289" s="105"/>
      <c r="D2289" s="105"/>
      <c r="E2289" s="105"/>
      <c r="F2289" s="105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>
      <c r="A2290" s="104"/>
      <c r="B2290" s="105"/>
      <c r="C2290" s="105"/>
      <c r="D2290" s="105"/>
      <c r="E2290" s="105"/>
      <c r="F2290" s="105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>
      <c r="A2291" s="104"/>
      <c r="B2291" s="105"/>
      <c r="C2291" s="105"/>
      <c r="D2291" s="105"/>
      <c r="E2291" s="105"/>
      <c r="F2291" s="105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>
      <c r="A2292" s="104"/>
      <c r="B2292" s="105"/>
      <c r="C2292" s="105"/>
      <c r="D2292" s="105"/>
      <c r="E2292" s="105"/>
      <c r="F2292" s="105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>
      <c r="A2293" s="104"/>
      <c r="B2293" s="105"/>
      <c r="C2293" s="105"/>
      <c r="D2293" s="105"/>
      <c r="E2293" s="105"/>
      <c r="F2293" s="105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>
      <c r="A2294" s="104"/>
      <c r="B2294" s="105"/>
      <c r="C2294" s="105"/>
      <c r="D2294" s="105"/>
      <c r="E2294" s="105"/>
      <c r="F2294" s="105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>
      <c r="A2295" s="104"/>
      <c r="B2295" s="105"/>
      <c r="C2295" s="105"/>
      <c r="D2295" s="105"/>
      <c r="E2295" s="105"/>
      <c r="F2295" s="105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>
      <c r="A2296" s="104"/>
      <c r="B2296" s="105"/>
      <c r="C2296" s="105"/>
      <c r="D2296" s="105"/>
      <c r="E2296" s="105"/>
      <c r="F2296" s="105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>
      <c r="A2297" s="104"/>
      <c r="B2297" s="105"/>
      <c r="C2297" s="105"/>
      <c r="D2297" s="105"/>
      <c r="E2297" s="105"/>
      <c r="F2297" s="105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>
      <c r="A2298" s="104"/>
      <c r="B2298" s="105"/>
      <c r="C2298" s="105"/>
      <c r="D2298" s="105"/>
      <c r="E2298" s="105"/>
      <c r="F2298" s="105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>
      <c r="A2299" s="104"/>
      <c r="B2299" s="105"/>
      <c r="C2299" s="105"/>
      <c r="D2299" s="105"/>
      <c r="E2299" s="105"/>
      <c r="F2299" s="105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>
      <c r="A2300" s="104"/>
      <c r="B2300" s="105"/>
      <c r="C2300" s="105"/>
      <c r="D2300" s="105"/>
      <c r="E2300" s="105"/>
      <c r="F2300" s="105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>
      <c r="A2301" s="104"/>
      <c r="B2301" s="105"/>
      <c r="C2301" s="105"/>
      <c r="D2301" s="105"/>
      <c r="E2301" s="105"/>
      <c r="F2301" s="105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>
      <c r="A2302" s="104"/>
      <c r="B2302" s="105"/>
      <c r="C2302" s="105"/>
      <c r="D2302" s="105"/>
      <c r="E2302" s="105"/>
      <c r="F2302" s="105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>
      <c r="A2303" s="104"/>
      <c r="B2303" s="105"/>
      <c r="C2303" s="105"/>
      <c r="D2303" s="105"/>
      <c r="E2303" s="105"/>
      <c r="F2303" s="105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>
      <c r="A2304" s="104"/>
      <c r="B2304" s="105"/>
      <c r="C2304" s="105"/>
      <c r="D2304" s="105"/>
      <c r="E2304" s="105"/>
      <c r="F2304" s="105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>
      <c r="A2305" s="104"/>
      <c r="B2305" s="105"/>
      <c r="C2305" s="105"/>
      <c r="D2305" s="105"/>
      <c r="E2305" s="105"/>
      <c r="F2305" s="105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>
      <c r="A2306" s="104"/>
      <c r="B2306" s="105"/>
      <c r="C2306" s="105"/>
      <c r="D2306" s="105"/>
      <c r="E2306" s="105"/>
      <c r="F2306" s="105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>
      <c r="A2307" s="104"/>
      <c r="B2307" s="105"/>
      <c r="C2307" s="105"/>
      <c r="D2307" s="105"/>
      <c r="E2307" s="105"/>
      <c r="F2307" s="105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>
      <c r="A2308" s="104"/>
      <c r="B2308" s="105"/>
      <c r="C2308" s="105"/>
      <c r="D2308" s="105"/>
      <c r="E2308" s="105"/>
      <c r="F2308" s="105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>
      <c r="A2309" s="104"/>
      <c r="B2309" s="105"/>
      <c r="C2309" s="105"/>
      <c r="D2309" s="105"/>
      <c r="E2309" s="105"/>
      <c r="F2309" s="105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>
      <c r="A2310" s="104"/>
      <c r="B2310" s="105"/>
      <c r="C2310" s="105"/>
      <c r="D2310" s="105"/>
      <c r="E2310" s="105"/>
      <c r="F2310" s="105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>
      <c r="A2311" s="104"/>
      <c r="B2311" s="105"/>
      <c r="C2311" s="105"/>
      <c r="D2311" s="105"/>
      <c r="E2311" s="105"/>
      <c r="F2311" s="105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>
      <c r="A2312" s="104"/>
      <c r="B2312" s="105"/>
      <c r="C2312" s="105"/>
      <c r="D2312" s="105"/>
      <c r="E2312" s="105"/>
      <c r="F2312" s="105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>
      <c r="A2313" s="104"/>
      <c r="B2313" s="105"/>
      <c r="C2313" s="105"/>
      <c r="D2313" s="105"/>
      <c r="E2313" s="105"/>
      <c r="F2313" s="105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>
      <c r="A2314" s="104"/>
      <c r="B2314" s="105"/>
      <c r="C2314" s="105"/>
      <c r="D2314" s="105"/>
      <c r="E2314" s="105"/>
      <c r="F2314" s="105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>
      <c r="A2315" s="104"/>
      <c r="B2315" s="105"/>
      <c r="C2315" s="105"/>
      <c r="D2315" s="105"/>
      <c r="E2315" s="105"/>
      <c r="F2315" s="105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>
      <c r="A2316" s="104"/>
      <c r="B2316" s="105"/>
      <c r="C2316" s="105"/>
      <c r="D2316" s="105"/>
      <c r="E2316" s="105"/>
      <c r="F2316" s="105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>
      <c r="A2317" s="104"/>
      <c r="B2317" s="105"/>
      <c r="C2317" s="105"/>
      <c r="D2317" s="105"/>
      <c r="E2317" s="105"/>
      <c r="F2317" s="105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>
      <c r="A2318" s="104"/>
      <c r="B2318" s="105"/>
      <c r="C2318" s="105"/>
      <c r="D2318" s="105"/>
      <c r="E2318" s="105"/>
      <c r="F2318" s="105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>
      <c r="A2319" s="104"/>
      <c r="B2319" s="105"/>
      <c r="C2319" s="105"/>
      <c r="D2319" s="105"/>
      <c r="E2319" s="105"/>
      <c r="F2319" s="105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>
      <c r="A2320" s="104"/>
      <c r="B2320" s="105"/>
      <c r="C2320" s="105"/>
      <c r="D2320" s="105"/>
      <c r="E2320" s="105"/>
      <c r="F2320" s="105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>
      <c r="A2321" s="104"/>
      <c r="B2321" s="105"/>
      <c r="C2321" s="105"/>
      <c r="D2321" s="105"/>
      <c r="E2321" s="105"/>
      <c r="F2321" s="105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>
      <c r="A2322" s="104"/>
      <c r="B2322" s="105"/>
      <c r="C2322" s="105"/>
      <c r="D2322" s="105"/>
      <c r="E2322" s="105"/>
      <c r="F2322" s="105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>
      <c r="A2323" s="104"/>
      <c r="B2323" s="105"/>
      <c r="C2323" s="105"/>
      <c r="D2323" s="105"/>
      <c r="E2323" s="105"/>
      <c r="F2323" s="105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>
      <c r="A2324" s="104"/>
      <c r="B2324" s="105"/>
      <c r="C2324" s="105"/>
      <c r="D2324" s="105"/>
      <c r="E2324" s="105"/>
      <c r="F2324" s="105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>
      <c r="A2325" s="104"/>
      <c r="B2325" s="105"/>
      <c r="C2325" s="105"/>
      <c r="D2325" s="105"/>
      <c r="E2325" s="105"/>
      <c r="F2325" s="105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>
      <c r="A2326" s="104"/>
      <c r="B2326" s="105"/>
      <c r="C2326" s="105"/>
      <c r="D2326" s="105"/>
      <c r="E2326" s="105"/>
      <c r="F2326" s="105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>
      <c r="A2327" s="104"/>
      <c r="B2327" s="105"/>
      <c r="C2327" s="105"/>
      <c r="D2327" s="105"/>
      <c r="E2327" s="105"/>
      <c r="F2327" s="105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>
      <c r="A2328" s="104"/>
      <c r="B2328" s="105"/>
      <c r="C2328" s="105"/>
      <c r="D2328" s="105"/>
      <c r="E2328" s="105"/>
      <c r="F2328" s="105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>
      <c r="A2329" s="104"/>
      <c r="B2329" s="105"/>
      <c r="C2329" s="105"/>
      <c r="D2329" s="105"/>
      <c r="E2329" s="105"/>
      <c r="F2329" s="105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>
      <c r="A2330" s="104"/>
      <c r="B2330" s="105"/>
      <c r="C2330" s="105"/>
      <c r="D2330" s="105"/>
      <c r="E2330" s="105"/>
      <c r="F2330" s="105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>
      <c r="A2331" s="104"/>
      <c r="B2331" s="105"/>
      <c r="C2331" s="105"/>
      <c r="D2331" s="105"/>
      <c r="E2331" s="105"/>
      <c r="F2331" s="105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>
      <c r="A2332" s="104"/>
      <c r="B2332" s="105"/>
      <c r="C2332" s="105"/>
      <c r="D2332" s="105"/>
      <c r="E2332" s="105"/>
      <c r="F2332" s="105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>
      <c r="A2333" s="104"/>
      <c r="B2333" s="105"/>
      <c r="C2333" s="105"/>
      <c r="D2333" s="105"/>
      <c r="E2333" s="105"/>
      <c r="F2333" s="105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>
      <c r="A2334" s="104"/>
      <c r="B2334" s="105"/>
      <c r="C2334" s="105"/>
      <c r="D2334" s="105"/>
      <c r="E2334" s="105"/>
      <c r="F2334" s="105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>
      <c r="A2335" s="104"/>
      <c r="B2335" s="105"/>
      <c r="C2335" s="105"/>
      <c r="D2335" s="105"/>
      <c r="E2335" s="105"/>
      <c r="F2335" s="105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>
      <c r="A2336" s="104"/>
      <c r="B2336" s="105"/>
      <c r="C2336" s="105"/>
      <c r="D2336" s="105"/>
      <c r="E2336" s="105"/>
      <c r="F2336" s="105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>
      <c r="A2337" s="104"/>
      <c r="B2337" s="105"/>
      <c r="C2337" s="105"/>
      <c r="D2337" s="105"/>
      <c r="E2337" s="105"/>
      <c r="F2337" s="105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>
      <c r="A2338" s="104"/>
      <c r="B2338" s="105"/>
      <c r="C2338" s="105"/>
      <c r="D2338" s="105"/>
      <c r="E2338" s="105"/>
      <c r="F2338" s="105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>
      <c r="A2339" s="104"/>
      <c r="B2339" s="105"/>
      <c r="C2339" s="105"/>
      <c r="D2339" s="105"/>
      <c r="E2339" s="105"/>
      <c r="F2339" s="105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>
      <c r="A2340" s="104"/>
      <c r="B2340" s="105"/>
      <c r="C2340" s="105"/>
      <c r="D2340" s="105"/>
      <c r="E2340" s="105"/>
      <c r="F2340" s="105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>
      <c r="A2341" s="104"/>
      <c r="B2341" s="105"/>
      <c r="C2341" s="105"/>
      <c r="D2341" s="105"/>
      <c r="E2341" s="105"/>
      <c r="F2341" s="105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>
      <c r="A2342" s="104"/>
      <c r="B2342" s="105"/>
      <c r="C2342" s="105"/>
      <c r="D2342" s="105"/>
      <c r="E2342" s="105"/>
      <c r="F2342" s="105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>
      <c r="A2343" s="104"/>
      <c r="B2343" s="105"/>
      <c r="C2343" s="105"/>
      <c r="D2343" s="105"/>
      <c r="E2343" s="105"/>
      <c r="F2343" s="105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>
      <c r="A2344" s="104"/>
      <c r="B2344" s="105"/>
      <c r="C2344" s="105"/>
      <c r="D2344" s="105"/>
      <c r="E2344" s="105"/>
      <c r="F2344" s="105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>
      <c r="A2345" s="104"/>
      <c r="B2345" s="105"/>
      <c r="C2345" s="105"/>
      <c r="D2345" s="105"/>
      <c r="E2345" s="105"/>
      <c r="F2345" s="105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>
      <c r="A2346" s="104"/>
      <c r="B2346" s="105"/>
      <c r="C2346" s="105"/>
      <c r="D2346" s="105"/>
      <c r="E2346" s="105"/>
      <c r="F2346" s="105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>
      <c r="A2347" s="104"/>
      <c r="B2347" s="105"/>
      <c r="C2347" s="105"/>
      <c r="D2347" s="105"/>
      <c r="E2347" s="105"/>
      <c r="F2347" s="105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>
      <c r="A2348" s="104"/>
      <c r="B2348" s="105"/>
      <c r="C2348" s="105"/>
      <c r="D2348" s="105"/>
      <c r="E2348" s="105"/>
      <c r="F2348" s="105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>
      <c r="A2349" s="104"/>
      <c r="B2349" s="105"/>
      <c r="C2349" s="105"/>
      <c r="D2349" s="105"/>
      <c r="E2349" s="105"/>
      <c r="F2349" s="105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>
      <c r="A2350" s="104"/>
      <c r="B2350" s="105"/>
      <c r="C2350" s="105"/>
      <c r="D2350" s="105"/>
      <c r="E2350" s="105"/>
      <c r="F2350" s="105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>
      <c r="A2351" s="104"/>
      <c r="B2351" s="105"/>
      <c r="C2351" s="105"/>
      <c r="D2351" s="105"/>
      <c r="E2351" s="105"/>
      <c r="F2351" s="105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>
      <c r="A2352" s="104"/>
      <c r="B2352" s="105"/>
      <c r="C2352" s="105"/>
      <c r="D2352" s="105"/>
      <c r="E2352" s="105"/>
      <c r="F2352" s="105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>
      <c r="A2353" s="104"/>
      <c r="B2353" s="105"/>
      <c r="C2353" s="105"/>
      <c r="D2353" s="105"/>
      <c r="E2353" s="105"/>
      <c r="F2353" s="105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>
      <c r="A2354" s="104"/>
      <c r="B2354" s="105"/>
      <c r="C2354" s="105"/>
      <c r="D2354" s="105"/>
      <c r="E2354" s="105"/>
      <c r="F2354" s="105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>
      <c r="A2355" s="104"/>
      <c r="B2355" s="105"/>
      <c r="C2355" s="105"/>
      <c r="D2355" s="105"/>
      <c r="E2355" s="105"/>
      <c r="F2355" s="105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>
      <c r="A2356" s="104"/>
      <c r="B2356" s="105"/>
      <c r="C2356" s="105"/>
      <c r="D2356" s="105"/>
      <c r="E2356" s="105"/>
      <c r="F2356" s="105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>
      <c r="A2357" s="104"/>
      <c r="B2357" s="105"/>
      <c r="C2357" s="105"/>
      <c r="D2357" s="105"/>
      <c r="E2357" s="105"/>
      <c r="F2357" s="105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>
      <c r="A2358" s="104"/>
      <c r="B2358" s="105"/>
      <c r="C2358" s="105"/>
      <c r="D2358" s="105"/>
      <c r="E2358" s="105"/>
      <c r="F2358" s="105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>
      <c r="A2359" s="104"/>
      <c r="B2359" s="105"/>
      <c r="C2359" s="105"/>
      <c r="D2359" s="105"/>
      <c r="E2359" s="105"/>
      <c r="F2359" s="105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>
      <c r="A2360" s="104"/>
      <c r="B2360" s="105"/>
      <c r="C2360" s="105"/>
      <c r="D2360" s="105"/>
      <c r="E2360" s="105"/>
      <c r="F2360" s="105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>
      <c r="A2361" s="104"/>
      <c r="B2361" s="105"/>
      <c r="C2361" s="105"/>
      <c r="D2361" s="105"/>
      <c r="E2361" s="105"/>
      <c r="F2361" s="105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>
      <c r="A2362" s="104"/>
      <c r="B2362" s="105"/>
      <c r="C2362" s="105"/>
      <c r="D2362" s="105"/>
      <c r="E2362" s="105"/>
      <c r="F2362" s="105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>
      <c r="A2363" s="104"/>
      <c r="B2363" s="105"/>
      <c r="C2363" s="105"/>
      <c r="D2363" s="105"/>
      <c r="E2363" s="105"/>
      <c r="F2363" s="105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>
      <c r="A2364" s="104"/>
      <c r="B2364" s="105"/>
      <c r="C2364" s="105"/>
      <c r="D2364" s="105"/>
      <c r="E2364" s="105"/>
      <c r="F2364" s="105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>
      <c r="A2365" s="104"/>
      <c r="B2365" s="105"/>
      <c r="C2365" s="105"/>
      <c r="D2365" s="105"/>
      <c r="E2365" s="105"/>
      <c r="F2365" s="105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>
      <c r="A2366" s="104"/>
      <c r="B2366" s="105"/>
      <c r="C2366" s="105"/>
      <c r="D2366" s="105"/>
      <c r="E2366" s="105"/>
      <c r="F2366" s="105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>
      <c r="A2367" s="104"/>
      <c r="B2367" s="105"/>
      <c r="C2367" s="105"/>
      <c r="D2367" s="105"/>
      <c r="E2367" s="105"/>
      <c r="F2367" s="105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>
      <c r="A2368" s="104"/>
      <c r="B2368" s="105"/>
      <c r="C2368" s="105"/>
      <c r="D2368" s="105"/>
      <c r="E2368" s="105"/>
      <c r="F2368" s="105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>
      <c r="A2369" s="104"/>
      <c r="B2369" s="105"/>
      <c r="C2369" s="105"/>
      <c r="D2369" s="105"/>
      <c r="E2369" s="105"/>
      <c r="F2369" s="105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>
      <c r="A2370" s="104"/>
      <c r="B2370" s="105"/>
      <c r="C2370" s="105"/>
      <c r="D2370" s="105"/>
      <c r="E2370" s="105"/>
      <c r="F2370" s="105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>
      <c r="A2371" s="104"/>
      <c r="B2371" s="105"/>
      <c r="C2371" s="105"/>
      <c r="D2371" s="105"/>
      <c r="E2371" s="105"/>
      <c r="F2371" s="105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>
      <c r="A2372" s="104"/>
      <c r="B2372" s="105"/>
      <c r="C2372" s="105"/>
      <c r="D2372" s="105"/>
      <c r="E2372" s="105"/>
      <c r="F2372" s="105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>
      <c r="A2373" s="104"/>
      <c r="B2373" s="105"/>
      <c r="C2373" s="105"/>
      <c r="D2373" s="105"/>
      <c r="E2373" s="105"/>
      <c r="F2373" s="105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>
      <c r="A2374" s="104"/>
      <c r="B2374" s="105"/>
      <c r="C2374" s="105"/>
      <c r="D2374" s="105"/>
      <c r="E2374" s="105"/>
      <c r="F2374" s="105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>
      <c r="A2375" s="104"/>
      <c r="B2375" s="105"/>
      <c r="C2375" s="105"/>
      <c r="D2375" s="105"/>
      <c r="E2375" s="105"/>
      <c r="F2375" s="105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>
      <c r="A2376" s="104"/>
      <c r="B2376" s="105"/>
      <c r="C2376" s="105"/>
      <c r="D2376" s="105"/>
      <c r="E2376" s="105"/>
      <c r="F2376" s="105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>
      <c r="A2377" s="104"/>
      <c r="B2377" s="105"/>
      <c r="C2377" s="105"/>
      <c r="D2377" s="105"/>
      <c r="E2377" s="105"/>
      <c r="F2377" s="105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>
      <c r="A2378" s="104"/>
      <c r="B2378" s="105"/>
      <c r="C2378" s="105"/>
      <c r="D2378" s="105"/>
      <c r="E2378" s="105"/>
      <c r="F2378" s="105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>
      <c r="A2379" s="104"/>
      <c r="B2379" s="105"/>
      <c r="C2379" s="105"/>
      <c r="D2379" s="105"/>
      <c r="E2379" s="105"/>
      <c r="F2379" s="105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>
      <c r="A2380" s="104"/>
      <c r="B2380" s="105"/>
      <c r="C2380" s="105"/>
      <c r="D2380" s="105"/>
      <c r="E2380" s="105"/>
      <c r="F2380" s="105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>
      <c r="A2381" s="104"/>
      <c r="B2381" s="105"/>
      <c r="C2381" s="105"/>
      <c r="D2381" s="105"/>
      <c r="E2381" s="105"/>
      <c r="F2381" s="105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>
      <c r="A2382" s="104"/>
      <c r="B2382" s="105"/>
      <c r="C2382" s="105"/>
      <c r="D2382" s="105"/>
      <c r="E2382" s="105"/>
      <c r="F2382" s="105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>
      <c r="A2383" s="104"/>
      <c r="B2383" s="105"/>
      <c r="C2383" s="105"/>
      <c r="D2383" s="105"/>
      <c r="E2383" s="105"/>
      <c r="F2383" s="105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>
      <c r="A2384" s="104"/>
      <c r="B2384" s="105"/>
      <c r="C2384" s="105"/>
      <c r="D2384" s="105"/>
      <c r="E2384" s="105"/>
      <c r="F2384" s="105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>
      <c r="A2385" s="104"/>
      <c r="B2385" s="105"/>
      <c r="C2385" s="105"/>
      <c r="D2385" s="105"/>
      <c r="E2385" s="105"/>
      <c r="F2385" s="105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>
      <c r="A2386" s="104"/>
      <c r="B2386" s="105"/>
      <c r="C2386" s="105"/>
      <c r="D2386" s="105"/>
      <c r="E2386" s="105"/>
      <c r="F2386" s="105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>
      <c r="A2387" s="104"/>
      <c r="B2387" s="105"/>
      <c r="C2387" s="105"/>
      <c r="D2387" s="105"/>
      <c r="E2387" s="105"/>
      <c r="F2387" s="105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>
      <c r="A2388" s="104"/>
      <c r="B2388" s="105"/>
      <c r="C2388" s="105"/>
      <c r="D2388" s="105"/>
      <c r="E2388" s="105"/>
      <c r="F2388" s="105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>
      <c r="A2389" s="104"/>
      <c r="B2389" s="105"/>
      <c r="C2389" s="105"/>
      <c r="D2389" s="105"/>
      <c r="E2389" s="105"/>
      <c r="F2389" s="105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>
      <c r="A2390" s="104"/>
      <c r="B2390" s="105"/>
      <c r="C2390" s="105"/>
      <c r="D2390" s="105"/>
      <c r="E2390" s="105"/>
      <c r="F2390" s="105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>
      <c r="A2391" s="104"/>
      <c r="B2391" s="105"/>
      <c r="C2391" s="105"/>
      <c r="D2391" s="105"/>
      <c r="E2391" s="105"/>
      <c r="F2391" s="105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>
      <c r="A2392" s="104"/>
      <c r="B2392" s="105"/>
      <c r="C2392" s="105"/>
      <c r="D2392" s="105"/>
      <c r="E2392" s="105"/>
      <c r="F2392" s="105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>
      <c r="A2393" s="104"/>
      <c r="B2393" s="105"/>
      <c r="C2393" s="105"/>
      <c r="D2393" s="105"/>
      <c r="E2393" s="105"/>
      <c r="F2393" s="105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>
      <c r="A2394" s="104"/>
      <c r="B2394" s="105"/>
      <c r="C2394" s="105"/>
      <c r="D2394" s="105"/>
      <c r="E2394" s="105"/>
      <c r="F2394" s="105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>
      <c r="A2395" s="104"/>
      <c r="B2395" s="105"/>
      <c r="C2395" s="105"/>
      <c r="D2395" s="105"/>
      <c r="E2395" s="105"/>
      <c r="F2395" s="105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>
      <c r="A2396" s="104"/>
      <c r="B2396" s="105"/>
      <c r="C2396" s="105"/>
      <c r="D2396" s="105"/>
      <c r="E2396" s="105"/>
      <c r="F2396" s="105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>
      <c r="A2397" s="104"/>
      <c r="B2397" s="105"/>
      <c r="C2397" s="105"/>
      <c r="D2397" s="105"/>
      <c r="E2397" s="105"/>
      <c r="F2397" s="105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>
      <c r="A2398" s="104"/>
      <c r="B2398" s="105"/>
      <c r="C2398" s="105"/>
      <c r="D2398" s="105"/>
      <c r="E2398" s="105"/>
      <c r="F2398" s="105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>
      <c r="A2399" s="104"/>
      <c r="B2399" s="105"/>
      <c r="C2399" s="105"/>
      <c r="D2399" s="105"/>
      <c r="E2399" s="105"/>
      <c r="F2399" s="105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>
      <c r="A2400" s="104"/>
      <c r="B2400" s="105"/>
      <c r="C2400" s="105"/>
      <c r="D2400" s="105"/>
      <c r="E2400" s="105"/>
      <c r="F2400" s="105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>
      <c r="A2401" s="104"/>
      <c r="B2401" s="105"/>
      <c r="C2401" s="105"/>
      <c r="D2401" s="105"/>
      <c r="E2401" s="105"/>
      <c r="F2401" s="105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>
      <c r="A2402" s="104"/>
      <c r="B2402" s="105"/>
      <c r="C2402" s="105"/>
      <c r="D2402" s="105"/>
      <c r="E2402" s="105"/>
      <c r="F2402" s="105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>
      <c r="A2403" s="104"/>
      <c r="B2403" s="105"/>
      <c r="C2403" s="105"/>
      <c r="D2403" s="105"/>
      <c r="E2403" s="105"/>
      <c r="F2403" s="105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>
      <c r="A2404" s="104"/>
      <c r="B2404" s="105"/>
      <c r="C2404" s="105"/>
      <c r="D2404" s="105"/>
      <c r="E2404" s="105"/>
      <c r="F2404" s="105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>
      <c r="A2405" s="104"/>
      <c r="B2405" s="105"/>
      <c r="C2405" s="105"/>
      <c r="D2405" s="105"/>
      <c r="E2405" s="105"/>
      <c r="F2405" s="105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>
      <c r="A2406" s="104"/>
      <c r="B2406" s="105"/>
      <c r="C2406" s="105"/>
      <c r="D2406" s="105"/>
      <c r="E2406" s="105"/>
      <c r="F2406" s="105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>
      <c r="A2407" s="104"/>
      <c r="B2407" s="105"/>
      <c r="C2407" s="105"/>
      <c r="D2407" s="105"/>
      <c r="E2407" s="105"/>
      <c r="F2407" s="105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>
      <c r="A2408" s="104"/>
      <c r="B2408" s="105"/>
      <c r="C2408" s="105"/>
      <c r="D2408" s="105"/>
      <c r="E2408" s="105"/>
      <c r="F2408" s="105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>
      <c r="A2409" s="104"/>
      <c r="B2409" s="105"/>
      <c r="C2409" s="105"/>
      <c r="D2409" s="105"/>
      <c r="E2409" s="105"/>
      <c r="F2409" s="105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>
      <c r="A2410" s="104"/>
      <c r="B2410" s="105"/>
      <c r="C2410" s="105"/>
      <c r="D2410" s="105"/>
      <c r="E2410" s="105"/>
      <c r="F2410" s="105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>
      <c r="A2411" s="104"/>
      <c r="B2411" s="105"/>
      <c r="C2411" s="105"/>
      <c r="D2411" s="105"/>
      <c r="E2411" s="105"/>
      <c r="F2411" s="105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>
      <c r="A2412" s="104"/>
      <c r="B2412" s="105"/>
      <c r="C2412" s="105"/>
      <c r="D2412" s="105"/>
      <c r="E2412" s="105"/>
      <c r="F2412" s="105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>
      <c r="A2413" s="104"/>
      <c r="B2413" s="105"/>
      <c r="C2413" s="105"/>
      <c r="D2413" s="105"/>
      <c r="E2413" s="105"/>
      <c r="F2413" s="105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>
      <c r="A2414" s="104"/>
      <c r="B2414" s="105"/>
      <c r="C2414" s="105"/>
      <c r="D2414" s="105"/>
      <c r="E2414" s="105"/>
      <c r="F2414" s="105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>
      <c r="A2415" s="104"/>
      <c r="B2415" s="105"/>
      <c r="C2415" s="105"/>
      <c r="D2415" s="105"/>
      <c r="E2415" s="105"/>
      <c r="F2415" s="105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>
      <c r="A2416" s="104"/>
      <c r="B2416" s="105"/>
      <c r="C2416" s="105"/>
      <c r="D2416" s="105"/>
      <c r="E2416" s="105"/>
      <c r="F2416" s="105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>
      <c r="A2417" s="104"/>
      <c r="B2417" s="105"/>
      <c r="C2417" s="105"/>
      <c r="D2417" s="105"/>
      <c r="E2417" s="105"/>
      <c r="F2417" s="105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>
      <c r="A2418" s="104"/>
      <c r="B2418" s="105"/>
      <c r="C2418" s="105"/>
      <c r="D2418" s="105"/>
      <c r="E2418" s="105"/>
      <c r="F2418" s="105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>
      <c r="A2419" s="104"/>
      <c r="B2419" s="105"/>
      <c r="C2419" s="105"/>
      <c r="D2419" s="105"/>
      <c r="E2419" s="105"/>
      <c r="F2419" s="105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>
      <c r="A2420" s="104"/>
      <c r="B2420" s="105"/>
      <c r="C2420" s="105"/>
      <c r="D2420" s="105"/>
      <c r="E2420" s="105"/>
      <c r="F2420" s="105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>
      <c r="A2421" s="104"/>
      <c r="B2421" s="105"/>
      <c r="C2421" s="105"/>
      <c r="D2421" s="105"/>
      <c r="E2421" s="105"/>
      <c r="F2421" s="105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>
      <c r="A2422" s="104"/>
      <c r="B2422" s="105"/>
      <c r="C2422" s="105"/>
      <c r="D2422" s="105"/>
      <c r="E2422" s="105"/>
      <c r="F2422" s="105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>
      <c r="A2423" s="104"/>
      <c r="B2423" s="105"/>
      <c r="C2423" s="105"/>
      <c r="D2423" s="105"/>
      <c r="E2423" s="105"/>
      <c r="F2423" s="105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>
      <c r="A2424" s="104"/>
      <c r="B2424" s="105"/>
      <c r="C2424" s="105"/>
      <c r="D2424" s="105"/>
      <c r="E2424" s="105"/>
      <c r="F2424" s="105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>
      <c r="A2425" s="104"/>
      <c r="B2425" s="105"/>
      <c r="C2425" s="105"/>
      <c r="D2425" s="105"/>
      <c r="E2425" s="105"/>
      <c r="F2425" s="105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>
      <c r="A2426" s="104"/>
      <c r="B2426" s="105"/>
      <c r="C2426" s="105"/>
      <c r="D2426" s="105"/>
      <c r="E2426" s="105"/>
      <c r="F2426" s="105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>
      <c r="A2427" s="104"/>
      <c r="B2427" s="105"/>
      <c r="C2427" s="105"/>
      <c r="D2427" s="105"/>
      <c r="E2427" s="105"/>
      <c r="F2427" s="105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>
      <c r="A2428" s="104"/>
      <c r="B2428" s="105"/>
      <c r="C2428" s="105"/>
      <c r="D2428" s="105"/>
      <c r="E2428" s="105"/>
      <c r="F2428" s="105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>
      <c r="A2429" s="104"/>
      <c r="B2429" s="105"/>
      <c r="C2429" s="105"/>
      <c r="D2429" s="105"/>
      <c r="E2429" s="105"/>
      <c r="F2429" s="105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>
      <c r="A2430" s="104"/>
      <c r="B2430" s="105"/>
      <c r="C2430" s="105"/>
      <c r="D2430" s="105"/>
      <c r="E2430" s="105"/>
      <c r="F2430" s="105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>
      <c r="A2431" s="104"/>
      <c r="B2431" s="105"/>
      <c r="C2431" s="105"/>
      <c r="D2431" s="105"/>
      <c r="E2431" s="105"/>
      <c r="F2431" s="105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>
      <c r="A2432" s="104"/>
      <c r="B2432" s="105"/>
      <c r="C2432" s="105"/>
      <c r="D2432" s="105"/>
      <c r="E2432" s="105"/>
      <c r="F2432" s="105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>
      <c r="A2433" s="104"/>
      <c r="B2433" s="105"/>
      <c r="C2433" s="105"/>
      <c r="D2433" s="105"/>
      <c r="E2433" s="105"/>
      <c r="F2433" s="105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>
      <c r="A2434" s="104"/>
      <c r="B2434" s="105"/>
      <c r="C2434" s="105"/>
      <c r="D2434" s="105"/>
      <c r="E2434" s="105"/>
      <c r="F2434" s="105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>
      <c r="A2435" s="104"/>
      <c r="B2435" s="105"/>
      <c r="C2435" s="105"/>
      <c r="D2435" s="105"/>
      <c r="E2435" s="105"/>
      <c r="F2435" s="105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>
      <c r="A2436" s="104"/>
      <c r="B2436" s="105"/>
      <c r="C2436" s="105"/>
      <c r="D2436" s="105"/>
      <c r="E2436" s="105"/>
      <c r="F2436" s="105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>
      <c r="A2437" s="104"/>
      <c r="B2437" s="105"/>
      <c r="C2437" s="105"/>
      <c r="D2437" s="105"/>
      <c r="E2437" s="105"/>
      <c r="F2437" s="105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>
      <c r="A2438" s="104"/>
      <c r="B2438" s="105"/>
      <c r="C2438" s="105"/>
      <c r="D2438" s="105"/>
      <c r="E2438" s="105"/>
      <c r="F2438" s="105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>
      <c r="A2439" s="104"/>
      <c r="B2439" s="105"/>
      <c r="C2439" s="105"/>
      <c r="D2439" s="105"/>
      <c r="E2439" s="105"/>
      <c r="F2439" s="105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>
      <c r="A2440" s="104"/>
      <c r="B2440" s="105"/>
      <c r="C2440" s="105"/>
      <c r="D2440" s="105"/>
      <c r="E2440" s="105"/>
      <c r="F2440" s="105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>
      <c r="A2441" s="104"/>
      <c r="B2441" s="105"/>
      <c r="C2441" s="105"/>
      <c r="D2441" s="105"/>
      <c r="E2441" s="105"/>
      <c r="F2441" s="105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>
      <c r="A2442" s="104"/>
      <c r="B2442" s="105"/>
      <c r="C2442" s="105"/>
      <c r="D2442" s="105"/>
      <c r="E2442" s="105"/>
      <c r="F2442" s="105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>
      <c r="A2443" s="104"/>
      <c r="B2443" s="105"/>
      <c r="C2443" s="105"/>
      <c r="D2443" s="105"/>
      <c r="E2443" s="105"/>
      <c r="F2443" s="105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>
      <c r="A2444" s="104"/>
      <c r="B2444" s="105"/>
      <c r="C2444" s="105"/>
      <c r="D2444" s="105"/>
      <c r="E2444" s="105"/>
      <c r="F2444" s="105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>
      <c r="A2445" s="104"/>
      <c r="B2445" s="105"/>
      <c r="C2445" s="105"/>
      <c r="D2445" s="105"/>
      <c r="E2445" s="105"/>
      <c r="F2445" s="105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>
      <c r="A2446" s="104"/>
      <c r="B2446" s="105"/>
      <c r="C2446" s="105"/>
      <c r="D2446" s="105"/>
      <c r="E2446" s="105"/>
      <c r="F2446" s="105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>
      <c r="A2447" s="104"/>
      <c r="B2447" s="105"/>
      <c r="C2447" s="105"/>
      <c r="D2447" s="105"/>
      <c r="E2447" s="105"/>
      <c r="F2447" s="105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>
      <c r="A2448" s="104"/>
      <c r="B2448" s="105"/>
      <c r="C2448" s="105"/>
      <c r="D2448" s="105"/>
      <c r="E2448" s="105"/>
      <c r="F2448" s="105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>
      <c r="A2449" s="104"/>
      <c r="B2449" s="105"/>
      <c r="C2449" s="105"/>
      <c r="D2449" s="105"/>
      <c r="E2449" s="105"/>
      <c r="F2449" s="105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>
      <c r="A2450" s="104"/>
      <c r="B2450" s="105"/>
      <c r="C2450" s="105"/>
      <c r="D2450" s="105"/>
      <c r="E2450" s="105"/>
      <c r="F2450" s="105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>
      <c r="A2451" s="104"/>
      <c r="B2451" s="105"/>
      <c r="C2451" s="105"/>
      <c r="D2451" s="105"/>
      <c r="E2451" s="105"/>
      <c r="F2451" s="105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>
      <c r="A2452" s="104"/>
      <c r="B2452" s="105"/>
      <c r="C2452" s="105"/>
      <c r="D2452" s="105"/>
      <c r="E2452" s="105"/>
      <c r="F2452" s="105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>
      <c r="A2453" s="104"/>
      <c r="B2453" s="105"/>
      <c r="C2453" s="105"/>
      <c r="D2453" s="105"/>
      <c r="E2453" s="105"/>
      <c r="F2453" s="105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>
      <c r="A2454" s="104"/>
      <c r="B2454" s="105"/>
      <c r="C2454" s="105"/>
      <c r="D2454" s="105"/>
      <c r="E2454" s="105"/>
      <c r="F2454" s="105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>
      <c r="A2455" s="104"/>
      <c r="B2455" s="105"/>
      <c r="C2455" s="105"/>
      <c r="D2455" s="105"/>
      <c r="E2455" s="105"/>
      <c r="F2455" s="105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>
      <c r="A2456" s="104"/>
      <c r="B2456" s="105"/>
      <c r="C2456" s="105"/>
      <c r="D2456" s="105"/>
      <c r="E2456" s="105"/>
      <c r="F2456" s="105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>
      <c r="A2457" s="104"/>
      <c r="B2457" s="105"/>
      <c r="C2457" s="105"/>
      <c r="D2457" s="105"/>
      <c r="E2457" s="105"/>
      <c r="F2457" s="105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>
      <c r="A2458" s="104"/>
      <c r="B2458" s="105"/>
      <c r="C2458" s="105"/>
      <c r="D2458" s="105"/>
      <c r="E2458" s="105"/>
      <c r="F2458" s="105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>
      <c r="A2459" s="104"/>
      <c r="B2459" s="105"/>
      <c r="C2459" s="105"/>
      <c r="D2459" s="105"/>
      <c r="E2459" s="105"/>
      <c r="F2459" s="105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>
      <c r="A2460" s="104"/>
      <c r="B2460" s="105"/>
      <c r="C2460" s="105"/>
      <c r="D2460" s="105"/>
      <c r="E2460" s="105"/>
      <c r="F2460" s="105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>
      <c r="A2461" s="104"/>
      <c r="B2461" s="105"/>
      <c r="C2461" s="105"/>
      <c r="D2461" s="105"/>
      <c r="E2461" s="105"/>
      <c r="F2461" s="105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>
      <c r="A2462" s="104"/>
      <c r="B2462" s="105"/>
      <c r="C2462" s="105"/>
      <c r="D2462" s="105"/>
      <c r="E2462" s="105"/>
      <c r="F2462" s="105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>
      <c r="A2463" s="104"/>
      <c r="B2463" s="105"/>
      <c r="C2463" s="105"/>
      <c r="D2463" s="105"/>
      <c r="E2463" s="105"/>
      <c r="F2463" s="105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>
      <c r="A2464" s="104"/>
      <c r="B2464" s="105"/>
      <c r="C2464" s="105"/>
      <c r="D2464" s="105"/>
      <c r="E2464" s="105"/>
      <c r="F2464" s="105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>
      <c r="A2465" s="104"/>
      <c r="B2465" s="105"/>
      <c r="C2465" s="105"/>
      <c r="D2465" s="105"/>
      <c r="E2465" s="105"/>
      <c r="F2465" s="105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>
      <c r="A2466" s="104"/>
      <c r="B2466" s="105"/>
      <c r="C2466" s="105"/>
      <c r="D2466" s="105"/>
      <c r="E2466" s="105"/>
      <c r="F2466" s="105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>
      <c r="A2467" s="104"/>
      <c r="B2467" s="105"/>
      <c r="C2467" s="105"/>
      <c r="D2467" s="105"/>
      <c r="E2467" s="105"/>
      <c r="F2467" s="105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>
      <c r="A2468" s="104"/>
      <c r="B2468" s="105"/>
      <c r="C2468" s="105"/>
      <c r="D2468" s="105"/>
      <c r="E2468" s="105"/>
      <c r="F2468" s="105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>
      <c r="A2469" s="104"/>
      <c r="B2469" s="105"/>
      <c r="C2469" s="105"/>
      <c r="D2469" s="105"/>
      <c r="E2469" s="105"/>
      <c r="F2469" s="105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  <row r="2470">
      <c r="A2470" s="104"/>
      <c r="B2470" s="105"/>
      <c r="C2470" s="105"/>
      <c r="D2470" s="105"/>
      <c r="E2470" s="105"/>
      <c r="F2470" s="105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</row>
    <row r="2471">
      <c r="A2471" s="104"/>
      <c r="B2471" s="105"/>
      <c r="C2471" s="105"/>
      <c r="D2471" s="105"/>
      <c r="E2471" s="105"/>
      <c r="F2471" s="105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</row>
    <row r="2472">
      <c r="A2472" s="104"/>
      <c r="B2472" s="105"/>
      <c r="C2472" s="105"/>
      <c r="D2472" s="105"/>
      <c r="E2472" s="105"/>
      <c r="F2472" s="105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</row>
    <row r="2473">
      <c r="A2473" s="104"/>
      <c r="B2473" s="105"/>
      <c r="C2473" s="105"/>
      <c r="D2473" s="105"/>
      <c r="E2473" s="105"/>
      <c r="F2473" s="105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</row>
    <row r="2474">
      <c r="A2474" s="104"/>
      <c r="B2474" s="105"/>
      <c r="C2474" s="105"/>
      <c r="D2474" s="105"/>
      <c r="E2474" s="105"/>
      <c r="F2474" s="105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</row>
    <row r="2475">
      <c r="A2475" s="104"/>
      <c r="B2475" s="105"/>
      <c r="C2475" s="105"/>
      <c r="D2475" s="105"/>
      <c r="E2475" s="105"/>
      <c r="F2475" s="105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</row>
    <row r="2476">
      <c r="A2476" s="104"/>
      <c r="B2476" s="105"/>
      <c r="C2476" s="105"/>
      <c r="D2476" s="105"/>
      <c r="E2476" s="105"/>
      <c r="F2476" s="105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</row>
    <row r="2477">
      <c r="A2477" s="104"/>
      <c r="B2477" s="105"/>
      <c r="C2477" s="105"/>
      <c r="D2477" s="105"/>
      <c r="E2477" s="105"/>
      <c r="F2477" s="105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</row>
    <row r="2478">
      <c r="A2478" s="104"/>
      <c r="B2478" s="105"/>
      <c r="C2478" s="105"/>
      <c r="D2478" s="105"/>
      <c r="E2478" s="105"/>
      <c r="F2478" s="105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</row>
    <row r="2479">
      <c r="A2479" s="104"/>
      <c r="B2479" s="105"/>
      <c r="C2479" s="105"/>
      <c r="D2479" s="105"/>
      <c r="E2479" s="105"/>
      <c r="F2479" s="105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</row>
    <row r="2480">
      <c r="A2480" s="104"/>
      <c r="B2480" s="105"/>
      <c r="C2480" s="105"/>
      <c r="D2480" s="105"/>
      <c r="E2480" s="105"/>
      <c r="F2480" s="105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</row>
    <row r="2481">
      <c r="A2481" s="104"/>
      <c r="B2481" s="105"/>
      <c r="C2481" s="105"/>
      <c r="D2481" s="105"/>
      <c r="E2481" s="105"/>
      <c r="F2481" s="105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</row>
    <row r="2482">
      <c r="A2482" s="104"/>
      <c r="B2482" s="105"/>
      <c r="C2482" s="105"/>
      <c r="D2482" s="105"/>
      <c r="E2482" s="105"/>
      <c r="F2482" s="105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</row>
    <row r="2483">
      <c r="A2483" s="104"/>
      <c r="B2483" s="105"/>
      <c r="C2483" s="105"/>
      <c r="D2483" s="105"/>
      <c r="E2483" s="105"/>
      <c r="F2483" s="105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</row>
    <row r="2484">
      <c r="A2484" s="104"/>
      <c r="B2484" s="105"/>
      <c r="C2484" s="105"/>
      <c r="D2484" s="105"/>
      <c r="E2484" s="105"/>
      <c r="F2484" s="105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</row>
    <row r="2485">
      <c r="A2485" s="104"/>
      <c r="B2485" s="105"/>
      <c r="C2485" s="105"/>
      <c r="D2485" s="105"/>
      <c r="E2485" s="105"/>
      <c r="F2485" s="105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</row>
    <row r="2486">
      <c r="A2486" s="104"/>
      <c r="B2486" s="105"/>
      <c r="C2486" s="105"/>
      <c r="D2486" s="105"/>
      <c r="E2486" s="105"/>
      <c r="F2486" s="105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</row>
    <row r="2487">
      <c r="A2487" s="104"/>
      <c r="B2487" s="105"/>
      <c r="C2487" s="105"/>
      <c r="D2487" s="105"/>
      <c r="E2487" s="105"/>
      <c r="F2487" s="105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</row>
    <row r="2488">
      <c r="A2488" s="104"/>
      <c r="B2488" s="105"/>
      <c r="C2488" s="105"/>
      <c r="D2488" s="105"/>
      <c r="E2488" s="105"/>
      <c r="F2488" s="105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</row>
    <row r="2489">
      <c r="A2489" s="104"/>
      <c r="B2489" s="105"/>
      <c r="C2489" s="105"/>
      <c r="D2489" s="105"/>
      <c r="E2489" s="105"/>
      <c r="F2489" s="105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</row>
    <row r="2490">
      <c r="A2490" s="104"/>
      <c r="B2490" s="105"/>
      <c r="C2490" s="105"/>
      <c r="D2490" s="105"/>
      <c r="E2490" s="105"/>
      <c r="F2490" s="105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</row>
    <row r="2491">
      <c r="A2491" s="104"/>
      <c r="B2491" s="105"/>
      <c r="C2491" s="105"/>
      <c r="D2491" s="105"/>
      <c r="E2491" s="105"/>
      <c r="F2491" s="105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</row>
    <row r="2492">
      <c r="A2492" s="104"/>
      <c r="B2492" s="105"/>
      <c r="C2492" s="105"/>
      <c r="D2492" s="105"/>
      <c r="E2492" s="105"/>
      <c r="F2492" s="105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</row>
    <row r="2493">
      <c r="A2493" s="104"/>
      <c r="B2493" s="105"/>
      <c r="C2493" s="105"/>
      <c r="D2493" s="105"/>
      <c r="E2493" s="105"/>
      <c r="F2493" s="105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</row>
    <row r="2494">
      <c r="A2494" s="104"/>
      <c r="B2494" s="105"/>
      <c r="C2494" s="105"/>
      <c r="D2494" s="105"/>
      <c r="E2494" s="105"/>
      <c r="F2494" s="105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</row>
    <row r="2495">
      <c r="A2495" s="104"/>
      <c r="B2495" s="105"/>
      <c r="C2495" s="105"/>
      <c r="D2495" s="105"/>
      <c r="E2495" s="105"/>
      <c r="F2495" s="105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</row>
    <row r="2496">
      <c r="A2496" s="104"/>
      <c r="B2496" s="105"/>
      <c r="C2496" s="105"/>
      <c r="D2496" s="105"/>
      <c r="E2496" s="105"/>
      <c r="F2496" s="105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</row>
    <row r="2497">
      <c r="A2497" s="104"/>
      <c r="B2497" s="105"/>
      <c r="C2497" s="105"/>
      <c r="D2497" s="105"/>
      <c r="E2497" s="105"/>
      <c r="F2497" s="105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</row>
    <row r="2498">
      <c r="A2498" s="104"/>
      <c r="B2498" s="105"/>
      <c r="C2498" s="105"/>
      <c r="D2498" s="105"/>
      <c r="E2498" s="105"/>
      <c r="F2498" s="105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</row>
    <row r="2499">
      <c r="A2499" s="104"/>
      <c r="B2499" s="105"/>
      <c r="C2499" s="105"/>
      <c r="D2499" s="105"/>
      <c r="E2499" s="105"/>
      <c r="F2499" s="105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</row>
    <row r="2500">
      <c r="A2500" s="104"/>
      <c r="B2500" s="105"/>
      <c r="C2500" s="105"/>
      <c r="D2500" s="105"/>
      <c r="E2500" s="105"/>
      <c r="F2500" s="105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</row>
    <row r="2501">
      <c r="A2501" s="104"/>
      <c r="B2501" s="105"/>
      <c r="C2501" s="105"/>
      <c r="D2501" s="105"/>
      <c r="E2501" s="105"/>
      <c r="F2501" s="105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</row>
    <row r="2502">
      <c r="A2502" s="104"/>
      <c r="B2502" s="105"/>
      <c r="C2502" s="105"/>
      <c r="D2502" s="105"/>
      <c r="E2502" s="105"/>
      <c r="F2502" s="105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</row>
    <row r="2503">
      <c r="A2503" s="104"/>
      <c r="B2503" s="105"/>
      <c r="C2503" s="105"/>
      <c r="D2503" s="105"/>
      <c r="E2503" s="105"/>
      <c r="F2503" s="105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</row>
    <row r="2504">
      <c r="A2504" s="104"/>
      <c r="B2504" s="105"/>
      <c r="C2504" s="105"/>
      <c r="D2504" s="105"/>
      <c r="E2504" s="105"/>
      <c r="F2504" s="105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</row>
    <row r="2505">
      <c r="A2505" s="104"/>
      <c r="B2505" s="105"/>
      <c r="C2505" s="105"/>
      <c r="D2505" s="105"/>
      <c r="E2505" s="105"/>
      <c r="F2505" s="105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</row>
    <row r="2506">
      <c r="A2506" s="104"/>
      <c r="B2506" s="105"/>
      <c r="C2506" s="105"/>
      <c r="D2506" s="105"/>
      <c r="E2506" s="105"/>
      <c r="F2506" s="105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</row>
    <row r="2507">
      <c r="A2507" s="104"/>
      <c r="B2507" s="105"/>
      <c r="C2507" s="105"/>
      <c r="D2507" s="105"/>
      <c r="E2507" s="105"/>
      <c r="F2507" s="105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</row>
    <row r="2508">
      <c r="A2508" s="104"/>
      <c r="B2508" s="105"/>
      <c r="C2508" s="105"/>
      <c r="D2508" s="105"/>
      <c r="E2508" s="105"/>
      <c r="F2508" s="105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</row>
    <row r="2509">
      <c r="A2509" s="104"/>
      <c r="B2509" s="105"/>
      <c r="C2509" s="105"/>
      <c r="D2509" s="105"/>
      <c r="E2509" s="105"/>
      <c r="F2509" s="105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</row>
    <row r="2510">
      <c r="A2510" s="104"/>
      <c r="B2510" s="105"/>
      <c r="C2510" s="105"/>
      <c r="D2510" s="105"/>
      <c r="E2510" s="105"/>
      <c r="F2510" s="105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</row>
    <row r="2511">
      <c r="A2511" s="104"/>
      <c r="B2511" s="105"/>
      <c r="C2511" s="105"/>
      <c r="D2511" s="105"/>
      <c r="E2511" s="105"/>
      <c r="F2511" s="105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</row>
    <row r="2512">
      <c r="A2512" s="104"/>
      <c r="B2512" s="105"/>
      <c r="C2512" s="105"/>
      <c r="D2512" s="105"/>
      <c r="E2512" s="105"/>
      <c r="F2512" s="105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</row>
    <row r="2513">
      <c r="A2513" s="104"/>
      <c r="B2513" s="105"/>
      <c r="C2513" s="105"/>
      <c r="D2513" s="105"/>
      <c r="E2513" s="105"/>
      <c r="F2513" s="105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</row>
    <row r="2514">
      <c r="A2514" s="104"/>
      <c r="B2514" s="105"/>
      <c r="C2514" s="105"/>
      <c r="D2514" s="105"/>
      <c r="E2514" s="105"/>
      <c r="F2514" s="105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</row>
    <row r="2515">
      <c r="A2515" s="104"/>
      <c r="B2515" s="105"/>
      <c r="C2515" s="105"/>
      <c r="D2515" s="105"/>
      <c r="E2515" s="105"/>
      <c r="F2515" s="105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</row>
    <row r="2516">
      <c r="A2516" s="104"/>
      <c r="B2516" s="105"/>
      <c r="C2516" s="105"/>
      <c r="D2516" s="105"/>
      <c r="E2516" s="105"/>
      <c r="F2516" s="105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</row>
    <row r="2517">
      <c r="A2517" s="104"/>
      <c r="B2517" s="105"/>
      <c r="C2517" s="105"/>
      <c r="D2517" s="105"/>
      <c r="E2517" s="105"/>
      <c r="F2517" s="105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</row>
    <row r="2518">
      <c r="A2518" s="104"/>
      <c r="B2518" s="105"/>
      <c r="C2518" s="105"/>
      <c r="D2518" s="105"/>
      <c r="E2518" s="105"/>
      <c r="F2518" s="105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</row>
    <row r="2519">
      <c r="A2519" s="104"/>
      <c r="B2519" s="105"/>
      <c r="C2519" s="105"/>
      <c r="D2519" s="105"/>
      <c r="E2519" s="105"/>
      <c r="F2519" s="105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</row>
    <row r="2520">
      <c r="A2520" s="104"/>
      <c r="B2520" s="105"/>
      <c r="C2520" s="105"/>
      <c r="D2520" s="105"/>
      <c r="E2520" s="105"/>
      <c r="F2520" s="105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</row>
    <row r="2521">
      <c r="A2521" s="104"/>
      <c r="B2521" s="105"/>
      <c r="C2521" s="105"/>
      <c r="D2521" s="105"/>
      <c r="E2521" s="105"/>
      <c r="F2521" s="105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</row>
    <row r="2522">
      <c r="A2522" s="104"/>
      <c r="B2522" s="105"/>
      <c r="C2522" s="105"/>
      <c r="D2522" s="105"/>
      <c r="E2522" s="105"/>
      <c r="F2522" s="105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</row>
    <row r="2523">
      <c r="A2523" s="104"/>
      <c r="B2523" s="105"/>
      <c r="C2523" s="105"/>
      <c r="D2523" s="105"/>
      <c r="E2523" s="105"/>
      <c r="F2523" s="105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</row>
    <row r="2524">
      <c r="A2524" s="104"/>
      <c r="B2524" s="105"/>
      <c r="C2524" s="105"/>
      <c r="D2524" s="105"/>
      <c r="E2524" s="105"/>
      <c r="F2524" s="105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</row>
    <row r="2525">
      <c r="A2525" s="104"/>
      <c r="B2525" s="105"/>
      <c r="C2525" s="105"/>
      <c r="D2525" s="105"/>
      <c r="E2525" s="105"/>
      <c r="F2525" s="105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</row>
    <row r="2526">
      <c r="A2526" s="104"/>
      <c r="B2526" s="105"/>
      <c r="C2526" s="105"/>
      <c r="D2526" s="105"/>
      <c r="E2526" s="105"/>
      <c r="F2526" s="105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</row>
    <row r="2527">
      <c r="A2527" s="104"/>
      <c r="B2527" s="105"/>
      <c r="C2527" s="105"/>
      <c r="D2527" s="105"/>
      <c r="E2527" s="105"/>
      <c r="F2527" s="105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</row>
    <row r="2528">
      <c r="A2528" s="104"/>
      <c r="B2528" s="105"/>
      <c r="C2528" s="105"/>
      <c r="D2528" s="105"/>
      <c r="E2528" s="105"/>
      <c r="F2528" s="105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</row>
    <row r="2529">
      <c r="A2529" s="104"/>
      <c r="B2529" s="105"/>
      <c r="C2529" s="105"/>
      <c r="D2529" s="105"/>
      <c r="E2529" s="105"/>
      <c r="F2529" s="105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</row>
    <row r="2530">
      <c r="A2530" s="104"/>
      <c r="B2530" s="105"/>
      <c r="C2530" s="105"/>
      <c r="D2530" s="105"/>
      <c r="E2530" s="105"/>
      <c r="F2530" s="105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</row>
    <row r="2531">
      <c r="A2531" s="104"/>
      <c r="B2531" s="105"/>
      <c r="C2531" s="105"/>
      <c r="D2531" s="105"/>
      <c r="E2531" s="105"/>
      <c r="F2531" s="105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</row>
    <row r="2532">
      <c r="A2532" s="104"/>
      <c r="B2532" s="105"/>
      <c r="C2532" s="105"/>
      <c r="D2532" s="105"/>
      <c r="E2532" s="105"/>
      <c r="F2532" s="105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</row>
    <row r="2533">
      <c r="A2533" s="104"/>
      <c r="B2533" s="105"/>
      <c r="C2533" s="105"/>
      <c r="D2533" s="105"/>
      <c r="E2533" s="105"/>
      <c r="F2533" s="105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</row>
    <row r="2534">
      <c r="A2534" s="104"/>
      <c r="B2534" s="105"/>
      <c r="C2534" s="105"/>
      <c r="D2534" s="105"/>
      <c r="E2534" s="105"/>
      <c r="F2534" s="105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</row>
    <row r="2535">
      <c r="A2535" s="104"/>
      <c r="B2535" s="105"/>
      <c r="C2535" s="105"/>
      <c r="D2535" s="105"/>
      <c r="E2535" s="105"/>
      <c r="F2535" s="105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</row>
    <row r="2536">
      <c r="A2536" s="104"/>
      <c r="B2536" s="105"/>
      <c r="C2536" s="105"/>
      <c r="D2536" s="105"/>
      <c r="E2536" s="105"/>
      <c r="F2536" s="105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</row>
    <row r="2537">
      <c r="A2537" s="104"/>
      <c r="B2537" s="105"/>
      <c r="C2537" s="105"/>
      <c r="D2537" s="105"/>
      <c r="E2537" s="105"/>
      <c r="F2537" s="105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</row>
    <row r="2538">
      <c r="A2538" s="104"/>
      <c r="B2538" s="105"/>
      <c r="C2538" s="105"/>
      <c r="D2538" s="105"/>
      <c r="E2538" s="105"/>
      <c r="F2538" s="105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</row>
    <row r="2539">
      <c r="A2539" s="104"/>
      <c r="B2539" s="105"/>
      <c r="C2539" s="105"/>
      <c r="D2539" s="105"/>
      <c r="E2539" s="105"/>
      <c r="F2539" s="105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</row>
    <row r="2540">
      <c r="A2540" s="104"/>
      <c r="B2540" s="105"/>
      <c r="C2540" s="105"/>
      <c r="D2540" s="105"/>
      <c r="E2540" s="105"/>
      <c r="F2540" s="105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</row>
    <row r="2541">
      <c r="A2541" s="104"/>
      <c r="B2541" s="105"/>
      <c r="C2541" s="105"/>
      <c r="D2541" s="105"/>
      <c r="E2541" s="105"/>
      <c r="F2541" s="105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</row>
    <row r="2542">
      <c r="A2542" s="104"/>
      <c r="B2542" s="105"/>
      <c r="C2542" s="105"/>
      <c r="D2542" s="105"/>
      <c r="E2542" s="105"/>
      <c r="F2542" s="105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</row>
    <row r="2543">
      <c r="A2543" s="104"/>
      <c r="B2543" s="105"/>
      <c r="C2543" s="105"/>
      <c r="D2543" s="105"/>
      <c r="E2543" s="105"/>
      <c r="F2543" s="105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</row>
    <row r="2544">
      <c r="A2544" s="104"/>
      <c r="B2544" s="105"/>
      <c r="C2544" s="105"/>
      <c r="D2544" s="105"/>
      <c r="E2544" s="105"/>
      <c r="F2544" s="105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</row>
    <row r="2545">
      <c r="A2545" s="104"/>
      <c r="B2545" s="105"/>
      <c r="C2545" s="105"/>
      <c r="D2545" s="105"/>
      <c r="E2545" s="105"/>
      <c r="F2545" s="105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</row>
    <row r="2546">
      <c r="A2546" s="104"/>
      <c r="B2546" s="105"/>
      <c r="C2546" s="105"/>
      <c r="D2546" s="105"/>
      <c r="E2546" s="105"/>
      <c r="F2546" s="105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</row>
    <row r="2547">
      <c r="A2547" s="104"/>
      <c r="B2547" s="105"/>
      <c r="C2547" s="105"/>
      <c r="D2547" s="105"/>
      <c r="E2547" s="105"/>
      <c r="F2547" s="105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</row>
    <row r="2548">
      <c r="A2548" s="104"/>
      <c r="B2548" s="105"/>
      <c r="C2548" s="105"/>
      <c r="D2548" s="105"/>
      <c r="E2548" s="105"/>
      <c r="F2548" s="105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</row>
    <row r="2549">
      <c r="A2549" s="104"/>
      <c r="B2549" s="105"/>
      <c r="C2549" s="105"/>
      <c r="D2549" s="105"/>
      <c r="E2549" s="105"/>
      <c r="F2549" s="105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</row>
    <row r="2550">
      <c r="A2550" s="104"/>
      <c r="B2550" s="105"/>
      <c r="C2550" s="105"/>
      <c r="D2550" s="105"/>
      <c r="E2550" s="105"/>
      <c r="F2550" s="105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</row>
    <row r="2551">
      <c r="A2551" s="104"/>
      <c r="B2551" s="105"/>
      <c r="C2551" s="105"/>
      <c r="D2551" s="105"/>
      <c r="E2551" s="105"/>
      <c r="F2551" s="105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</row>
    <row r="2552">
      <c r="A2552" s="104"/>
      <c r="B2552" s="105"/>
      <c r="C2552" s="105"/>
      <c r="D2552" s="105"/>
      <c r="E2552" s="105"/>
      <c r="F2552" s="105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</row>
    <row r="2553">
      <c r="A2553" s="104"/>
      <c r="B2553" s="105"/>
      <c r="C2553" s="105"/>
      <c r="D2553" s="105"/>
      <c r="E2553" s="105"/>
      <c r="F2553" s="105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</row>
    <row r="2554">
      <c r="A2554" s="104"/>
      <c r="B2554" s="105"/>
      <c r="C2554" s="105"/>
      <c r="D2554" s="105"/>
      <c r="E2554" s="105"/>
      <c r="F2554" s="105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</row>
    <row r="2555">
      <c r="A2555" s="104"/>
      <c r="B2555" s="105"/>
      <c r="C2555" s="105"/>
      <c r="D2555" s="105"/>
      <c r="E2555" s="105"/>
      <c r="F2555" s="105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</row>
    <row r="2556">
      <c r="A2556" s="104"/>
      <c r="B2556" s="105"/>
      <c r="C2556" s="105"/>
      <c r="D2556" s="105"/>
      <c r="E2556" s="105"/>
      <c r="F2556" s="105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</row>
    <row r="2557">
      <c r="A2557" s="104"/>
      <c r="B2557" s="105"/>
      <c r="C2557" s="105"/>
      <c r="D2557" s="105"/>
      <c r="E2557" s="105"/>
      <c r="F2557" s="105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</row>
    <row r="2558">
      <c r="A2558" s="104"/>
      <c r="B2558" s="105"/>
      <c r="C2558" s="105"/>
      <c r="D2558" s="105"/>
      <c r="E2558" s="105"/>
      <c r="F2558" s="105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</row>
    <row r="2559">
      <c r="A2559" s="104"/>
      <c r="B2559" s="105"/>
      <c r="C2559" s="105"/>
      <c r="D2559" s="105"/>
      <c r="E2559" s="105"/>
      <c r="F2559" s="105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</row>
    <row r="2560">
      <c r="A2560" s="104"/>
      <c r="B2560" s="105"/>
      <c r="C2560" s="105"/>
      <c r="D2560" s="105"/>
      <c r="E2560" s="105"/>
      <c r="F2560" s="105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</row>
    <row r="2561">
      <c r="A2561" s="104"/>
      <c r="B2561" s="105"/>
      <c r="C2561" s="105"/>
      <c r="D2561" s="105"/>
      <c r="E2561" s="105"/>
      <c r="F2561" s="105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</row>
    <row r="2562">
      <c r="A2562" s="104"/>
      <c r="B2562" s="105"/>
      <c r="C2562" s="105"/>
      <c r="D2562" s="105"/>
      <c r="E2562" s="105"/>
      <c r="F2562" s="105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</row>
    <row r="2563">
      <c r="A2563" s="104"/>
      <c r="B2563" s="105"/>
      <c r="C2563" s="105"/>
      <c r="D2563" s="105"/>
      <c r="E2563" s="105"/>
      <c r="F2563" s="105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</row>
    <row r="2564">
      <c r="A2564" s="104"/>
      <c r="B2564" s="105"/>
      <c r="C2564" s="105"/>
      <c r="D2564" s="105"/>
      <c r="E2564" s="105"/>
      <c r="F2564" s="105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</row>
    <row r="2565">
      <c r="A2565" s="104"/>
      <c r="B2565" s="105"/>
      <c r="C2565" s="105"/>
      <c r="D2565" s="105"/>
      <c r="E2565" s="105"/>
      <c r="F2565" s="105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</row>
    <row r="2566">
      <c r="A2566" s="104"/>
      <c r="B2566" s="105"/>
      <c r="C2566" s="105"/>
      <c r="D2566" s="105"/>
      <c r="E2566" s="105"/>
      <c r="F2566" s="105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</row>
    <row r="2567">
      <c r="A2567" s="104"/>
      <c r="B2567" s="105"/>
      <c r="C2567" s="105"/>
      <c r="D2567" s="105"/>
      <c r="E2567" s="105"/>
      <c r="F2567" s="105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</row>
    <row r="2568">
      <c r="A2568" s="104"/>
      <c r="B2568" s="105"/>
      <c r="C2568" s="105"/>
      <c r="D2568" s="105"/>
      <c r="E2568" s="105"/>
      <c r="F2568" s="105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</row>
    <row r="2569">
      <c r="A2569" s="104"/>
      <c r="B2569" s="105"/>
      <c r="C2569" s="105"/>
      <c r="D2569" s="105"/>
      <c r="E2569" s="105"/>
      <c r="F2569" s="105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</row>
    <row r="2570">
      <c r="A2570" s="104"/>
      <c r="B2570" s="105"/>
      <c r="C2570" s="105"/>
      <c r="D2570" s="105"/>
      <c r="E2570" s="105"/>
      <c r="F2570" s="105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</row>
    <row r="2571">
      <c r="A2571" s="104"/>
      <c r="B2571" s="105"/>
      <c r="C2571" s="105"/>
      <c r="D2571" s="105"/>
      <c r="E2571" s="105"/>
      <c r="F2571" s="105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</row>
    <row r="2572">
      <c r="A2572" s="104"/>
      <c r="B2572" s="105"/>
      <c r="C2572" s="105"/>
      <c r="D2572" s="105"/>
      <c r="E2572" s="105"/>
      <c r="F2572" s="105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</row>
    <row r="2573">
      <c r="A2573" s="104"/>
      <c r="B2573" s="105"/>
      <c r="C2573" s="105"/>
      <c r="D2573" s="105"/>
      <c r="E2573" s="105"/>
      <c r="F2573" s="105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</row>
    <row r="2574">
      <c r="A2574" s="104"/>
      <c r="B2574" s="105"/>
      <c r="C2574" s="105"/>
      <c r="D2574" s="105"/>
      <c r="E2574" s="105"/>
      <c r="F2574" s="105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</row>
    <row r="2575">
      <c r="A2575" s="104"/>
      <c r="B2575" s="105"/>
      <c r="C2575" s="105"/>
      <c r="D2575" s="105"/>
      <c r="E2575" s="105"/>
      <c r="F2575" s="105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</row>
    <row r="2576">
      <c r="A2576" s="104"/>
      <c r="B2576" s="105"/>
      <c r="C2576" s="105"/>
      <c r="D2576" s="105"/>
      <c r="E2576" s="105"/>
      <c r="F2576" s="105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</row>
    <row r="2577">
      <c r="A2577" s="104"/>
      <c r="B2577" s="105"/>
      <c r="C2577" s="105"/>
      <c r="D2577" s="105"/>
      <c r="E2577" s="105"/>
      <c r="F2577" s="105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</row>
    <row r="2578">
      <c r="A2578" s="104"/>
      <c r="B2578" s="105"/>
      <c r="C2578" s="105"/>
      <c r="D2578" s="105"/>
      <c r="E2578" s="105"/>
      <c r="F2578" s="105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</row>
    <row r="2579">
      <c r="A2579" s="104"/>
      <c r="B2579" s="105"/>
      <c r="C2579" s="105"/>
      <c r="D2579" s="105"/>
      <c r="E2579" s="105"/>
      <c r="F2579" s="105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</row>
    <row r="2580">
      <c r="A2580" s="104"/>
      <c r="B2580" s="105"/>
      <c r="C2580" s="105"/>
      <c r="D2580" s="105"/>
      <c r="E2580" s="105"/>
      <c r="F2580" s="105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</row>
    <row r="2581">
      <c r="A2581" s="104"/>
      <c r="B2581" s="105"/>
      <c r="C2581" s="105"/>
      <c r="D2581" s="105"/>
      <c r="E2581" s="105"/>
      <c r="F2581" s="105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</row>
    <row r="2582">
      <c r="A2582" s="104"/>
      <c r="B2582" s="105"/>
      <c r="C2582" s="105"/>
      <c r="D2582" s="105"/>
      <c r="E2582" s="105"/>
      <c r="F2582" s="105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</row>
    <row r="2583">
      <c r="A2583" s="104"/>
      <c r="B2583" s="105"/>
      <c r="C2583" s="105"/>
      <c r="D2583" s="105"/>
      <c r="E2583" s="105"/>
      <c r="F2583" s="105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</row>
    <row r="2584">
      <c r="A2584" s="104"/>
      <c r="B2584" s="105"/>
      <c r="C2584" s="105"/>
      <c r="D2584" s="105"/>
      <c r="E2584" s="105"/>
      <c r="F2584" s="105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</row>
    <row r="2585">
      <c r="A2585" s="104"/>
      <c r="B2585" s="105"/>
      <c r="C2585" s="105"/>
      <c r="D2585" s="105"/>
      <c r="E2585" s="105"/>
      <c r="F2585" s="105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</row>
    <row r="2586">
      <c r="A2586" s="104"/>
      <c r="B2586" s="105"/>
      <c r="C2586" s="105"/>
      <c r="D2586" s="105"/>
      <c r="E2586" s="105"/>
      <c r="F2586" s="105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</row>
    <row r="2587">
      <c r="A2587" s="104"/>
      <c r="B2587" s="105"/>
      <c r="C2587" s="105"/>
      <c r="D2587" s="105"/>
      <c r="E2587" s="105"/>
      <c r="F2587" s="105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</row>
    <row r="2588">
      <c r="A2588" s="104"/>
      <c r="B2588" s="105"/>
      <c r="C2588" s="105"/>
      <c r="D2588" s="105"/>
      <c r="E2588" s="105"/>
      <c r="F2588" s="105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</row>
    <row r="2589">
      <c r="A2589" s="104"/>
      <c r="B2589" s="105"/>
      <c r="C2589" s="105"/>
      <c r="D2589" s="105"/>
      <c r="E2589" s="105"/>
      <c r="F2589" s="105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</row>
    <row r="2590">
      <c r="A2590" s="104"/>
      <c r="B2590" s="105"/>
      <c r="C2590" s="105"/>
      <c r="D2590" s="105"/>
      <c r="E2590" s="105"/>
      <c r="F2590" s="105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</row>
    <row r="2591">
      <c r="A2591" s="104"/>
      <c r="B2591" s="105"/>
      <c r="C2591" s="105"/>
      <c r="D2591" s="105"/>
      <c r="E2591" s="105"/>
      <c r="F2591" s="105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</row>
    <row r="2592">
      <c r="A2592" s="104"/>
      <c r="B2592" s="105"/>
      <c r="C2592" s="105"/>
      <c r="D2592" s="105"/>
      <c r="E2592" s="105"/>
      <c r="F2592" s="105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</row>
    <row r="2593">
      <c r="A2593" s="104"/>
      <c r="B2593" s="105"/>
      <c r="C2593" s="105"/>
      <c r="D2593" s="105"/>
      <c r="E2593" s="105"/>
      <c r="F2593" s="105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</row>
    <row r="2594">
      <c r="A2594" s="104"/>
      <c r="B2594" s="105"/>
      <c r="C2594" s="105"/>
      <c r="D2594" s="105"/>
      <c r="E2594" s="105"/>
      <c r="F2594" s="105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</row>
    <row r="2595">
      <c r="A2595" s="104"/>
      <c r="B2595" s="105"/>
      <c r="C2595" s="105"/>
      <c r="D2595" s="105"/>
      <c r="E2595" s="105"/>
      <c r="F2595" s="105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</row>
    <row r="2596">
      <c r="A2596" s="104"/>
      <c r="B2596" s="105"/>
      <c r="C2596" s="105"/>
      <c r="D2596" s="105"/>
      <c r="E2596" s="105"/>
      <c r="F2596" s="105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</row>
    <row r="2597">
      <c r="A2597" s="104"/>
      <c r="B2597" s="105"/>
      <c r="C2597" s="105"/>
      <c r="D2597" s="105"/>
      <c r="E2597" s="105"/>
      <c r="F2597" s="105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</row>
    <row r="2598">
      <c r="A2598" s="104"/>
      <c r="B2598" s="105"/>
      <c r="C2598" s="105"/>
      <c r="D2598" s="105"/>
      <c r="E2598" s="105"/>
      <c r="F2598" s="105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</row>
    <row r="2599">
      <c r="A2599" s="104"/>
      <c r="B2599" s="105"/>
      <c r="C2599" s="105"/>
      <c r="D2599" s="105"/>
      <c r="E2599" s="105"/>
      <c r="F2599" s="105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</row>
    <row r="2600">
      <c r="A2600" s="104"/>
      <c r="B2600" s="105"/>
      <c r="C2600" s="105"/>
      <c r="D2600" s="105"/>
      <c r="E2600" s="105"/>
      <c r="F2600" s="105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</row>
    <row r="2601">
      <c r="A2601" s="104"/>
      <c r="B2601" s="105"/>
      <c r="C2601" s="105"/>
      <c r="D2601" s="105"/>
      <c r="E2601" s="105"/>
      <c r="F2601" s="105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</row>
    <row r="2602">
      <c r="A2602" s="104"/>
      <c r="B2602" s="105"/>
      <c r="C2602" s="105"/>
      <c r="D2602" s="105"/>
      <c r="E2602" s="105"/>
      <c r="F2602" s="105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</row>
    <row r="2603">
      <c r="A2603" s="104"/>
      <c r="B2603" s="105"/>
      <c r="C2603" s="105"/>
      <c r="D2603" s="105"/>
      <c r="E2603" s="105"/>
      <c r="F2603" s="105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</row>
    <row r="2604">
      <c r="A2604" s="104"/>
      <c r="B2604" s="105"/>
      <c r="C2604" s="105"/>
      <c r="D2604" s="105"/>
      <c r="E2604" s="105"/>
      <c r="F2604" s="105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</row>
    <row r="2605">
      <c r="A2605" s="104"/>
      <c r="B2605" s="105"/>
      <c r="C2605" s="105"/>
      <c r="D2605" s="105"/>
      <c r="E2605" s="105"/>
      <c r="F2605" s="105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</row>
    <row r="2606">
      <c r="A2606" s="104"/>
      <c r="B2606" s="105"/>
      <c r="C2606" s="105"/>
      <c r="D2606" s="105"/>
      <c r="E2606" s="105"/>
      <c r="F2606" s="105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</row>
    <row r="2607">
      <c r="A2607" s="104"/>
      <c r="B2607" s="105"/>
      <c r="C2607" s="105"/>
      <c r="D2607" s="105"/>
      <c r="E2607" s="105"/>
      <c r="F2607" s="105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</row>
    <row r="2608">
      <c r="A2608" s="104"/>
      <c r="B2608" s="105"/>
      <c r="C2608" s="105"/>
      <c r="D2608" s="105"/>
      <c r="E2608" s="105"/>
      <c r="F2608" s="105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</row>
    <row r="2609">
      <c r="A2609" s="104"/>
      <c r="B2609" s="105"/>
      <c r="C2609" s="105"/>
      <c r="D2609" s="105"/>
      <c r="E2609" s="105"/>
      <c r="F2609" s="105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</row>
    <row r="2610">
      <c r="A2610" s="104"/>
      <c r="B2610" s="105"/>
      <c r="C2610" s="105"/>
      <c r="D2610" s="105"/>
      <c r="E2610" s="105"/>
      <c r="F2610" s="105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</row>
    <row r="2611">
      <c r="A2611" s="104"/>
      <c r="B2611" s="105"/>
      <c r="C2611" s="105"/>
      <c r="D2611" s="105"/>
      <c r="E2611" s="105"/>
      <c r="F2611" s="105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</row>
    <row r="2612">
      <c r="A2612" s="104"/>
      <c r="B2612" s="105"/>
      <c r="C2612" s="105"/>
      <c r="D2612" s="105"/>
      <c r="E2612" s="105"/>
      <c r="F2612" s="105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</row>
    <row r="2613">
      <c r="A2613" s="104"/>
      <c r="B2613" s="105"/>
      <c r="C2613" s="105"/>
      <c r="D2613" s="105"/>
      <c r="E2613" s="105"/>
      <c r="F2613" s="105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</row>
    <row r="2614">
      <c r="A2614" s="104"/>
      <c r="B2614" s="105"/>
      <c r="C2614" s="105"/>
      <c r="D2614" s="105"/>
      <c r="E2614" s="105"/>
      <c r="F2614" s="105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</row>
    <row r="2615">
      <c r="A2615" s="104"/>
      <c r="B2615" s="105"/>
      <c r="C2615" s="105"/>
      <c r="D2615" s="105"/>
      <c r="E2615" s="105"/>
      <c r="F2615" s="105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</row>
    <row r="2616">
      <c r="A2616" s="104"/>
      <c r="B2616" s="105"/>
      <c r="C2616" s="105"/>
      <c r="D2616" s="105"/>
      <c r="E2616" s="105"/>
      <c r="F2616" s="105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</row>
    <row r="2617">
      <c r="A2617" s="104"/>
      <c r="B2617" s="105"/>
      <c r="C2617" s="105"/>
      <c r="D2617" s="105"/>
      <c r="E2617" s="105"/>
      <c r="F2617" s="105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</row>
    <row r="2618">
      <c r="A2618" s="104"/>
      <c r="B2618" s="105"/>
      <c r="C2618" s="105"/>
      <c r="D2618" s="105"/>
      <c r="E2618" s="105"/>
      <c r="F2618" s="105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</row>
    <row r="2619">
      <c r="A2619" s="104"/>
      <c r="B2619" s="105"/>
      <c r="C2619" s="105"/>
      <c r="D2619" s="105"/>
      <c r="E2619" s="105"/>
      <c r="F2619" s="105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</row>
    <row r="2620">
      <c r="A2620" s="104"/>
      <c r="B2620" s="105"/>
      <c r="C2620" s="105"/>
      <c r="D2620" s="105"/>
      <c r="E2620" s="105"/>
      <c r="F2620" s="105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</row>
    <row r="2621">
      <c r="A2621" s="104"/>
      <c r="B2621" s="105"/>
      <c r="C2621" s="105"/>
      <c r="D2621" s="105"/>
      <c r="E2621" s="105"/>
      <c r="F2621" s="105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</row>
    <row r="2622">
      <c r="A2622" s="104"/>
      <c r="B2622" s="105"/>
      <c r="C2622" s="105"/>
      <c r="D2622" s="105"/>
      <c r="E2622" s="105"/>
      <c r="F2622" s="105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</row>
    <row r="2623">
      <c r="A2623" s="104"/>
      <c r="B2623" s="105"/>
      <c r="C2623" s="105"/>
      <c r="D2623" s="105"/>
      <c r="E2623" s="105"/>
      <c r="F2623" s="105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</row>
    <row r="2624">
      <c r="A2624" s="104"/>
      <c r="B2624" s="105"/>
      <c r="C2624" s="105"/>
      <c r="D2624" s="105"/>
      <c r="E2624" s="105"/>
      <c r="F2624" s="105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</row>
    <row r="2625">
      <c r="A2625" s="104"/>
      <c r="B2625" s="105"/>
      <c r="C2625" s="105"/>
      <c r="D2625" s="105"/>
      <c r="E2625" s="105"/>
      <c r="F2625" s="105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</row>
    <row r="2626">
      <c r="A2626" s="104"/>
      <c r="B2626" s="105"/>
      <c r="C2626" s="105"/>
      <c r="D2626" s="105"/>
      <c r="E2626" s="105"/>
      <c r="F2626" s="105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</row>
    <row r="2627">
      <c r="A2627" s="104"/>
      <c r="B2627" s="105"/>
      <c r="C2627" s="105"/>
      <c r="D2627" s="105"/>
      <c r="E2627" s="105"/>
      <c r="F2627" s="105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</row>
    <row r="2628">
      <c r="A2628" s="104"/>
      <c r="B2628" s="105"/>
      <c r="C2628" s="105"/>
      <c r="D2628" s="105"/>
      <c r="E2628" s="105"/>
      <c r="F2628" s="105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</row>
    <row r="2629">
      <c r="A2629" s="104"/>
      <c r="B2629" s="105"/>
      <c r="C2629" s="105"/>
      <c r="D2629" s="105"/>
      <c r="E2629" s="105"/>
      <c r="F2629" s="105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</row>
    <row r="2630">
      <c r="A2630" s="104"/>
      <c r="B2630" s="105"/>
      <c r="C2630" s="105"/>
      <c r="D2630" s="105"/>
      <c r="E2630" s="105"/>
      <c r="F2630" s="105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</row>
    <row r="2631">
      <c r="A2631" s="104"/>
      <c r="B2631" s="105"/>
      <c r="C2631" s="105"/>
      <c r="D2631" s="105"/>
      <c r="E2631" s="105"/>
      <c r="F2631" s="105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</row>
    <row r="2632">
      <c r="A2632" s="104"/>
      <c r="B2632" s="105"/>
      <c r="C2632" s="105"/>
      <c r="D2632" s="105"/>
      <c r="E2632" s="105"/>
      <c r="F2632" s="105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</row>
    <row r="2633">
      <c r="A2633" s="104"/>
      <c r="B2633" s="105"/>
      <c r="C2633" s="105"/>
      <c r="D2633" s="105"/>
      <c r="E2633" s="105"/>
      <c r="F2633" s="105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</row>
    <row r="2634">
      <c r="A2634" s="104"/>
      <c r="B2634" s="105"/>
      <c r="C2634" s="105"/>
      <c r="D2634" s="105"/>
      <c r="E2634" s="105"/>
      <c r="F2634" s="105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</row>
    <row r="2635">
      <c r="A2635" s="104"/>
      <c r="B2635" s="105"/>
      <c r="C2635" s="105"/>
      <c r="D2635" s="105"/>
      <c r="E2635" s="105"/>
      <c r="F2635" s="105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</row>
    <row r="2636">
      <c r="A2636" s="104"/>
      <c r="B2636" s="105"/>
      <c r="C2636" s="105"/>
      <c r="D2636" s="105"/>
      <c r="E2636" s="105"/>
      <c r="F2636" s="105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</row>
    <row r="2637">
      <c r="A2637" s="104"/>
      <c r="B2637" s="105"/>
      <c r="C2637" s="105"/>
      <c r="D2637" s="105"/>
      <c r="E2637" s="105"/>
      <c r="F2637" s="105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</row>
    <row r="2638">
      <c r="A2638" s="104"/>
      <c r="B2638" s="105"/>
      <c r="C2638" s="105"/>
      <c r="D2638" s="105"/>
      <c r="E2638" s="105"/>
      <c r="F2638" s="105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</row>
    <row r="2639">
      <c r="A2639" s="104"/>
      <c r="B2639" s="105"/>
      <c r="C2639" s="105"/>
      <c r="D2639" s="105"/>
      <c r="E2639" s="105"/>
      <c r="F2639" s="105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</row>
    <row r="2640">
      <c r="A2640" s="104"/>
      <c r="B2640" s="105"/>
      <c r="C2640" s="105"/>
      <c r="D2640" s="105"/>
      <c r="E2640" s="105"/>
      <c r="F2640" s="105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</row>
    <row r="2641">
      <c r="A2641" s="104"/>
      <c r="B2641" s="105"/>
      <c r="C2641" s="105"/>
      <c r="D2641" s="105"/>
      <c r="E2641" s="105"/>
      <c r="F2641" s="105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</row>
    <row r="2642">
      <c r="A2642" s="104"/>
      <c r="B2642" s="105"/>
      <c r="C2642" s="105"/>
      <c r="D2642" s="105"/>
      <c r="E2642" s="105"/>
      <c r="F2642" s="105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</row>
    <row r="2643">
      <c r="A2643" s="104"/>
      <c r="B2643" s="105"/>
      <c r="C2643" s="105"/>
      <c r="D2643" s="105"/>
      <c r="E2643" s="105"/>
      <c r="F2643" s="105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</row>
    <row r="2644">
      <c r="A2644" s="104"/>
      <c r="B2644" s="105"/>
      <c r="C2644" s="105"/>
      <c r="D2644" s="105"/>
      <c r="E2644" s="105"/>
      <c r="F2644" s="105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</row>
    <row r="2645">
      <c r="A2645" s="104"/>
      <c r="B2645" s="105"/>
      <c r="C2645" s="105"/>
      <c r="D2645" s="105"/>
      <c r="E2645" s="105"/>
      <c r="F2645" s="105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</row>
    <row r="2646">
      <c r="A2646" s="104"/>
      <c r="B2646" s="105"/>
      <c r="C2646" s="105"/>
      <c r="D2646" s="105"/>
      <c r="E2646" s="105"/>
      <c r="F2646" s="105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</row>
    <row r="2647">
      <c r="A2647" s="104"/>
      <c r="B2647" s="105"/>
      <c r="C2647" s="105"/>
      <c r="D2647" s="105"/>
      <c r="E2647" s="105"/>
      <c r="F2647" s="105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</row>
    <row r="2648">
      <c r="A2648" s="104"/>
      <c r="B2648" s="105"/>
      <c r="C2648" s="105"/>
      <c r="D2648" s="105"/>
      <c r="E2648" s="105"/>
      <c r="F2648" s="105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</row>
    <row r="2649">
      <c r="A2649" s="104"/>
      <c r="B2649" s="105"/>
      <c r="C2649" s="105"/>
      <c r="D2649" s="105"/>
      <c r="E2649" s="105"/>
      <c r="F2649" s="105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</row>
    <row r="2650">
      <c r="A2650" s="104"/>
      <c r="B2650" s="105"/>
      <c r="C2650" s="105"/>
      <c r="D2650" s="105"/>
      <c r="E2650" s="105"/>
      <c r="F2650" s="105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</row>
    <row r="2651">
      <c r="A2651" s="104"/>
      <c r="B2651" s="105"/>
      <c r="C2651" s="105"/>
      <c r="D2651" s="105"/>
      <c r="E2651" s="105"/>
      <c r="F2651" s="105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</row>
    <row r="2652">
      <c r="A2652" s="104"/>
      <c r="B2652" s="105"/>
      <c r="C2652" s="105"/>
      <c r="D2652" s="105"/>
      <c r="E2652" s="105"/>
      <c r="F2652" s="105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</row>
    <row r="2653">
      <c r="A2653" s="104"/>
      <c r="B2653" s="105"/>
      <c r="C2653" s="105"/>
      <c r="D2653" s="105"/>
      <c r="E2653" s="105"/>
      <c r="F2653" s="105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</row>
    <row r="2654">
      <c r="A2654" s="104"/>
      <c r="B2654" s="105"/>
      <c r="C2654" s="105"/>
      <c r="D2654" s="105"/>
      <c r="E2654" s="105"/>
      <c r="F2654" s="105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</row>
    <row r="2655">
      <c r="A2655" s="104"/>
      <c r="B2655" s="105"/>
      <c r="C2655" s="105"/>
      <c r="D2655" s="105"/>
      <c r="E2655" s="105"/>
      <c r="F2655" s="105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</row>
    <row r="2656">
      <c r="A2656" s="104"/>
      <c r="B2656" s="105"/>
      <c r="C2656" s="105"/>
      <c r="D2656" s="105"/>
      <c r="E2656" s="105"/>
      <c r="F2656" s="105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</row>
    <row r="2657">
      <c r="A2657" s="104"/>
      <c r="B2657" s="105"/>
      <c r="C2657" s="105"/>
      <c r="D2657" s="105"/>
      <c r="E2657" s="105"/>
      <c r="F2657" s="105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</row>
    <row r="2658">
      <c r="A2658" s="104"/>
      <c r="B2658" s="105"/>
      <c r="C2658" s="105"/>
      <c r="D2658" s="105"/>
      <c r="E2658" s="105"/>
      <c r="F2658" s="105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</row>
    <row r="2659">
      <c r="A2659" s="104"/>
      <c r="B2659" s="105"/>
      <c r="C2659" s="105"/>
      <c r="D2659" s="105"/>
      <c r="E2659" s="105"/>
      <c r="F2659" s="105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</row>
    <row r="2660">
      <c r="A2660" s="104"/>
      <c r="B2660" s="105"/>
      <c r="C2660" s="105"/>
      <c r="D2660" s="105"/>
      <c r="E2660" s="105"/>
      <c r="F2660" s="105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</row>
    <row r="2661">
      <c r="A2661" s="104"/>
      <c r="B2661" s="105"/>
      <c r="C2661" s="105"/>
      <c r="D2661" s="105"/>
      <c r="E2661" s="105"/>
      <c r="F2661" s="105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</row>
    <row r="2662">
      <c r="A2662" s="104"/>
      <c r="B2662" s="105"/>
      <c r="C2662" s="105"/>
      <c r="D2662" s="105"/>
      <c r="E2662" s="105"/>
      <c r="F2662" s="105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</row>
    <row r="2663">
      <c r="A2663" s="104"/>
      <c r="B2663" s="105"/>
      <c r="C2663" s="105"/>
      <c r="D2663" s="105"/>
      <c r="E2663" s="105"/>
      <c r="F2663" s="105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</row>
    <row r="2664">
      <c r="A2664" s="104"/>
      <c r="B2664" s="105"/>
      <c r="C2664" s="105"/>
      <c r="D2664" s="105"/>
      <c r="E2664" s="105"/>
      <c r="F2664" s="105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</row>
    <row r="2665">
      <c r="A2665" s="104"/>
      <c r="B2665" s="105"/>
      <c r="C2665" s="105"/>
      <c r="D2665" s="105"/>
      <c r="E2665" s="105"/>
      <c r="F2665" s="105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</row>
    <row r="2666">
      <c r="A2666" s="104"/>
      <c r="B2666" s="105"/>
      <c r="C2666" s="105"/>
      <c r="D2666" s="105"/>
      <c r="E2666" s="105"/>
      <c r="F2666" s="105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</row>
    <row r="2667">
      <c r="A2667" s="104"/>
      <c r="B2667" s="105"/>
      <c r="C2667" s="105"/>
      <c r="D2667" s="105"/>
      <c r="E2667" s="105"/>
      <c r="F2667" s="105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</row>
    <row r="2668">
      <c r="A2668" s="104"/>
      <c r="B2668" s="105"/>
      <c r="C2668" s="105"/>
      <c r="D2668" s="105"/>
      <c r="E2668" s="105"/>
      <c r="F2668" s="105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</row>
    <row r="2669">
      <c r="A2669" s="104"/>
      <c r="B2669" s="105"/>
      <c r="C2669" s="105"/>
      <c r="D2669" s="105"/>
      <c r="E2669" s="105"/>
      <c r="F2669" s="105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</row>
    <row r="2670">
      <c r="A2670" s="104"/>
      <c r="B2670" s="105"/>
      <c r="C2670" s="105"/>
      <c r="D2670" s="105"/>
      <c r="E2670" s="105"/>
      <c r="F2670" s="105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</row>
    <row r="2671">
      <c r="A2671" s="104"/>
      <c r="B2671" s="105"/>
      <c r="C2671" s="105"/>
      <c r="D2671" s="105"/>
      <c r="E2671" s="105"/>
      <c r="F2671" s="105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</row>
    <row r="2672">
      <c r="A2672" s="104"/>
      <c r="B2672" s="105"/>
      <c r="C2672" s="105"/>
      <c r="D2672" s="105"/>
      <c r="E2672" s="105"/>
      <c r="F2672" s="105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</row>
    <row r="2673">
      <c r="A2673" s="104"/>
      <c r="B2673" s="105"/>
      <c r="C2673" s="105"/>
      <c r="D2673" s="105"/>
      <c r="E2673" s="105"/>
      <c r="F2673" s="105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</row>
    <row r="2674">
      <c r="A2674" s="104"/>
      <c r="B2674" s="105"/>
      <c r="C2674" s="105"/>
      <c r="D2674" s="105"/>
      <c r="E2674" s="105"/>
      <c r="F2674" s="105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</row>
    <row r="2675">
      <c r="A2675" s="104"/>
      <c r="B2675" s="105"/>
      <c r="C2675" s="105"/>
      <c r="D2675" s="105"/>
      <c r="E2675" s="105"/>
      <c r="F2675" s="105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</row>
    <row r="2676">
      <c r="A2676" s="104"/>
      <c r="B2676" s="105"/>
      <c r="C2676" s="105"/>
      <c r="D2676" s="105"/>
      <c r="E2676" s="105"/>
      <c r="F2676" s="105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</row>
    <row r="2677">
      <c r="A2677" s="104"/>
      <c r="B2677" s="105"/>
      <c r="C2677" s="105"/>
      <c r="D2677" s="105"/>
      <c r="E2677" s="105"/>
      <c r="F2677" s="105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</row>
    <row r="2678">
      <c r="A2678" s="104"/>
      <c r="B2678" s="105"/>
      <c r="C2678" s="105"/>
      <c r="D2678" s="105"/>
      <c r="E2678" s="105"/>
      <c r="F2678" s="105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</row>
    <row r="2679">
      <c r="A2679" s="104"/>
      <c r="B2679" s="105"/>
      <c r="C2679" s="105"/>
      <c r="D2679" s="105"/>
      <c r="E2679" s="105"/>
      <c r="F2679" s="105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</row>
    <row r="2680">
      <c r="A2680" s="104"/>
      <c r="B2680" s="105"/>
      <c r="C2680" s="105"/>
      <c r="D2680" s="105"/>
      <c r="E2680" s="105"/>
      <c r="F2680" s="105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</row>
    <row r="2681">
      <c r="A2681" s="104"/>
      <c r="B2681" s="105"/>
      <c r="C2681" s="105"/>
      <c r="D2681" s="105"/>
      <c r="E2681" s="105"/>
      <c r="F2681" s="105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</row>
    <row r="2682">
      <c r="A2682" s="104"/>
      <c r="B2682" s="105"/>
      <c r="C2682" s="105"/>
      <c r="D2682" s="105"/>
      <c r="E2682" s="105"/>
      <c r="F2682" s="105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</row>
    <row r="2683">
      <c r="A2683" s="104"/>
      <c r="B2683" s="105"/>
      <c r="C2683" s="105"/>
      <c r="D2683" s="105"/>
      <c r="E2683" s="105"/>
      <c r="F2683" s="105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</row>
    <row r="2684">
      <c r="A2684" s="104"/>
      <c r="B2684" s="105"/>
      <c r="C2684" s="105"/>
      <c r="D2684" s="105"/>
      <c r="E2684" s="105"/>
      <c r="F2684" s="105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</row>
    <row r="2685">
      <c r="A2685" s="104"/>
      <c r="B2685" s="105"/>
      <c r="C2685" s="105"/>
      <c r="D2685" s="105"/>
      <c r="E2685" s="105"/>
      <c r="F2685" s="105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</row>
    <row r="2686">
      <c r="A2686" s="104"/>
      <c r="B2686" s="105"/>
      <c r="C2686" s="105"/>
      <c r="D2686" s="105"/>
      <c r="E2686" s="105"/>
      <c r="F2686" s="105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</row>
    <row r="2687">
      <c r="A2687" s="104"/>
      <c r="B2687" s="105"/>
      <c r="C2687" s="105"/>
      <c r="D2687" s="105"/>
      <c r="E2687" s="105"/>
      <c r="F2687" s="105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</row>
    <row r="2688">
      <c r="A2688" s="104"/>
      <c r="B2688" s="105"/>
      <c r="C2688" s="105"/>
      <c r="D2688" s="105"/>
      <c r="E2688" s="105"/>
      <c r="F2688" s="105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</row>
    <row r="2689">
      <c r="A2689" s="104"/>
      <c r="B2689" s="105"/>
      <c r="C2689" s="105"/>
      <c r="D2689" s="105"/>
      <c r="E2689" s="105"/>
      <c r="F2689" s="105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</row>
    <row r="2690">
      <c r="A2690" s="104"/>
      <c r="B2690" s="105"/>
      <c r="C2690" s="105"/>
      <c r="D2690" s="105"/>
      <c r="E2690" s="105"/>
      <c r="F2690" s="105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</row>
    <row r="2691">
      <c r="A2691" s="104"/>
      <c r="B2691" s="105"/>
      <c r="C2691" s="105"/>
      <c r="D2691" s="105"/>
      <c r="E2691" s="105"/>
      <c r="F2691" s="105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</row>
    <row r="2692">
      <c r="A2692" s="104"/>
      <c r="B2692" s="105"/>
      <c r="C2692" s="105"/>
      <c r="D2692" s="105"/>
      <c r="E2692" s="105"/>
      <c r="F2692" s="105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</row>
    <row r="2693">
      <c r="A2693" s="104"/>
      <c r="B2693" s="105"/>
      <c r="C2693" s="105"/>
      <c r="D2693" s="105"/>
      <c r="E2693" s="105"/>
      <c r="F2693" s="105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</row>
    <row r="2694">
      <c r="A2694" s="104"/>
      <c r="B2694" s="105"/>
      <c r="C2694" s="105"/>
      <c r="D2694" s="105"/>
      <c r="E2694" s="105"/>
      <c r="F2694" s="105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</row>
    <row r="2695">
      <c r="A2695" s="104"/>
      <c r="B2695" s="105"/>
      <c r="C2695" s="105"/>
      <c r="D2695" s="105"/>
      <c r="E2695" s="105"/>
      <c r="F2695" s="105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</row>
    <row r="2696">
      <c r="A2696" s="104"/>
      <c r="B2696" s="105"/>
      <c r="C2696" s="105"/>
      <c r="D2696" s="105"/>
      <c r="E2696" s="105"/>
      <c r="F2696" s="105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</row>
    <row r="2697">
      <c r="A2697" s="104"/>
      <c r="B2697" s="105"/>
      <c r="C2697" s="105"/>
      <c r="D2697" s="105"/>
      <c r="E2697" s="105"/>
      <c r="F2697" s="105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</row>
    <row r="2698">
      <c r="A2698" s="104"/>
      <c r="B2698" s="105"/>
      <c r="C2698" s="105"/>
      <c r="D2698" s="105"/>
      <c r="E2698" s="105"/>
      <c r="F2698" s="105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</row>
    <row r="2699">
      <c r="A2699" s="104"/>
      <c r="B2699" s="105"/>
      <c r="C2699" s="105"/>
      <c r="D2699" s="105"/>
      <c r="E2699" s="105"/>
      <c r="F2699" s="105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</row>
    <row r="2700">
      <c r="A2700" s="104"/>
      <c r="B2700" s="105"/>
      <c r="C2700" s="105"/>
      <c r="D2700" s="105"/>
      <c r="E2700" s="105"/>
      <c r="F2700" s="105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</row>
    <row r="2701">
      <c r="A2701" s="104"/>
      <c r="B2701" s="105"/>
      <c r="C2701" s="105"/>
      <c r="D2701" s="105"/>
      <c r="E2701" s="105"/>
      <c r="F2701" s="105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</row>
    <row r="2702">
      <c r="A2702" s="104"/>
      <c r="B2702" s="105"/>
      <c r="C2702" s="105"/>
      <c r="D2702" s="105"/>
      <c r="E2702" s="105"/>
      <c r="F2702" s="105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</row>
    <row r="2703">
      <c r="A2703" s="104"/>
      <c r="B2703" s="105"/>
      <c r="C2703" s="105"/>
      <c r="D2703" s="105"/>
      <c r="E2703" s="105"/>
      <c r="F2703" s="105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</row>
    <row r="2704">
      <c r="A2704" s="104"/>
      <c r="B2704" s="105"/>
      <c r="C2704" s="105"/>
      <c r="D2704" s="105"/>
      <c r="E2704" s="105"/>
      <c r="F2704" s="105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</row>
    <row r="2705">
      <c r="A2705" s="104"/>
      <c r="B2705" s="105"/>
      <c r="C2705" s="105"/>
      <c r="D2705" s="105"/>
      <c r="E2705" s="105"/>
      <c r="F2705" s="105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</row>
    <row r="2706">
      <c r="A2706" s="104"/>
      <c r="B2706" s="105"/>
      <c r="C2706" s="105"/>
      <c r="D2706" s="105"/>
      <c r="E2706" s="105"/>
      <c r="F2706" s="105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</row>
    <row r="2707">
      <c r="A2707" s="104"/>
      <c r="B2707" s="105"/>
      <c r="C2707" s="105"/>
      <c r="D2707" s="105"/>
      <c r="E2707" s="105"/>
      <c r="F2707" s="105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</row>
    <row r="2708">
      <c r="A2708" s="104"/>
      <c r="B2708" s="105"/>
      <c r="C2708" s="105"/>
      <c r="D2708" s="105"/>
      <c r="E2708" s="105"/>
      <c r="F2708" s="105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</row>
    <row r="2709">
      <c r="A2709" s="104"/>
      <c r="B2709" s="105"/>
      <c r="C2709" s="105"/>
      <c r="D2709" s="105"/>
      <c r="E2709" s="105"/>
      <c r="F2709" s="105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</row>
    <row r="2710">
      <c r="A2710" s="104"/>
      <c r="B2710" s="105"/>
      <c r="C2710" s="105"/>
      <c r="D2710" s="105"/>
      <c r="E2710" s="105"/>
      <c r="F2710" s="105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</row>
    <row r="2711">
      <c r="A2711" s="104"/>
      <c r="B2711" s="105"/>
      <c r="C2711" s="105"/>
      <c r="D2711" s="105"/>
      <c r="E2711" s="105"/>
      <c r="F2711" s="105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</row>
    <row r="2712">
      <c r="A2712" s="104"/>
      <c r="B2712" s="105"/>
      <c r="C2712" s="105"/>
      <c r="D2712" s="105"/>
      <c r="E2712" s="105"/>
      <c r="F2712" s="105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</row>
    <row r="2713">
      <c r="A2713" s="104"/>
      <c r="B2713" s="105"/>
      <c r="C2713" s="105"/>
      <c r="D2713" s="105"/>
      <c r="E2713" s="105"/>
      <c r="F2713" s="105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</row>
    <row r="2714">
      <c r="A2714" s="104"/>
      <c r="B2714" s="105"/>
      <c r="C2714" s="105"/>
      <c r="D2714" s="105"/>
      <c r="E2714" s="105"/>
      <c r="F2714" s="105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</row>
    <row r="2715">
      <c r="A2715" s="104"/>
      <c r="B2715" s="105"/>
      <c r="C2715" s="105"/>
      <c r="D2715" s="105"/>
      <c r="E2715" s="105"/>
      <c r="F2715" s="105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</row>
    <row r="2716">
      <c r="A2716" s="104"/>
      <c r="B2716" s="105"/>
      <c r="C2716" s="105"/>
      <c r="D2716" s="105"/>
      <c r="E2716" s="105"/>
      <c r="F2716" s="105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</row>
    <row r="2717">
      <c r="A2717" s="104"/>
      <c r="B2717" s="105"/>
      <c r="C2717" s="105"/>
      <c r="D2717" s="105"/>
      <c r="E2717" s="105"/>
      <c r="F2717" s="105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</row>
    <row r="2718">
      <c r="A2718" s="104"/>
      <c r="B2718" s="105"/>
      <c r="C2718" s="105"/>
      <c r="D2718" s="105"/>
      <c r="E2718" s="105"/>
      <c r="F2718" s="105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</row>
    <row r="2719">
      <c r="A2719" s="104"/>
      <c r="B2719" s="105"/>
      <c r="C2719" s="105"/>
      <c r="D2719" s="105"/>
      <c r="E2719" s="105"/>
      <c r="F2719" s="105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</row>
    <row r="2720">
      <c r="A2720" s="104"/>
      <c r="B2720" s="105"/>
      <c r="C2720" s="105"/>
      <c r="D2720" s="105"/>
      <c r="E2720" s="105"/>
      <c r="F2720" s="105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</row>
    <row r="2721">
      <c r="A2721" s="104"/>
      <c r="B2721" s="105"/>
      <c r="C2721" s="105"/>
      <c r="D2721" s="105"/>
      <c r="E2721" s="105"/>
      <c r="F2721" s="105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</row>
    <row r="2722">
      <c r="A2722" s="104"/>
      <c r="B2722" s="105"/>
      <c r="C2722" s="105"/>
      <c r="D2722" s="105"/>
      <c r="E2722" s="105"/>
      <c r="F2722" s="105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</row>
    <row r="2723">
      <c r="A2723" s="104"/>
      <c r="B2723" s="105"/>
      <c r="C2723" s="105"/>
      <c r="D2723" s="105"/>
      <c r="E2723" s="105"/>
      <c r="F2723" s="105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</row>
    <row r="2724">
      <c r="A2724" s="104"/>
      <c r="B2724" s="105"/>
      <c r="C2724" s="105"/>
      <c r="D2724" s="105"/>
      <c r="E2724" s="105"/>
      <c r="F2724" s="105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</row>
    <row r="2725">
      <c r="A2725" s="104"/>
      <c r="B2725" s="105"/>
      <c r="C2725" s="105"/>
      <c r="D2725" s="105"/>
      <c r="E2725" s="105"/>
      <c r="F2725" s="105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</row>
    <row r="2726">
      <c r="A2726" s="104"/>
      <c r="B2726" s="105"/>
      <c r="C2726" s="105"/>
      <c r="D2726" s="105"/>
      <c r="E2726" s="105"/>
      <c r="F2726" s="105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</row>
    <row r="2727">
      <c r="A2727" s="104"/>
      <c r="B2727" s="105"/>
      <c r="C2727" s="105"/>
      <c r="D2727" s="105"/>
      <c r="E2727" s="105"/>
      <c r="F2727" s="105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</row>
    <row r="2728">
      <c r="A2728" s="104"/>
      <c r="B2728" s="105"/>
      <c r="C2728" s="105"/>
      <c r="D2728" s="105"/>
      <c r="E2728" s="105"/>
      <c r="F2728" s="105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</row>
    <row r="2729">
      <c r="A2729" s="104"/>
      <c r="B2729" s="105"/>
      <c r="C2729" s="105"/>
      <c r="D2729" s="105"/>
      <c r="E2729" s="105"/>
      <c r="F2729" s="105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</row>
    <row r="2730">
      <c r="A2730" s="104"/>
      <c r="B2730" s="105"/>
      <c r="C2730" s="105"/>
      <c r="D2730" s="105"/>
      <c r="E2730" s="105"/>
      <c r="F2730" s="105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</row>
    <row r="2731">
      <c r="A2731" s="104"/>
      <c r="B2731" s="105"/>
      <c r="C2731" s="105"/>
      <c r="D2731" s="105"/>
      <c r="E2731" s="105"/>
      <c r="F2731" s="105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</row>
    <row r="2732">
      <c r="A2732" s="104"/>
      <c r="B2732" s="105"/>
      <c r="C2732" s="105"/>
      <c r="D2732" s="105"/>
      <c r="E2732" s="105"/>
      <c r="F2732" s="105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</row>
    <row r="2733">
      <c r="A2733" s="104"/>
      <c r="B2733" s="105"/>
      <c r="C2733" s="105"/>
      <c r="D2733" s="105"/>
      <c r="E2733" s="105"/>
      <c r="F2733" s="105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</row>
    <row r="2734">
      <c r="A2734" s="104"/>
      <c r="B2734" s="105"/>
      <c r="C2734" s="105"/>
      <c r="D2734" s="105"/>
      <c r="E2734" s="105"/>
      <c r="F2734" s="105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</row>
    <row r="2735">
      <c r="A2735" s="104"/>
      <c r="B2735" s="105"/>
      <c r="C2735" s="105"/>
      <c r="D2735" s="105"/>
      <c r="E2735" s="105"/>
      <c r="F2735" s="105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</row>
    <row r="2736">
      <c r="A2736" s="104"/>
      <c r="B2736" s="105"/>
      <c r="C2736" s="105"/>
      <c r="D2736" s="105"/>
      <c r="E2736" s="105"/>
      <c r="F2736" s="105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</row>
    <row r="2737">
      <c r="A2737" s="104"/>
      <c r="B2737" s="105"/>
      <c r="C2737" s="105"/>
      <c r="D2737" s="105"/>
      <c r="E2737" s="105"/>
      <c r="F2737" s="105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</row>
    <row r="2738">
      <c r="A2738" s="104"/>
      <c r="B2738" s="105"/>
      <c r="C2738" s="105"/>
      <c r="D2738" s="105"/>
      <c r="E2738" s="105"/>
      <c r="F2738" s="105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</row>
    <row r="2739">
      <c r="A2739" s="104"/>
      <c r="B2739" s="105"/>
      <c r="C2739" s="105"/>
      <c r="D2739" s="105"/>
      <c r="E2739" s="105"/>
      <c r="F2739" s="105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</row>
    <row r="2740">
      <c r="A2740" s="104"/>
      <c r="B2740" s="105"/>
      <c r="C2740" s="105"/>
      <c r="D2740" s="105"/>
      <c r="E2740" s="105"/>
      <c r="F2740" s="105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</row>
    <row r="2741">
      <c r="A2741" s="104"/>
      <c r="B2741" s="105"/>
      <c r="C2741" s="105"/>
      <c r="D2741" s="105"/>
      <c r="E2741" s="105"/>
      <c r="F2741" s="105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</row>
    <row r="2742">
      <c r="A2742" s="104"/>
      <c r="B2742" s="105"/>
      <c r="C2742" s="105"/>
      <c r="D2742" s="105"/>
      <c r="E2742" s="105"/>
      <c r="F2742" s="105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</row>
    <row r="2743">
      <c r="A2743" s="104"/>
      <c r="B2743" s="105"/>
      <c r="C2743" s="105"/>
      <c r="D2743" s="105"/>
      <c r="E2743" s="105"/>
      <c r="F2743" s="105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</row>
    <row r="2744">
      <c r="A2744" s="104"/>
      <c r="B2744" s="105"/>
      <c r="C2744" s="105"/>
      <c r="D2744" s="105"/>
      <c r="E2744" s="105"/>
      <c r="F2744" s="105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</row>
    <row r="2745">
      <c r="A2745" s="104"/>
      <c r="B2745" s="105"/>
      <c r="C2745" s="105"/>
      <c r="D2745" s="105"/>
      <c r="E2745" s="105"/>
      <c r="F2745" s="105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</row>
    <row r="2746">
      <c r="A2746" s="104"/>
      <c r="B2746" s="105"/>
      <c r="C2746" s="105"/>
      <c r="D2746" s="105"/>
      <c r="E2746" s="105"/>
      <c r="F2746" s="105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</row>
    <row r="2747">
      <c r="A2747" s="104"/>
      <c r="B2747" s="105"/>
      <c r="C2747" s="105"/>
      <c r="D2747" s="105"/>
      <c r="E2747" s="105"/>
      <c r="F2747" s="105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</row>
    <row r="2748">
      <c r="A2748" s="104"/>
      <c r="B2748" s="105"/>
      <c r="C2748" s="105"/>
      <c r="D2748" s="105"/>
      <c r="E2748" s="105"/>
      <c r="F2748" s="105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</row>
    <row r="2749">
      <c r="A2749" s="104"/>
      <c r="B2749" s="105"/>
      <c r="C2749" s="105"/>
      <c r="D2749" s="105"/>
      <c r="E2749" s="105"/>
      <c r="F2749" s="105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</row>
    <row r="2750">
      <c r="A2750" s="104"/>
      <c r="B2750" s="105"/>
      <c r="C2750" s="105"/>
      <c r="D2750" s="105"/>
      <c r="E2750" s="105"/>
      <c r="F2750" s="105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</row>
    <row r="2751">
      <c r="A2751" s="104"/>
      <c r="B2751" s="105"/>
      <c r="C2751" s="105"/>
      <c r="D2751" s="105"/>
      <c r="E2751" s="105"/>
      <c r="F2751" s="105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</row>
    <row r="2752">
      <c r="A2752" s="104"/>
      <c r="B2752" s="105"/>
      <c r="C2752" s="105"/>
      <c r="D2752" s="105"/>
      <c r="E2752" s="105"/>
      <c r="F2752" s="105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</row>
    <row r="2753">
      <c r="A2753" s="104"/>
      <c r="B2753" s="105"/>
      <c r="C2753" s="105"/>
      <c r="D2753" s="105"/>
      <c r="E2753" s="105"/>
      <c r="F2753" s="105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</row>
    <row r="2754">
      <c r="A2754" s="104"/>
      <c r="B2754" s="105"/>
      <c r="C2754" s="105"/>
      <c r="D2754" s="105"/>
      <c r="E2754" s="105"/>
      <c r="F2754" s="105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</row>
    <row r="2755">
      <c r="A2755" s="104"/>
      <c r="B2755" s="105"/>
      <c r="C2755" s="105"/>
      <c r="D2755" s="105"/>
      <c r="E2755" s="105"/>
      <c r="F2755" s="105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</row>
    <row r="2756">
      <c r="A2756" s="104"/>
      <c r="B2756" s="105"/>
      <c r="C2756" s="105"/>
      <c r="D2756" s="105"/>
      <c r="E2756" s="105"/>
      <c r="F2756" s="105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</row>
    <row r="2757">
      <c r="A2757" s="104"/>
      <c r="B2757" s="105"/>
      <c r="C2757" s="105"/>
      <c r="D2757" s="105"/>
      <c r="E2757" s="105"/>
      <c r="F2757" s="105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</row>
    <row r="2758">
      <c r="A2758" s="104"/>
      <c r="B2758" s="105"/>
      <c r="C2758" s="105"/>
      <c r="D2758" s="105"/>
      <c r="E2758" s="105"/>
      <c r="F2758" s="105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</row>
    <row r="2759">
      <c r="A2759" s="104"/>
      <c r="B2759" s="105"/>
      <c r="C2759" s="105"/>
      <c r="D2759" s="105"/>
      <c r="E2759" s="105"/>
      <c r="F2759" s="105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</row>
    <row r="2760">
      <c r="A2760" s="104"/>
      <c r="B2760" s="105"/>
      <c r="C2760" s="105"/>
      <c r="D2760" s="105"/>
      <c r="E2760" s="105"/>
      <c r="F2760" s="105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</row>
    <row r="2761">
      <c r="A2761" s="104"/>
      <c r="B2761" s="105"/>
      <c r="C2761" s="105"/>
      <c r="D2761" s="105"/>
      <c r="E2761" s="105"/>
      <c r="F2761" s="105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</row>
    <row r="2762">
      <c r="A2762" s="104"/>
      <c r="B2762" s="105"/>
      <c r="C2762" s="105"/>
      <c r="D2762" s="105"/>
      <c r="E2762" s="105"/>
      <c r="F2762" s="105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</row>
    <row r="2763">
      <c r="A2763" s="104"/>
      <c r="B2763" s="105"/>
      <c r="C2763" s="105"/>
      <c r="D2763" s="105"/>
      <c r="E2763" s="105"/>
      <c r="F2763" s="105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</row>
    <row r="2764">
      <c r="A2764" s="104"/>
      <c r="B2764" s="105"/>
      <c r="C2764" s="105"/>
      <c r="D2764" s="105"/>
      <c r="E2764" s="105"/>
      <c r="F2764" s="105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</row>
    <row r="2765">
      <c r="A2765" s="104"/>
      <c r="B2765" s="105"/>
      <c r="C2765" s="105"/>
      <c r="D2765" s="105"/>
      <c r="E2765" s="105"/>
      <c r="F2765" s="105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</row>
    <row r="2766">
      <c r="A2766" s="104"/>
      <c r="B2766" s="105"/>
      <c r="C2766" s="105"/>
      <c r="D2766" s="105"/>
      <c r="E2766" s="105"/>
      <c r="F2766" s="105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</row>
    <row r="2767">
      <c r="A2767" s="104"/>
      <c r="B2767" s="105"/>
      <c r="C2767" s="105"/>
      <c r="D2767" s="105"/>
      <c r="E2767" s="105"/>
      <c r="F2767" s="105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</row>
    <row r="2768">
      <c r="A2768" s="104"/>
      <c r="B2768" s="105"/>
      <c r="C2768" s="105"/>
      <c r="D2768" s="105"/>
      <c r="E2768" s="105"/>
      <c r="F2768" s="105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</row>
    <row r="2769">
      <c r="A2769" s="104"/>
      <c r="B2769" s="105"/>
      <c r="C2769" s="105"/>
      <c r="D2769" s="105"/>
      <c r="E2769" s="105"/>
      <c r="F2769" s="105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</row>
    <row r="2770">
      <c r="A2770" s="104"/>
      <c r="B2770" s="105"/>
      <c r="C2770" s="105"/>
      <c r="D2770" s="105"/>
      <c r="E2770" s="105"/>
      <c r="F2770" s="105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</row>
    <row r="2771">
      <c r="A2771" s="104"/>
      <c r="B2771" s="105"/>
      <c r="C2771" s="105"/>
      <c r="D2771" s="105"/>
      <c r="E2771" s="105"/>
      <c r="F2771" s="105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</row>
    <row r="2772">
      <c r="A2772" s="104"/>
      <c r="B2772" s="105"/>
      <c r="C2772" s="105"/>
      <c r="D2772" s="105"/>
      <c r="E2772" s="105"/>
      <c r="F2772" s="105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</row>
    <row r="2773">
      <c r="A2773" s="104"/>
      <c r="B2773" s="105"/>
      <c r="C2773" s="105"/>
      <c r="D2773" s="105"/>
      <c r="E2773" s="105"/>
      <c r="F2773" s="105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</row>
    <row r="2774">
      <c r="A2774" s="104"/>
      <c r="B2774" s="105"/>
      <c r="C2774" s="105"/>
      <c r="D2774" s="105"/>
      <c r="E2774" s="105"/>
      <c r="F2774" s="105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</row>
    <row r="2775">
      <c r="A2775" s="104"/>
      <c r="B2775" s="105"/>
      <c r="C2775" s="105"/>
      <c r="D2775" s="105"/>
      <c r="E2775" s="105"/>
      <c r="F2775" s="105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</row>
    <row r="2776">
      <c r="A2776" s="104"/>
      <c r="B2776" s="105"/>
      <c r="C2776" s="105"/>
      <c r="D2776" s="105"/>
      <c r="E2776" s="105"/>
      <c r="F2776" s="105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</row>
    <row r="2777">
      <c r="A2777" s="104"/>
      <c r="B2777" s="105"/>
      <c r="C2777" s="105"/>
      <c r="D2777" s="105"/>
      <c r="E2777" s="105"/>
      <c r="F2777" s="105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</row>
    <row r="2778">
      <c r="A2778" s="104"/>
      <c r="B2778" s="105"/>
      <c r="C2778" s="105"/>
      <c r="D2778" s="105"/>
      <c r="E2778" s="105"/>
      <c r="F2778" s="105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</row>
    <row r="2779">
      <c r="A2779" s="104"/>
      <c r="B2779" s="105"/>
      <c r="C2779" s="105"/>
      <c r="D2779" s="105"/>
      <c r="E2779" s="105"/>
      <c r="F2779" s="105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</row>
    <row r="2780">
      <c r="A2780" s="104"/>
      <c r="B2780" s="105"/>
      <c r="C2780" s="105"/>
      <c r="D2780" s="105"/>
      <c r="E2780" s="105"/>
      <c r="F2780" s="105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</row>
    <row r="2781">
      <c r="A2781" s="104"/>
      <c r="B2781" s="105"/>
      <c r="C2781" s="105"/>
      <c r="D2781" s="105"/>
      <c r="E2781" s="105"/>
      <c r="F2781" s="105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</row>
    <row r="2782">
      <c r="A2782" s="104"/>
      <c r="B2782" s="105"/>
      <c r="C2782" s="105"/>
      <c r="D2782" s="105"/>
      <c r="E2782" s="105"/>
      <c r="F2782" s="105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</row>
    <row r="2783">
      <c r="A2783" s="104"/>
      <c r="B2783" s="105"/>
      <c r="C2783" s="105"/>
      <c r="D2783" s="105"/>
      <c r="E2783" s="105"/>
      <c r="F2783" s="105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</row>
    <row r="2784">
      <c r="A2784" s="104"/>
      <c r="B2784" s="105"/>
      <c r="C2784" s="105"/>
      <c r="D2784" s="105"/>
      <c r="E2784" s="105"/>
      <c r="F2784" s="105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</row>
  </sheetData>
  <autoFilter ref="$A$1:$F$1429"/>
  <conditionalFormatting sqref="A456">
    <cfRule type="expression" dxfId="1" priority="1">
      <formula>COUNTIF(A:A, A456)&gt;1</formula>
    </cfRule>
  </conditionalFormatting>
  <conditionalFormatting sqref="A455">
    <cfRule type="expression" dxfId="1" priority="2">
      <formula>COUNTIF(A:A, A455)&gt;1</formula>
    </cfRule>
  </conditionalFormatting>
  <conditionalFormatting sqref="A454">
    <cfRule type="expression" dxfId="1" priority="3">
      <formula>COUNTIF(A:A, A454)&gt;1</formula>
    </cfRule>
  </conditionalFormatting>
  <conditionalFormatting sqref="A1">
    <cfRule type="notContainsBlanks" dxfId="2" priority="4">
      <formula>LEN(TRIM(A1))&gt;0</formula>
    </cfRule>
  </conditionalFormatting>
  <conditionalFormatting sqref="A1:A453 A457:A1500">
    <cfRule type="expression" dxfId="1" priority="5">
      <formula>COUNTIF(A:A, A1)&gt;1</formula>
    </cfRule>
  </conditionalFormatting>
  <conditionalFormatting sqref="C1434">
    <cfRule type="notContainsBlanks" dxfId="2" priority="6">
      <formula>LEN(TRIM(C1434))&gt;0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3" max="3" width="25.75"/>
    <col customWidth="1" min="4" max="4" width="23.5"/>
    <col customWidth="1" min="5" max="5" width="11.75"/>
    <col customWidth="1" min="6" max="6" width="38.0"/>
    <col customWidth="1" min="7" max="7" width="26.5"/>
  </cols>
  <sheetData>
    <row r="1">
      <c r="A1" s="106"/>
      <c r="B1" s="106"/>
      <c r="C1" s="107"/>
      <c r="D1" s="107"/>
      <c r="E1" s="108"/>
      <c r="F1" s="107"/>
    </row>
    <row r="2">
      <c r="A2" s="106"/>
      <c r="B2" s="106"/>
      <c r="C2" s="107"/>
      <c r="D2" s="107"/>
      <c r="E2" s="108"/>
      <c r="F2" s="107"/>
    </row>
    <row r="3">
      <c r="A3" s="109">
        <v>2.3101344E7</v>
      </c>
      <c r="B3" s="109" t="s">
        <v>2941</v>
      </c>
      <c r="C3" s="110" t="s">
        <v>347</v>
      </c>
      <c r="D3" s="111" t="s">
        <v>36</v>
      </c>
      <c r="E3" s="109"/>
      <c r="F3" s="109" t="s">
        <v>2942</v>
      </c>
      <c r="G3" s="112" t="s">
        <v>2943</v>
      </c>
    </row>
    <row r="4">
      <c r="A4" s="109"/>
      <c r="B4" s="109"/>
      <c r="C4" s="111"/>
      <c r="D4" s="111"/>
      <c r="E4" s="113"/>
      <c r="F4" s="111"/>
    </row>
    <row r="5">
      <c r="A5" s="109">
        <v>2.2101469E7</v>
      </c>
      <c r="B5" s="109" t="s">
        <v>2944</v>
      </c>
      <c r="C5" s="111" t="s">
        <v>853</v>
      </c>
      <c r="D5" s="111" t="s">
        <v>36</v>
      </c>
      <c r="E5" s="113"/>
      <c r="F5" s="111" t="s">
        <v>2945</v>
      </c>
      <c r="G5" s="112" t="s">
        <v>2943</v>
      </c>
    </row>
    <row r="6">
      <c r="A6" s="109">
        <v>2.2301254E7</v>
      </c>
      <c r="B6" s="109" t="s">
        <v>2946</v>
      </c>
      <c r="C6" s="111" t="s">
        <v>853</v>
      </c>
      <c r="D6" s="111" t="s">
        <v>36</v>
      </c>
      <c r="E6" s="113"/>
      <c r="F6" s="111" t="s">
        <v>2947</v>
      </c>
      <c r="G6" s="112" t="s">
        <v>2943</v>
      </c>
    </row>
    <row r="7">
      <c r="A7" s="109">
        <v>2.3216004E7</v>
      </c>
      <c r="B7" s="109" t="s">
        <v>2948</v>
      </c>
      <c r="C7" s="111" t="s">
        <v>853</v>
      </c>
      <c r="D7" s="111" t="s">
        <v>36</v>
      </c>
      <c r="E7" s="113"/>
      <c r="F7" s="111" t="s">
        <v>2949</v>
      </c>
      <c r="G7" s="112" t="s">
        <v>2943</v>
      </c>
    </row>
    <row r="8">
      <c r="A8" s="114">
        <v>2.2201827E7</v>
      </c>
      <c r="B8" s="114" t="s">
        <v>2950</v>
      </c>
      <c r="C8" s="115" t="s">
        <v>853</v>
      </c>
      <c r="D8" s="115" t="s">
        <v>36</v>
      </c>
      <c r="E8" s="116"/>
      <c r="F8" s="115" t="s">
        <v>2951</v>
      </c>
      <c r="G8" s="112" t="s">
        <v>2943</v>
      </c>
    </row>
    <row r="9">
      <c r="A9" s="114">
        <v>2.2141013E7</v>
      </c>
      <c r="B9" s="114" t="s">
        <v>2952</v>
      </c>
      <c r="C9" s="115" t="s">
        <v>853</v>
      </c>
      <c r="D9" s="114" t="s">
        <v>36</v>
      </c>
      <c r="E9" s="117"/>
      <c r="F9" s="114" t="s">
        <v>2953</v>
      </c>
      <c r="G9" s="118" t="s">
        <v>2954</v>
      </c>
      <c r="H9" s="106"/>
      <c r="I9" s="106"/>
      <c r="J9" s="106"/>
    </row>
    <row r="10">
      <c r="A10" s="119"/>
      <c r="B10" s="119"/>
      <c r="C10" s="119"/>
      <c r="D10" s="119"/>
      <c r="E10" s="120"/>
      <c r="F10" s="119"/>
      <c r="G10" s="112" t="s">
        <v>2955</v>
      </c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8.13"/>
    <col customWidth="1" min="3" max="3" width="24.0"/>
    <col customWidth="1" min="4" max="4" width="25.75"/>
    <col customWidth="1" min="5" max="5" width="29.5"/>
    <col customWidth="1" min="6" max="6" width="25.13"/>
  </cols>
  <sheetData>
    <row r="1">
      <c r="A1" s="121" t="s">
        <v>2956</v>
      </c>
      <c r="B1" s="121" t="s">
        <v>2957</v>
      </c>
      <c r="C1" s="121" t="s">
        <v>2958</v>
      </c>
      <c r="D1" s="121" t="s">
        <v>2959</v>
      </c>
      <c r="E1" s="121" t="s">
        <v>2960</v>
      </c>
      <c r="F1" s="121" t="s">
        <v>2961</v>
      </c>
    </row>
    <row r="2">
      <c r="A2" s="121">
        <v>2.3201136E7</v>
      </c>
      <c r="B2" s="121" t="s">
        <v>23</v>
      </c>
      <c r="C2" s="122" t="s">
        <v>24</v>
      </c>
      <c r="D2" s="121" t="s">
        <v>25</v>
      </c>
      <c r="E2" s="121" t="s">
        <v>27</v>
      </c>
      <c r="F2" s="123" t="s">
        <v>26</v>
      </c>
    </row>
    <row r="3">
      <c r="A3" s="121">
        <v>2.3201116E7</v>
      </c>
      <c r="B3" s="121" t="s">
        <v>28</v>
      </c>
      <c r="C3" s="122" t="s">
        <v>24</v>
      </c>
      <c r="D3" s="121" t="s">
        <v>25</v>
      </c>
      <c r="E3" s="121" t="s">
        <v>30</v>
      </c>
      <c r="F3" s="123" t="s">
        <v>29</v>
      </c>
    </row>
    <row r="4">
      <c r="A4" s="121">
        <v>2.3301427E7</v>
      </c>
      <c r="B4" s="121" t="s">
        <v>31</v>
      </c>
      <c r="C4" s="122" t="s">
        <v>24</v>
      </c>
      <c r="D4" s="121" t="s">
        <v>32</v>
      </c>
      <c r="E4" s="121" t="s">
        <v>34</v>
      </c>
      <c r="F4" s="123" t="s">
        <v>33</v>
      </c>
    </row>
    <row r="5">
      <c r="A5" s="121">
        <v>2.3201482E7</v>
      </c>
      <c r="B5" s="121" t="s">
        <v>346</v>
      </c>
      <c r="C5" s="122" t="s">
        <v>347</v>
      </c>
      <c r="D5" s="121" t="s">
        <v>25</v>
      </c>
      <c r="E5" s="121" t="s">
        <v>348</v>
      </c>
      <c r="F5" s="123" t="s">
        <v>2962</v>
      </c>
    </row>
    <row r="6">
      <c r="A6" s="121">
        <v>2.4101298E7</v>
      </c>
      <c r="B6" s="121" t="s">
        <v>349</v>
      </c>
      <c r="C6" s="122" t="s">
        <v>347</v>
      </c>
      <c r="D6" s="121" t="s">
        <v>25</v>
      </c>
      <c r="E6" s="121" t="s">
        <v>350</v>
      </c>
      <c r="F6" s="123" t="s">
        <v>2963</v>
      </c>
    </row>
    <row r="7">
      <c r="A7" s="121">
        <v>2.4341145E7</v>
      </c>
      <c r="B7" s="121" t="s">
        <v>351</v>
      </c>
      <c r="C7" s="122" t="s">
        <v>347</v>
      </c>
      <c r="D7" s="121" t="s">
        <v>32</v>
      </c>
      <c r="E7" s="121" t="s">
        <v>352</v>
      </c>
      <c r="F7" s="123" t="s">
        <v>2964</v>
      </c>
    </row>
    <row r="8">
      <c r="A8" s="121">
        <v>2.3301038E7</v>
      </c>
      <c r="B8" s="121" t="s">
        <v>353</v>
      </c>
      <c r="C8" s="122" t="s">
        <v>347</v>
      </c>
      <c r="D8" s="121" t="s">
        <v>32</v>
      </c>
      <c r="E8" s="121" t="s">
        <v>354</v>
      </c>
      <c r="F8" s="123" t="s">
        <v>2965</v>
      </c>
    </row>
    <row r="9">
      <c r="A9" s="121">
        <v>2.3301191E7</v>
      </c>
      <c r="B9" s="121" t="s">
        <v>355</v>
      </c>
      <c r="C9" s="122" t="s">
        <v>347</v>
      </c>
      <c r="D9" s="121" t="s">
        <v>32</v>
      </c>
      <c r="E9" s="121" t="s">
        <v>356</v>
      </c>
      <c r="F9" s="123" t="s">
        <v>2966</v>
      </c>
    </row>
    <row r="10">
      <c r="A10" s="121">
        <v>2.2299073E7</v>
      </c>
      <c r="B10" s="121" t="s">
        <v>856</v>
      </c>
      <c r="C10" s="122" t="s">
        <v>853</v>
      </c>
      <c r="D10" s="121" t="s">
        <v>25</v>
      </c>
      <c r="E10" s="121" t="s">
        <v>858</v>
      </c>
      <c r="F10" s="123" t="s">
        <v>857</v>
      </c>
    </row>
    <row r="11">
      <c r="A11" s="121">
        <v>2.3201521E7</v>
      </c>
      <c r="B11" s="121" t="s">
        <v>852</v>
      </c>
      <c r="C11" s="121" t="s">
        <v>853</v>
      </c>
      <c r="D11" s="121" t="s">
        <v>25</v>
      </c>
      <c r="E11" s="121" t="s">
        <v>855</v>
      </c>
      <c r="F11" s="123" t="s">
        <v>854</v>
      </c>
    </row>
    <row r="12">
      <c r="A12" s="121">
        <v>2.2201954E7</v>
      </c>
      <c r="B12" s="121" t="s">
        <v>868</v>
      </c>
      <c r="C12" s="122" t="s">
        <v>853</v>
      </c>
      <c r="D12" s="121" t="s">
        <v>32</v>
      </c>
      <c r="E12" s="121" t="s">
        <v>870</v>
      </c>
      <c r="F12" s="123" t="s">
        <v>869</v>
      </c>
    </row>
    <row r="13">
      <c r="A13" s="121">
        <v>2.3201605E7</v>
      </c>
      <c r="B13" s="121" t="s">
        <v>865</v>
      </c>
      <c r="C13" s="122" t="s">
        <v>853</v>
      </c>
      <c r="D13" s="121" t="s">
        <v>32</v>
      </c>
      <c r="E13" s="121" t="s">
        <v>867</v>
      </c>
      <c r="F13" s="123" t="s">
        <v>866</v>
      </c>
    </row>
    <row r="14">
      <c r="A14" s="121">
        <v>2.3201576E7</v>
      </c>
      <c r="B14" s="121" t="s">
        <v>859</v>
      </c>
      <c r="C14" s="122" t="s">
        <v>853</v>
      </c>
      <c r="D14" s="121" t="s">
        <v>32</v>
      </c>
      <c r="E14" s="121" t="s">
        <v>861</v>
      </c>
      <c r="F14" s="123" t="s">
        <v>860</v>
      </c>
    </row>
    <row r="15">
      <c r="A15" s="121">
        <v>2.3201191E7</v>
      </c>
      <c r="B15" s="121" t="s">
        <v>862</v>
      </c>
      <c r="C15" s="121" t="s">
        <v>853</v>
      </c>
      <c r="D15" s="121" t="s">
        <v>32</v>
      </c>
      <c r="E15" s="121" t="s">
        <v>864</v>
      </c>
      <c r="F15" s="123" t="s">
        <v>863</v>
      </c>
    </row>
    <row r="16">
      <c r="A16" s="121">
        <v>2.2301325E7</v>
      </c>
      <c r="B16" s="121" t="s">
        <v>1940</v>
      </c>
      <c r="C16" s="122" t="s">
        <v>1941</v>
      </c>
      <c r="D16" s="121" t="s">
        <v>25</v>
      </c>
      <c r="E16" s="121" t="s">
        <v>1942</v>
      </c>
      <c r="F16" s="123" t="s">
        <v>2967</v>
      </c>
    </row>
    <row r="17">
      <c r="A17" s="121">
        <v>2.3201509E7</v>
      </c>
      <c r="B17" s="121" t="s">
        <v>1943</v>
      </c>
      <c r="C17" s="122" t="s">
        <v>1941</v>
      </c>
      <c r="D17" s="121" t="s">
        <v>25</v>
      </c>
      <c r="E17" s="121" t="s">
        <v>1944</v>
      </c>
      <c r="F17" s="123" t="s">
        <v>2968</v>
      </c>
    </row>
    <row r="18">
      <c r="A18" s="121">
        <v>2.3301591E7</v>
      </c>
      <c r="B18" s="121" t="s">
        <v>1945</v>
      </c>
      <c r="C18" s="122" t="s">
        <v>1941</v>
      </c>
      <c r="D18" s="121" t="s">
        <v>32</v>
      </c>
      <c r="E18" s="121" t="s">
        <v>1946</v>
      </c>
      <c r="F18" s="123" t="s">
        <v>2969</v>
      </c>
    </row>
    <row r="19">
      <c r="A19" s="121">
        <v>2.3201058E7</v>
      </c>
      <c r="B19" s="121" t="s">
        <v>1947</v>
      </c>
      <c r="C19" s="121" t="s">
        <v>1941</v>
      </c>
      <c r="D19" s="121" t="s">
        <v>32</v>
      </c>
      <c r="E19" s="121" t="s">
        <v>1948</v>
      </c>
      <c r="F19" s="123" t="s">
        <v>2970</v>
      </c>
    </row>
    <row r="20">
      <c r="A20" s="121">
        <v>2.2301342E7</v>
      </c>
      <c r="B20" s="121" t="s">
        <v>6</v>
      </c>
      <c r="C20" s="122" t="s">
        <v>7</v>
      </c>
      <c r="E20" s="121" t="s">
        <v>10</v>
      </c>
      <c r="F20" s="123" t="s">
        <v>9</v>
      </c>
    </row>
    <row r="21">
      <c r="A21" s="121">
        <v>2.2299279E7</v>
      </c>
      <c r="B21" s="121" t="s">
        <v>15</v>
      </c>
      <c r="C21" s="122" t="s">
        <v>7</v>
      </c>
      <c r="E21" s="121" t="s">
        <v>18</v>
      </c>
      <c r="F21" s="123" t="s">
        <v>17</v>
      </c>
    </row>
    <row r="22">
      <c r="A22" s="121">
        <v>2.3301051E7</v>
      </c>
      <c r="B22" s="121" t="s">
        <v>2971</v>
      </c>
      <c r="C22" s="122" t="s">
        <v>7</v>
      </c>
      <c r="E22" s="121" t="s">
        <v>22</v>
      </c>
      <c r="F22" s="123" t="s">
        <v>21</v>
      </c>
    </row>
    <row r="23">
      <c r="A23" s="121">
        <v>2.3201293E7</v>
      </c>
      <c r="B23" s="121" t="s">
        <v>11</v>
      </c>
      <c r="C23" s="121" t="s">
        <v>7</v>
      </c>
      <c r="E23" s="121" t="s">
        <v>14</v>
      </c>
      <c r="F23" s="123" t="s">
        <v>13</v>
      </c>
    </row>
    <row r="24">
      <c r="A24" s="121">
        <v>2.2201884E7</v>
      </c>
      <c r="B24" s="121" t="s">
        <v>2217</v>
      </c>
      <c r="C24" s="122" t="s">
        <v>2214</v>
      </c>
      <c r="D24" s="121" t="s">
        <v>25</v>
      </c>
      <c r="E24" s="121" t="s">
        <v>2219</v>
      </c>
      <c r="F24" s="123" t="s">
        <v>2218</v>
      </c>
    </row>
    <row r="25">
      <c r="A25" s="121">
        <v>2.3201315E7</v>
      </c>
      <c r="B25" s="121" t="s">
        <v>2213</v>
      </c>
      <c r="C25" s="122" t="s">
        <v>2214</v>
      </c>
      <c r="D25" s="121" t="s">
        <v>25</v>
      </c>
      <c r="E25" s="121" t="s">
        <v>2216</v>
      </c>
      <c r="F25" s="123" t="s">
        <v>2215</v>
      </c>
    </row>
    <row r="26">
      <c r="A26" s="121">
        <v>2.3301334E7</v>
      </c>
      <c r="B26" s="121" t="s">
        <v>2223</v>
      </c>
      <c r="C26" s="122" t="s">
        <v>2214</v>
      </c>
      <c r="D26" s="121" t="s">
        <v>32</v>
      </c>
      <c r="E26" s="121" t="s">
        <v>2225</v>
      </c>
      <c r="F26" s="123" t="s">
        <v>2224</v>
      </c>
    </row>
    <row r="27">
      <c r="A27" s="121">
        <v>2.2201676E7</v>
      </c>
      <c r="B27" s="121" t="s">
        <v>2220</v>
      </c>
      <c r="C27" s="122" t="s">
        <v>2214</v>
      </c>
      <c r="D27" s="121" t="s">
        <v>32</v>
      </c>
      <c r="E27" s="121" t="s">
        <v>2222</v>
      </c>
      <c r="F27" s="123" t="s">
        <v>2221</v>
      </c>
    </row>
    <row r="28">
      <c r="A28" s="121">
        <v>2.3101364E7</v>
      </c>
      <c r="B28" s="121" t="s">
        <v>2468</v>
      </c>
      <c r="C28" s="122" t="s">
        <v>2972</v>
      </c>
      <c r="D28" s="121" t="s">
        <v>25</v>
      </c>
      <c r="E28" s="121" t="s">
        <v>2470</v>
      </c>
      <c r="F28" s="123" t="s">
        <v>2973</v>
      </c>
    </row>
    <row r="29">
      <c r="A29" s="121">
        <v>2.2201631E7</v>
      </c>
      <c r="B29" s="121" t="s">
        <v>2471</v>
      </c>
      <c r="C29" s="122" t="s">
        <v>2972</v>
      </c>
      <c r="D29" s="121" t="s">
        <v>32</v>
      </c>
      <c r="E29" s="121" t="s">
        <v>2472</v>
      </c>
      <c r="F29" s="123" t="s">
        <v>2974</v>
      </c>
    </row>
    <row r="30">
      <c r="A30" s="121">
        <v>2.4241267E7</v>
      </c>
      <c r="B30" s="121" t="s">
        <v>2473</v>
      </c>
      <c r="C30" s="122" t="s">
        <v>2972</v>
      </c>
      <c r="D30" s="121" t="s">
        <v>32</v>
      </c>
      <c r="E30" s="121" t="s">
        <v>2474</v>
      </c>
      <c r="F30" s="123" t="s">
        <v>2975</v>
      </c>
    </row>
    <row r="31">
      <c r="A31" s="121">
        <v>2.2299282E7</v>
      </c>
      <c r="B31" s="121" t="s">
        <v>2676</v>
      </c>
      <c r="C31" s="122" t="s">
        <v>2673</v>
      </c>
      <c r="D31" s="121" t="s">
        <v>25</v>
      </c>
      <c r="E31" s="121" t="s">
        <v>2678</v>
      </c>
      <c r="F31" s="123" t="s">
        <v>2677</v>
      </c>
    </row>
    <row r="32">
      <c r="A32" s="121">
        <v>2.4101236E7</v>
      </c>
      <c r="B32" s="121" t="s">
        <v>2672</v>
      </c>
      <c r="C32" s="122" t="s">
        <v>2673</v>
      </c>
      <c r="D32" s="121" t="s">
        <v>25</v>
      </c>
      <c r="E32" s="121" t="s">
        <v>2675</v>
      </c>
      <c r="F32" s="123" t="s">
        <v>2674</v>
      </c>
    </row>
    <row r="33">
      <c r="A33" s="121">
        <v>2.2201577E7</v>
      </c>
      <c r="B33" s="121" t="s">
        <v>2682</v>
      </c>
      <c r="C33" s="122" t="s">
        <v>2673</v>
      </c>
      <c r="D33" s="121" t="s">
        <v>32</v>
      </c>
      <c r="E33" s="121" t="s">
        <v>2684</v>
      </c>
      <c r="F33" s="123" t="s">
        <v>2683</v>
      </c>
    </row>
    <row r="34">
      <c r="A34" s="121">
        <v>2.2201258E7</v>
      </c>
      <c r="B34" s="121" t="s">
        <v>2679</v>
      </c>
      <c r="C34" s="122" t="s">
        <v>2673</v>
      </c>
      <c r="D34" s="121" t="s">
        <v>32</v>
      </c>
      <c r="E34" s="121" t="s">
        <v>2681</v>
      </c>
      <c r="F34" s="123" t="s">
        <v>2680</v>
      </c>
    </row>
  </sheetData>
  <autoFilter ref="$B$1:$F$34">
    <sortState ref="B1:F34">
      <sortCondition ref="C1:C34"/>
      <sortCondition descending="1" ref="D1:D34"/>
      <sortCondition descending="1" ref="E1:E34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28.13"/>
    <col customWidth="1" min="3" max="3" width="15.5"/>
    <col customWidth="1" min="4" max="4" width="35.13"/>
  </cols>
  <sheetData>
    <row r="1" ht="22.5" customHeight="1">
      <c r="A1" s="124" t="s">
        <v>2976</v>
      </c>
      <c r="B1" s="124" t="s">
        <v>1</v>
      </c>
      <c r="C1" s="124" t="s">
        <v>3</v>
      </c>
      <c r="D1" s="124" t="s">
        <v>5</v>
      </c>
    </row>
    <row r="2" ht="22.5" customHeight="1">
      <c r="A2" s="125"/>
      <c r="B2" s="125"/>
      <c r="C2" s="125"/>
      <c r="D2" s="125"/>
    </row>
    <row r="3" ht="22.5" customHeight="1">
      <c r="A3" s="125">
        <f>IFERROR(__xludf.DUMMYFUNCTION("FILTER({All_Members!A2:A3556, All_Members!B2:B3556, All_Members!D2:D3556, All_Members!F2:F3556}, All_Members!C2:C3556 = ""Communication and Marketing"")"),2.3201136E7)</f>
        <v>23201136</v>
      </c>
      <c r="B3" s="125" t="str">
        <f>IFERROR(__xludf.DUMMYFUNCTION("""COMPUTED_VALUE"""),"Zawad Ahsan")</f>
        <v>Zawad Ahsan</v>
      </c>
      <c r="C3" s="125" t="str">
        <f>IFERROR(__xludf.DUMMYFUNCTION("""COMPUTED_VALUE"""),"Director")</f>
        <v>Director</v>
      </c>
      <c r="D3" s="125" t="str">
        <f>IFERROR(__xludf.DUMMYFUNCTION("""COMPUTED_VALUE"""),"zawad.ahsan@g.bracu.ac.bd")</f>
        <v>zawad.ahsan@g.bracu.ac.bd</v>
      </c>
    </row>
    <row r="4" ht="22.5" customHeight="1">
      <c r="A4" s="125">
        <f>IFERROR(__xludf.DUMMYFUNCTION("""COMPUTED_VALUE"""),2.3201116E7)</f>
        <v>23201116</v>
      </c>
      <c r="B4" s="125" t="str">
        <f>IFERROR(__xludf.DUMMYFUNCTION("""COMPUTED_VALUE"""),"Nishat Tasnim Zannat")</f>
        <v>Nishat Tasnim Zannat</v>
      </c>
      <c r="C4" s="125" t="str">
        <f>IFERROR(__xludf.DUMMYFUNCTION("""COMPUTED_VALUE"""),"Director")</f>
        <v>Director</v>
      </c>
      <c r="D4" s="125" t="str">
        <f>IFERROR(__xludf.DUMMYFUNCTION("""COMPUTED_VALUE"""),"nishat.tasnim.zannat@g.bracu.ac.bd")</f>
        <v>nishat.tasnim.zannat@g.bracu.ac.bd</v>
      </c>
    </row>
    <row r="5" ht="22.5" customHeight="1">
      <c r="A5" s="125">
        <f>IFERROR(__xludf.DUMMYFUNCTION("""COMPUTED_VALUE"""),2.3301427E7)</f>
        <v>23301427</v>
      </c>
      <c r="B5" s="125" t="str">
        <f>IFERROR(__xludf.DUMMYFUNCTION("""COMPUTED_VALUE"""),"Kazi Jawad")</f>
        <v>Kazi Jawad</v>
      </c>
      <c r="C5" s="125" t="str">
        <f>IFERROR(__xludf.DUMMYFUNCTION("""COMPUTED_VALUE"""),"Assistant Director")</f>
        <v>Assistant Director</v>
      </c>
      <c r="D5" s="125" t="str">
        <f>IFERROR(__xludf.DUMMYFUNCTION("""COMPUTED_VALUE"""),"kazi.jawad@g.bracu.ac.bd")</f>
        <v>kazi.jawad@g.bracu.ac.bd</v>
      </c>
    </row>
    <row r="6" ht="22.5" customHeight="1">
      <c r="A6" s="125">
        <f>IFERROR(__xludf.DUMMYFUNCTION("""COMPUTED_VALUE"""),2.4301219E7)</f>
        <v>24301219</v>
      </c>
      <c r="B6" s="125" t="str">
        <f>IFERROR(__xludf.DUMMYFUNCTION("""COMPUTED_VALUE"""),"Md. Ishtiaq Mozumder")</f>
        <v>Md. Ishtiaq Mozumder</v>
      </c>
      <c r="C6" s="125" t="str">
        <f>IFERROR(__xludf.DUMMYFUNCTION("""COMPUTED_VALUE"""),"Senior Executive")</f>
        <v>Senior Executive</v>
      </c>
      <c r="D6" s="125" t="str">
        <f>IFERROR(__xludf.DUMMYFUNCTION("""COMPUTED_VALUE"""),"md.ishtiaq.mozumder@g.bracu.ac.bd")</f>
        <v>md.ishtiaq.mozumder@g.bracu.ac.bd</v>
      </c>
    </row>
    <row r="7" ht="22.5" customHeight="1">
      <c r="A7" s="125">
        <f>IFERROR(__xludf.DUMMYFUNCTION("""COMPUTED_VALUE"""),2.3201623E7)</f>
        <v>23201623</v>
      </c>
      <c r="B7" s="125" t="str">
        <f>IFERROR(__xludf.DUMMYFUNCTION("""COMPUTED_VALUE"""),"S.M.Abrar Shaleheen")</f>
        <v>S.M.Abrar Shaleheen</v>
      </c>
      <c r="C7" s="125" t="str">
        <f>IFERROR(__xludf.DUMMYFUNCTION("""COMPUTED_VALUE"""),"Senior Executive")</f>
        <v>Senior Executive</v>
      </c>
      <c r="D7" s="125" t="str">
        <f>IFERROR(__xludf.DUMMYFUNCTION("""COMPUTED_VALUE"""),"sm.abrar.shaleheen@g.bracu.ac.bd")</f>
        <v>sm.abrar.shaleheen@g.bracu.ac.bd</v>
      </c>
    </row>
    <row r="8" ht="22.5" customHeight="1">
      <c r="A8" s="125">
        <f>IFERROR(__xludf.DUMMYFUNCTION("""COMPUTED_VALUE"""),2.4101583E7)</f>
        <v>24101583</v>
      </c>
      <c r="B8" s="125" t="str">
        <f>IFERROR(__xludf.DUMMYFUNCTION("""COMPUTED_VALUE"""),"Ahsan Abid Razin")</f>
        <v>Ahsan Abid Razin</v>
      </c>
      <c r="C8" s="125" t="str">
        <f>IFERROR(__xludf.DUMMYFUNCTION("""COMPUTED_VALUE"""),"Senior Executive")</f>
        <v>Senior Executive</v>
      </c>
      <c r="D8" s="125" t="str">
        <f>IFERROR(__xludf.DUMMYFUNCTION("""COMPUTED_VALUE"""),"ahsan.abid.razin@g.bracu.ac.bd")</f>
        <v>ahsan.abid.razin@g.bracu.ac.bd</v>
      </c>
    </row>
    <row r="9" ht="22.5" customHeight="1">
      <c r="A9" s="125">
        <f>IFERROR(__xludf.DUMMYFUNCTION("""COMPUTED_VALUE"""),2.4201101E7)</f>
        <v>24201101</v>
      </c>
      <c r="B9" s="125" t="str">
        <f>IFERROR(__xludf.DUMMYFUNCTION("""COMPUTED_VALUE"""),"Manjura Nuha")</f>
        <v>Manjura Nuha</v>
      </c>
      <c r="C9" s="125" t="str">
        <f>IFERROR(__xludf.DUMMYFUNCTION("""COMPUTED_VALUE"""),"Senior Executive")</f>
        <v>Senior Executive</v>
      </c>
      <c r="D9" s="125" t="str">
        <f>IFERROR(__xludf.DUMMYFUNCTION("""COMPUTED_VALUE"""),"manjura.nuha@g.bracu.ac.bd")</f>
        <v>manjura.nuha@g.bracu.ac.bd</v>
      </c>
    </row>
    <row r="10" ht="22.5" customHeight="1">
      <c r="A10" s="125">
        <f>IFERROR(__xludf.DUMMYFUNCTION("""COMPUTED_VALUE"""),1.000054682E9)</f>
        <v>1000054682</v>
      </c>
      <c r="B10" s="125" t="str">
        <f>IFERROR(__xludf.DUMMYFUNCTION("""COMPUTED_VALUE"""),"Tahmina Aktar")</f>
        <v>Tahmina Aktar</v>
      </c>
      <c r="C10" s="125" t="str">
        <f>IFERROR(__xludf.DUMMYFUNCTION("""COMPUTED_VALUE"""),"Executive")</f>
        <v>Executive</v>
      </c>
      <c r="D10" s="125" t="str">
        <f>IFERROR(__xludf.DUMMYFUNCTION("""COMPUTED_VALUE"""),"tahmina.aktar@g.bracu.ac.bd")</f>
        <v>tahmina.aktar@g.bracu.ac.bd</v>
      </c>
    </row>
    <row r="11" ht="22.5" customHeight="1">
      <c r="A11" s="125">
        <f>IFERROR(__xludf.DUMMYFUNCTION("""COMPUTED_VALUE"""),1.000057079E9)</f>
        <v>1000057079</v>
      </c>
      <c r="B11" s="125" t="str">
        <f>IFERROR(__xludf.DUMMYFUNCTION("""COMPUTED_VALUE"""),"Showmit Ghosh")</f>
        <v>Showmit Ghosh</v>
      </c>
      <c r="C11" s="125" t="str">
        <f>IFERROR(__xludf.DUMMYFUNCTION("""COMPUTED_VALUE"""),"Executive")</f>
        <v>Executive</v>
      </c>
      <c r="D11" s="125" t="str">
        <f>IFERROR(__xludf.DUMMYFUNCTION("""COMPUTED_VALUE"""),"showmit.ghosh@g.bracu.ac.bd")</f>
        <v>showmit.ghosh@g.bracu.ac.bd</v>
      </c>
    </row>
    <row r="12" ht="22.5" customHeight="1">
      <c r="A12" s="125">
        <f>IFERROR(__xludf.DUMMYFUNCTION("""COMPUTED_VALUE"""),2.4101235E7)</f>
        <v>24101235</v>
      </c>
      <c r="B12" s="125" t="str">
        <f>IFERROR(__xludf.DUMMYFUNCTION("""COMPUTED_VALUE"""),"Md. Fardin Bashar")</f>
        <v>Md. Fardin Bashar</v>
      </c>
      <c r="C12" s="125" t="str">
        <f>IFERROR(__xludf.DUMMYFUNCTION("""COMPUTED_VALUE"""),"Senior Executive")</f>
        <v>Senior Executive</v>
      </c>
      <c r="D12" s="125" t="str">
        <f>IFERROR(__xludf.DUMMYFUNCTION("""COMPUTED_VALUE"""),"md.fardin.bashar@g.bracu.ac.bd")</f>
        <v>md.fardin.bashar@g.bracu.ac.bd</v>
      </c>
    </row>
    <row r="13" ht="22.5" customHeight="1">
      <c r="A13" s="125">
        <f>IFERROR(__xludf.DUMMYFUNCTION("""COMPUTED_VALUE"""),1.000054931E9)</f>
        <v>1000054931</v>
      </c>
      <c r="B13" s="125" t="str">
        <f>IFERROR(__xludf.DUMMYFUNCTION("""COMPUTED_VALUE"""),"Sufian Amin Nabil")</f>
        <v>Sufian Amin Nabil</v>
      </c>
      <c r="C13" s="125" t="str">
        <f>IFERROR(__xludf.DUMMYFUNCTION("""COMPUTED_VALUE"""),"Senior Executive")</f>
        <v>Senior Executive</v>
      </c>
      <c r="D13" s="125" t="str">
        <f>IFERROR(__xludf.DUMMYFUNCTION("""COMPUTED_VALUE"""),"sufian.amin.nabil@g.bracu.ac.bd")</f>
        <v>sufian.amin.nabil@g.bracu.ac.bd</v>
      </c>
    </row>
    <row r="14" ht="22.5" customHeight="1">
      <c r="A14" s="125">
        <f>IFERROR(__xludf.DUMMYFUNCTION("""COMPUTED_VALUE"""),2.4301268E7)</f>
        <v>24301268</v>
      </c>
      <c r="B14" s="125" t="str">
        <f>IFERROR(__xludf.DUMMYFUNCTION("""COMPUTED_VALUE"""),"Sabikun Nahar Nisat")</f>
        <v>Sabikun Nahar Nisat</v>
      </c>
      <c r="C14" s="125" t="str">
        <f>IFERROR(__xludf.DUMMYFUNCTION("""COMPUTED_VALUE"""),"Senior Executive")</f>
        <v>Senior Executive</v>
      </c>
      <c r="D14" s="125" t="str">
        <f>IFERROR(__xludf.DUMMYFUNCTION("""COMPUTED_VALUE"""),"sabikun.nahar.nisat@g.bracu.ac.bd")</f>
        <v>sabikun.nahar.nisat@g.bracu.ac.bd</v>
      </c>
    </row>
    <row r="15" ht="22.5" customHeight="1">
      <c r="A15" s="125">
        <f>IFERROR(__xludf.DUMMYFUNCTION("""COMPUTED_VALUE"""),2.4301388E7)</f>
        <v>24301388</v>
      </c>
      <c r="B15" s="125" t="str">
        <f>IFERROR(__xludf.DUMMYFUNCTION("""COMPUTED_VALUE"""),"Rehnuma Tasmim Raisa")</f>
        <v>Rehnuma Tasmim Raisa</v>
      </c>
      <c r="C15" s="125" t="str">
        <f>IFERROR(__xludf.DUMMYFUNCTION("""COMPUTED_VALUE"""),"Executive")</f>
        <v>Executive</v>
      </c>
      <c r="D15" s="125" t="str">
        <f>IFERROR(__xludf.DUMMYFUNCTION("""COMPUTED_VALUE"""),"rehnuma.tasmim.raisa@g.bracu.ac.bd")</f>
        <v>rehnuma.tasmim.raisa@g.bracu.ac.bd</v>
      </c>
    </row>
    <row r="16" ht="22.5" customHeight="1">
      <c r="A16" s="125">
        <f>IFERROR(__xludf.DUMMYFUNCTION("""COMPUTED_VALUE"""),2.2101673E7)</f>
        <v>22101673</v>
      </c>
      <c r="B16" s="125" t="str">
        <f>IFERROR(__xludf.DUMMYFUNCTION("""COMPUTED_VALUE"""),"Wahida Hoque Syeda")</f>
        <v>Wahida Hoque Syeda</v>
      </c>
      <c r="C16" s="125" t="str">
        <f>IFERROR(__xludf.DUMMYFUNCTION("""COMPUTED_VALUE"""),"Executive")</f>
        <v>Executive</v>
      </c>
      <c r="D16" s="125" t="str">
        <f>IFERROR(__xludf.DUMMYFUNCTION("""COMPUTED_VALUE"""),"wahida.hoque.syeda@g.bracu.ac.bd")</f>
        <v>wahida.hoque.syeda@g.bracu.ac.bd</v>
      </c>
    </row>
    <row r="17" ht="22.5" customHeight="1">
      <c r="A17" s="125">
        <f>IFERROR(__xludf.DUMMYFUNCTION("""COMPUTED_VALUE"""),2.2301379E7)</f>
        <v>22301379</v>
      </c>
      <c r="B17" s="125" t="str">
        <f>IFERROR(__xludf.DUMMYFUNCTION("""COMPUTED_VALUE"""),"MD. Fahim Faysal Tamim")</f>
        <v>MD. Fahim Faysal Tamim</v>
      </c>
      <c r="C17" s="125" t="str">
        <f>IFERROR(__xludf.DUMMYFUNCTION("""COMPUTED_VALUE"""),"Executive")</f>
        <v>Executive</v>
      </c>
      <c r="D17" s="125" t="str">
        <f>IFERROR(__xludf.DUMMYFUNCTION("""COMPUTED_VALUE"""),"fahim.faysal.tamim@g.bracu.ac.bd")</f>
        <v>fahim.faysal.tamim@g.bracu.ac.bd</v>
      </c>
    </row>
    <row r="18" ht="22.5" customHeight="1">
      <c r="A18" s="125">
        <f>IFERROR(__xludf.DUMMYFUNCTION("""COMPUTED_VALUE"""),2.3221134E7)</f>
        <v>23221134</v>
      </c>
      <c r="B18" s="125" t="str">
        <f>IFERROR(__xludf.DUMMYFUNCTION("""COMPUTED_VALUE"""),"Muhammad Fahim Faisal")</f>
        <v>Muhammad Fahim Faisal</v>
      </c>
      <c r="C18" s="125" t="str">
        <f>IFERROR(__xludf.DUMMYFUNCTION("""COMPUTED_VALUE"""),"Executive")</f>
        <v>Executive</v>
      </c>
      <c r="D18" s="125" t="str">
        <f>IFERROR(__xludf.DUMMYFUNCTION("""COMPUTED_VALUE"""),"muhammad.fahim.faisal@g.bracu.ac.bd")</f>
        <v>muhammad.fahim.faisal@g.bracu.ac.bd</v>
      </c>
    </row>
    <row r="19" ht="22.5" customHeight="1">
      <c r="A19" s="125">
        <f>IFERROR(__xludf.DUMMYFUNCTION("""COMPUTED_VALUE"""),2.2241042E7)</f>
        <v>22241042</v>
      </c>
      <c r="B19" s="125" t="str">
        <f>IFERROR(__xludf.DUMMYFUNCTION("""COMPUTED_VALUE"""),"Habibun Nabi")</f>
        <v>Habibun Nabi</v>
      </c>
      <c r="C19" s="125" t="str">
        <f>IFERROR(__xludf.DUMMYFUNCTION("""COMPUTED_VALUE"""),"Executive")</f>
        <v>Executive</v>
      </c>
      <c r="D19" s="125" t="str">
        <f>IFERROR(__xludf.DUMMYFUNCTION("""COMPUTED_VALUE"""),"habibun.nabi.hemel@g.bracu.ac.bd")</f>
        <v>habibun.nabi.hemel@g.bracu.ac.bd</v>
      </c>
    </row>
    <row r="20" ht="22.5" customHeight="1">
      <c r="A20" s="125">
        <f>IFERROR(__xludf.DUMMYFUNCTION("""COMPUTED_VALUE"""),2.4121298E7)</f>
        <v>24121298</v>
      </c>
      <c r="B20" s="125" t="str">
        <f>IFERROR(__xludf.DUMMYFUNCTION("""COMPUTED_VALUE"""),"Prothom Deshmukhya")</f>
        <v>Prothom Deshmukhya</v>
      </c>
      <c r="C20" s="125" t="str">
        <f>IFERROR(__xludf.DUMMYFUNCTION("""COMPUTED_VALUE"""),"Executive")</f>
        <v>Executive</v>
      </c>
      <c r="D20" s="125" t="str">
        <f>IFERROR(__xludf.DUMMYFUNCTION("""COMPUTED_VALUE"""),"prothom.deshmukhya@g.bracu.ac.bd")</f>
        <v>prothom.deshmukhya@g.bracu.ac.bd</v>
      </c>
    </row>
    <row r="21" ht="22.5" customHeight="1">
      <c r="A21" s="125">
        <f>IFERROR(__xludf.DUMMYFUNCTION("""COMPUTED_VALUE"""),2.4201116E7)</f>
        <v>24201116</v>
      </c>
      <c r="B21" s="125" t="str">
        <f>IFERROR(__xludf.DUMMYFUNCTION("""COMPUTED_VALUE"""),"Zarif Tausif Ahmed Nafi")</f>
        <v>Zarif Tausif Ahmed Nafi</v>
      </c>
      <c r="C21" s="125" t="str">
        <f>IFERROR(__xludf.DUMMYFUNCTION("""COMPUTED_VALUE"""),"Executive")</f>
        <v>Executive</v>
      </c>
      <c r="D21" s="125" t="str">
        <f>IFERROR(__xludf.DUMMYFUNCTION("""COMPUTED_VALUE"""),"zarif.tausif.ahmed@g.bracu.ac.bd")</f>
        <v>zarif.tausif.ahmed@g.bracu.ac.bd</v>
      </c>
    </row>
    <row r="22" ht="22.5" customHeight="1">
      <c r="A22" s="125">
        <f>IFERROR(__xludf.DUMMYFUNCTION("""COMPUTED_VALUE"""),2.4201234E7)</f>
        <v>24201234</v>
      </c>
      <c r="B22" s="125" t="str">
        <f>IFERROR(__xludf.DUMMYFUNCTION("""COMPUTED_VALUE"""),"Nujaimah Simrin")</f>
        <v>Nujaimah Simrin</v>
      </c>
      <c r="C22" s="125" t="str">
        <f>IFERROR(__xludf.DUMMYFUNCTION("""COMPUTED_VALUE"""),"Executive")</f>
        <v>Executive</v>
      </c>
      <c r="D22" s="125" t="str">
        <f>IFERROR(__xludf.DUMMYFUNCTION("""COMPUTED_VALUE"""),"nujaimah.simrin@g.bracu.ac.bd")</f>
        <v>nujaimah.simrin@g.bracu.ac.bd</v>
      </c>
    </row>
    <row r="23" ht="22.5" customHeight="1">
      <c r="A23" s="125">
        <f>IFERROR(__xludf.DUMMYFUNCTION("""COMPUTED_VALUE"""),2.4201032E7)</f>
        <v>24201032</v>
      </c>
      <c r="B23" s="125" t="str">
        <f>IFERROR(__xludf.DUMMYFUNCTION("""COMPUTED_VALUE"""),"Rumman Ahmed")</f>
        <v>Rumman Ahmed</v>
      </c>
      <c r="C23" s="125" t="str">
        <f>IFERROR(__xludf.DUMMYFUNCTION("""COMPUTED_VALUE"""),"Executive")</f>
        <v>Executive</v>
      </c>
      <c r="D23" s="125" t="str">
        <f>IFERROR(__xludf.DUMMYFUNCTION("""COMPUTED_VALUE"""),"rumman.ahmed@g.bracu.ac.bd")</f>
        <v>rumman.ahmed@g.bracu.ac.bd</v>
      </c>
    </row>
    <row r="24" ht="22.5" customHeight="1">
      <c r="A24" s="125">
        <f>IFERROR(__xludf.DUMMYFUNCTION("""COMPUTED_VALUE"""),2.4301361E7)</f>
        <v>24301361</v>
      </c>
      <c r="B24" s="125" t="str">
        <f>IFERROR(__xludf.DUMMYFUNCTION("""COMPUTED_VALUE"""),"Afra Ibnat")</f>
        <v>Afra Ibnat</v>
      </c>
      <c r="C24" s="125" t="str">
        <f>IFERROR(__xludf.DUMMYFUNCTION("""COMPUTED_VALUE"""),"Executive")</f>
        <v>Executive</v>
      </c>
      <c r="D24" s="125" t="str">
        <f>IFERROR(__xludf.DUMMYFUNCTION("""COMPUTED_VALUE"""),"afra.ibnat1@g.bracu.ac.bd")</f>
        <v>afra.ibnat1@g.bracu.ac.bd</v>
      </c>
    </row>
    <row r="25" ht="22.5" customHeight="1">
      <c r="A25" s="125">
        <f>IFERROR(__xludf.DUMMYFUNCTION("""COMPUTED_VALUE"""),2.3201453E7)</f>
        <v>23201453</v>
      </c>
      <c r="B25" s="125" t="str">
        <f>IFERROR(__xludf.DUMMYFUNCTION("""COMPUTED_VALUE"""),"Iftakhar Islam Sagor")</f>
        <v>Iftakhar Islam Sagor</v>
      </c>
      <c r="C25" s="125" t="str">
        <f>IFERROR(__xludf.DUMMYFUNCTION("""COMPUTED_VALUE"""),"Executive")</f>
        <v>Executive</v>
      </c>
      <c r="D25" s="125" t="str">
        <f>IFERROR(__xludf.DUMMYFUNCTION("""COMPUTED_VALUE"""),"iftakhar.islam.sagor@g.bracu.ac.bd")</f>
        <v>iftakhar.islam.sagor@g.bracu.ac.bd</v>
      </c>
    </row>
    <row r="26" ht="22.5" customHeight="1">
      <c r="A26" s="125">
        <f>IFERROR(__xludf.DUMMYFUNCTION("""COMPUTED_VALUE"""),2.4304082E7)</f>
        <v>24304082</v>
      </c>
      <c r="B26" s="125" t="str">
        <f>IFERROR(__xludf.DUMMYFUNCTION("""COMPUTED_VALUE"""),"Jabir Ahsan")</f>
        <v>Jabir Ahsan</v>
      </c>
      <c r="C26" s="125" t="str">
        <f>IFERROR(__xludf.DUMMYFUNCTION("""COMPUTED_VALUE"""),"Executive")</f>
        <v>Executive</v>
      </c>
      <c r="D26" s="125" t="str">
        <f>IFERROR(__xludf.DUMMYFUNCTION("""COMPUTED_VALUE"""),"jabir.ahsan@g.bracu.ac.bd")</f>
        <v>jabir.ahsan@g.bracu.ac.bd</v>
      </c>
    </row>
    <row r="27" ht="22.5" customHeight="1">
      <c r="A27" s="125">
        <f>IFERROR(__xludf.DUMMYFUNCTION("""COMPUTED_VALUE"""),2.4215018E7)</f>
        <v>24215018</v>
      </c>
      <c r="B27" s="125" t="str">
        <f>IFERROR(__xludf.DUMMYFUNCTION("""COMPUTED_VALUE"""),"SWAPNEEL BISWAS BARNO")</f>
        <v>SWAPNEEL BISWAS BARNO</v>
      </c>
      <c r="C27" s="125" t="str">
        <f>IFERROR(__xludf.DUMMYFUNCTION("""COMPUTED_VALUE"""),"Executive")</f>
        <v>Executive</v>
      </c>
      <c r="D27" s="125" t="str">
        <f>IFERROR(__xludf.DUMMYFUNCTION("""COMPUTED_VALUE"""),"swapneel.biswas.barno@g.bracu.ac.bd")</f>
        <v>swapneel.biswas.barno@g.bracu.ac.bd</v>
      </c>
    </row>
    <row r="28" ht="22.5" customHeight="1">
      <c r="A28" s="125">
        <f>IFERROR(__xludf.DUMMYFUNCTION("""COMPUTED_VALUE"""),2.4201045E7)</f>
        <v>24201045</v>
      </c>
      <c r="B28" s="125" t="str">
        <f>IFERROR(__xludf.DUMMYFUNCTION("""COMPUTED_VALUE"""),"Sabiha Sabrin Oritry")</f>
        <v>Sabiha Sabrin Oritry</v>
      </c>
      <c r="C28" s="125" t="str">
        <f>IFERROR(__xludf.DUMMYFUNCTION("""COMPUTED_VALUE"""),"Executive")</f>
        <v>Executive</v>
      </c>
      <c r="D28" s="125" t="str">
        <f>IFERROR(__xludf.DUMMYFUNCTION("""COMPUTED_VALUE"""),"sabiha.sabrin.oritry@g.bracu.ac.bd")</f>
        <v>sabiha.sabrin.oritry@g.bracu.ac.bd</v>
      </c>
    </row>
    <row r="29" ht="22.5" customHeight="1">
      <c r="A29" s="125">
        <f>IFERROR(__xludf.DUMMYFUNCTION("""COMPUTED_VALUE"""),2.4201412E7)</f>
        <v>24201412</v>
      </c>
      <c r="B29" s="125" t="str">
        <f>IFERROR(__xludf.DUMMYFUNCTION("""COMPUTED_VALUE"""),"Nusaiba Chowdhury")</f>
        <v>Nusaiba Chowdhury</v>
      </c>
      <c r="C29" s="125" t="str">
        <f>IFERROR(__xludf.DUMMYFUNCTION("""COMPUTED_VALUE"""),"Executive")</f>
        <v>Executive</v>
      </c>
      <c r="D29" s="125" t="str">
        <f>IFERROR(__xludf.DUMMYFUNCTION("""COMPUTED_VALUE"""),"nusaiba.chowdhury@g.bracu.ac.bd")</f>
        <v>nusaiba.chowdhury@g.bracu.ac.bd</v>
      </c>
    </row>
    <row r="30" ht="22.5" customHeight="1">
      <c r="A30" s="125">
        <f>IFERROR(__xludf.DUMMYFUNCTION("""COMPUTED_VALUE"""),1.000055205E9)</f>
        <v>1000055205</v>
      </c>
      <c r="B30" s="125" t="str">
        <f>IFERROR(__xludf.DUMMYFUNCTION("""COMPUTED_VALUE"""),"Saumik Das")</f>
        <v>Saumik Das</v>
      </c>
      <c r="C30" s="125" t="str">
        <f>IFERROR(__xludf.DUMMYFUNCTION("""COMPUTED_VALUE"""),"Executive")</f>
        <v>Executive</v>
      </c>
      <c r="D30" s="125" t="str">
        <f>IFERROR(__xludf.DUMMYFUNCTION("""COMPUTED_VALUE"""),"saumik.das1@g.bracu.ac.bd")</f>
        <v>saumik.das1@g.bracu.ac.bd</v>
      </c>
    </row>
    <row r="31" ht="22.5" customHeight="1">
      <c r="A31" s="125">
        <f>IFERROR(__xludf.DUMMYFUNCTION("""COMPUTED_VALUE"""),1.000056892E9)</f>
        <v>1000056892</v>
      </c>
      <c r="B31" s="125" t="str">
        <f>IFERROR(__xludf.DUMMYFUNCTION("""COMPUTED_VALUE"""),"Md. Atik Hossain Dip")</f>
        <v>Md. Atik Hossain Dip</v>
      </c>
      <c r="C31" s="125" t="str">
        <f>IFERROR(__xludf.DUMMYFUNCTION("""COMPUTED_VALUE"""),"Executive")</f>
        <v>Executive</v>
      </c>
      <c r="D31" s="125" t="str">
        <f>IFERROR(__xludf.DUMMYFUNCTION("""COMPUTED_VALUE"""),"atik.hossain.dip@g.bracu.ac.bd")</f>
        <v>atik.hossain.dip@g.bracu.ac.bd</v>
      </c>
    </row>
    <row r="32" ht="22.5" customHeight="1">
      <c r="A32" s="125">
        <f>IFERROR(__xludf.DUMMYFUNCTION("""COMPUTED_VALUE"""),1.000055037E9)</f>
        <v>1000055037</v>
      </c>
      <c r="B32" s="125" t="str">
        <f>IFERROR(__xludf.DUMMYFUNCTION("""COMPUTED_VALUE"""),"Nirupom Paul Ullash")</f>
        <v>Nirupom Paul Ullash</v>
      </c>
      <c r="C32" s="125" t="str">
        <f>IFERROR(__xludf.DUMMYFUNCTION("""COMPUTED_VALUE"""),"Executive")</f>
        <v>Executive</v>
      </c>
      <c r="D32" s="125" t="str">
        <f>IFERROR(__xludf.DUMMYFUNCTION("""COMPUTED_VALUE"""),"nirupom.paul.ullash@g.bracu.ac.bd")</f>
        <v>nirupom.paul.ullash@g.bracu.ac.bd</v>
      </c>
    </row>
    <row r="33" ht="22.5" customHeight="1">
      <c r="A33" s="125">
        <f>IFERROR(__xludf.DUMMYFUNCTION("""COMPUTED_VALUE"""),2.3301619E7)</f>
        <v>23301619</v>
      </c>
      <c r="B33" s="125" t="str">
        <f>IFERROR(__xludf.DUMMYFUNCTION("""COMPUTED_VALUE"""),"Payel Jannat Maliha")</f>
        <v>Payel Jannat Maliha</v>
      </c>
      <c r="C33" s="125" t="str">
        <f>IFERROR(__xludf.DUMMYFUNCTION("""COMPUTED_VALUE"""),"General Member")</f>
        <v>General Member</v>
      </c>
      <c r="D33" s="125" t="str">
        <f>IFERROR(__xludf.DUMMYFUNCTION("""COMPUTED_VALUE"""),"payel.jannat.maliha@g.bracu.ac.bd")</f>
        <v>payel.jannat.maliha@g.bracu.ac.bd</v>
      </c>
    </row>
    <row r="34" ht="22.5" customHeight="1">
      <c r="A34" s="125">
        <f>IFERROR(__xludf.DUMMYFUNCTION("""COMPUTED_VALUE"""),2.3301559E7)</f>
        <v>23301559</v>
      </c>
      <c r="B34" s="125" t="str">
        <f>IFERROR(__xludf.DUMMYFUNCTION("""COMPUTED_VALUE"""),"Raj Biswas")</f>
        <v>Raj Biswas</v>
      </c>
      <c r="C34" s="125" t="str">
        <f>IFERROR(__xludf.DUMMYFUNCTION("""COMPUTED_VALUE"""),"General Member")</f>
        <v>General Member</v>
      </c>
      <c r="D34" s="125" t="str">
        <f>IFERROR(__xludf.DUMMYFUNCTION("""COMPUTED_VALUE"""),"raj.biswas@g.bracu.ac.bd")</f>
        <v>raj.biswas@g.bracu.ac.bd</v>
      </c>
    </row>
    <row r="35" ht="22.5" customHeight="1">
      <c r="A35" s="125">
        <f>IFERROR(__xludf.DUMMYFUNCTION("""COMPUTED_VALUE"""),2.330147E7)</f>
        <v>23301470</v>
      </c>
      <c r="B35" s="125" t="str">
        <f>IFERROR(__xludf.DUMMYFUNCTION("""COMPUTED_VALUE"""),"Radhesyam Rajbangshi Diganta")</f>
        <v>Radhesyam Rajbangshi Diganta</v>
      </c>
      <c r="C35" s="125" t="str">
        <f>IFERROR(__xludf.DUMMYFUNCTION("""COMPUTED_VALUE"""),"General Member")</f>
        <v>General Member</v>
      </c>
      <c r="D35" s="125" t="str">
        <f>IFERROR(__xludf.DUMMYFUNCTION("""COMPUTED_VALUE"""),"radhesyam.rajbangshi.diganta@g.bracu.ac.bd")</f>
        <v>radhesyam.rajbangshi.diganta@g.bracu.ac.bd</v>
      </c>
    </row>
    <row r="36" ht="22.5" customHeight="1">
      <c r="A36" s="125">
        <f>IFERROR(__xludf.DUMMYFUNCTION("""COMPUTED_VALUE"""),2.3201612E7)</f>
        <v>23201612</v>
      </c>
      <c r="B36" s="125" t="str">
        <f>IFERROR(__xludf.DUMMYFUNCTION("""COMPUTED_VALUE"""),"Karib Fiyaz")</f>
        <v>Karib Fiyaz</v>
      </c>
      <c r="C36" s="125" t="str">
        <f>IFERROR(__xludf.DUMMYFUNCTION("""COMPUTED_VALUE"""),"General Member")</f>
        <v>General Member</v>
      </c>
      <c r="D36" s="125" t="str">
        <f>IFERROR(__xludf.DUMMYFUNCTION("""COMPUTED_VALUE"""),"karib.fiyaz@g.bracu.ac.bd")</f>
        <v>karib.fiyaz@g.bracu.ac.bd</v>
      </c>
    </row>
    <row r="37" ht="22.5" customHeight="1">
      <c r="A37" s="125">
        <f>IFERROR(__xludf.DUMMYFUNCTION("""COMPUTED_VALUE"""),2.3201589E7)</f>
        <v>23201589</v>
      </c>
      <c r="B37" s="125" t="str">
        <f>IFERROR(__xludf.DUMMYFUNCTION("""COMPUTED_VALUE"""),"Afifa Tayeaba")</f>
        <v>Afifa Tayeaba</v>
      </c>
      <c r="C37" s="125" t="str">
        <f>IFERROR(__xludf.DUMMYFUNCTION("""COMPUTED_VALUE"""),"General Member")</f>
        <v>General Member</v>
      </c>
      <c r="D37" s="125" t="str">
        <f>IFERROR(__xludf.DUMMYFUNCTION("""COMPUTED_VALUE"""),"afifa.tayeaba@g.bracu.ac.bd")</f>
        <v>afifa.tayeaba@g.bracu.ac.bd</v>
      </c>
    </row>
    <row r="38" ht="22.5" customHeight="1">
      <c r="A38" s="125">
        <f>IFERROR(__xludf.DUMMYFUNCTION("""COMPUTED_VALUE"""),2.3201566E7)</f>
        <v>23201566</v>
      </c>
      <c r="B38" s="125" t="str">
        <f>IFERROR(__xludf.DUMMYFUNCTION("""COMPUTED_VALUE"""),"Mehrab Rashid")</f>
        <v>Mehrab Rashid</v>
      </c>
      <c r="C38" s="125" t="str">
        <f>IFERROR(__xludf.DUMMYFUNCTION("""COMPUTED_VALUE"""),"General Member")</f>
        <v>General Member</v>
      </c>
      <c r="D38" s="125" t="str">
        <f>IFERROR(__xludf.DUMMYFUNCTION("""COMPUTED_VALUE"""),"mehrab.rashid@g.bracu.ac.bd")</f>
        <v>mehrab.rashid@g.bracu.ac.bd</v>
      </c>
    </row>
    <row r="39" ht="22.5" customHeight="1">
      <c r="A39" s="125">
        <f>IFERROR(__xludf.DUMMYFUNCTION("""COMPUTED_VALUE"""),2.3201562E7)</f>
        <v>23201562</v>
      </c>
      <c r="B39" s="125" t="str">
        <f>IFERROR(__xludf.DUMMYFUNCTION("""COMPUTED_VALUE"""),"Md.Ratul Hasan Sarkar")</f>
        <v>Md.Ratul Hasan Sarkar</v>
      </c>
      <c r="C39" s="125" t="str">
        <f>IFERROR(__xludf.DUMMYFUNCTION("""COMPUTED_VALUE"""),"General Member")</f>
        <v>General Member</v>
      </c>
      <c r="D39" s="125" t="str">
        <f>IFERROR(__xludf.DUMMYFUNCTION("""COMPUTED_VALUE"""),"ratul.hasan.sarkar@g.bracu.ac.bd")</f>
        <v>ratul.hasan.sarkar@g.bracu.ac.bd</v>
      </c>
    </row>
    <row r="40" ht="22.5" customHeight="1">
      <c r="A40" s="125">
        <f>IFERROR(__xludf.DUMMYFUNCTION("""COMPUTED_VALUE"""),2.3201414E7)</f>
        <v>23201414</v>
      </c>
      <c r="B40" s="125" t="str">
        <f>IFERROR(__xludf.DUMMYFUNCTION("""COMPUTED_VALUE"""),"Muwafiq Khan Josh")</f>
        <v>Muwafiq Khan Josh</v>
      </c>
      <c r="C40" s="125" t="str">
        <f>IFERROR(__xludf.DUMMYFUNCTION("""COMPUTED_VALUE"""),"General Member")</f>
        <v>General Member</v>
      </c>
      <c r="D40" s="125" t="str">
        <f>IFERROR(__xludf.DUMMYFUNCTION("""COMPUTED_VALUE"""),"muwafiq.khan.josh@g.bracu.ac.bd")</f>
        <v>muwafiq.khan.josh@g.bracu.ac.bd</v>
      </c>
    </row>
    <row r="41" ht="22.5" customHeight="1">
      <c r="A41" s="125">
        <f>IFERROR(__xludf.DUMMYFUNCTION("""COMPUTED_VALUE"""),2.3201387E7)</f>
        <v>23201387</v>
      </c>
      <c r="B41" s="125" t="str">
        <f>IFERROR(__xludf.DUMMYFUNCTION("""COMPUTED_VALUE"""),"Sajir Hamid")</f>
        <v>Sajir Hamid</v>
      </c>
      <c r="C41" s="125" t="str">
        <f>IFERROR(__xludf.DUMMYFUNCTION("""COMPUTED_VALUE"""),"General Member")</f>
        <v>General Member</v>
      </c>
      <c r="D41" s="125" t="str">
        <f>IFERROR(__xludf.DUMMYFUNCTION("""COMPUTED_VALUE"""),"sajir.hamid@g.bracu.ac.bd")</f>
        <v>sajir.hamid@g.bracu.ac.bd</v>
      </c>
    </row>
    <row r="42" ht="22.5" customHeight="1">
      <c r="A42" s="125">
        <f>IFERROR(__xludf.DUMMYFUNCTION("""COMPUTED_VALUE"""),2.3201373E7)</f>
        <v>23201373</v>
      </c>
      <c r="B42" s="125" t="str">
        <f>IFERROR(__xludf.DUMMYFUNCTION("""COMPUTED_VALUE"""),"Mahjabin Alam Esha")</f>
        <v>Mahjabin Alam Esha</v>
      </c>
      <c r="C42" s="125" t="str">
        <f>IFERROR(__xludf.DUMMYFUNCTION("""COMPUTED_VALUE"""),"General Member")</f>
        <v>General Member</v>
      </c>
      <c r="D42" s="125" t="str">
        <f>IFERROR(__xludf.DUMMYFUNCTION("""COMPUTED_VALUE"""),"mahjabin.alam.esha@g.bracu.ac.bd")</f>
        <v>mahjabin.alam.esha@g.bracu.ac.bd</v>
      </c>
    </row>
    <row r="43" ht="22.5" customHeight="1">
      <c r="A43" s="125">
        <f>IFERROR(__xludf.DUMMYFUNCTION("""COMPUTED_VALUE"""),2.3201354E7)</f>
        <v>23201354</v>
      </c>
      <c r="B43" s="125" t="str">
        <f>IFERROR(__xludf.DUMMYFUNCTION("""COMPUTED_VALUE"""),"Moshee-Ur Rahman")</f>
        <v>Moshee-Ur Rahman</v>
      </c>
      <c r="C43" s="125" t="str">
        <f>IFERROR(__xludf.DUMMYFUNCTION("""COMPUTED_VALUE"""),"General Member")</f>
        <v>General Member</v>
      </c>
      <c r="D43" s="125" t="str">
        <f>IFERROR(__xludf.DUMMYFUNCTION("""COMPUTED_VALUE"""),"moshee.ur.rahman@g.bracu.ac.bd")</f>
        <v>moshee.ur.rahman@g.bracu.ac.bd</v>
      </c>
    </row>
    <row r="44" ht="22.5" customHeight="1">
      <c r="A44" s="125">
        <f>IFERROR(__xludf.DUMMYFUNCTION("""COMPUTED_VALUE"""),2.3201252E7)</f>
        <v>23201252</v>
      </c>
      <c r="B44" s="125" t="str">
        <f>IFERROR(__xludf.DUMMYFUNCTION("""COMPUTED_VALUE"""),"Fariya Rahman Richi")</f>
        <v>Fariya Rahman Richi</v>
      </c>
      <c r="C44" s="125" t="str">
        <f>IFERROR(__xludf.DUMMYFUNCTION("""COMPUTED_VALUE"""),"General Member")</f>
        <v>General Member</v>
      </c>
      <c r="D44" s="125" t="str">
        <f>IFERROR(__xludf.DUMMYFUNCTION("""COMPUTED_VALUE"""),"fariya.rahman.richi@g.bracu.ac.bd")</f>
        <v>fariya.rahman.richi@g.bracu.ac.bd</v>
      </c>
    </row>
    <row r="45" ht="22.5" customHeight="1">
      <c r="A45" s="125">
        <f>IFERROR(__xludf.DUMMYFUNCTION("""COMPUTED_VALUE"""),2.3201093E7)</f>
        <v>23201093</v>
      </c>
      <c r="B45" s="125" t="str">
        <f>IFERROR(__xludf.DUMMYFUNCTION("""COMPUTED_VALUE"""),"S.A.Rahman")</f>
        <v>S.A.Rahman</v>
      </c>
      <c r="C45" s="125" t="str">
        <f>IFERROR(__xludf.DUMMYFUNCTION("""COMPUTED_VALUE"""),"General Member")</f>
        <v>General Member</v>
      </c>
      <c r="D45" s="125" t="str">
        <f>IFERROR(__xludf.DUMMYFUNCTION("""COMPUTED_VALUE"""),"s.a.rahman@g.bracu.ac.bd")</f>
        <v>s.a.rahman@g.bracu.ac.bd</v>
      </c>
    </row>
    <row r="46" ht="22.5" customHeight="1">
      <c r="A46" s="125">
        <f>IFERROR(__xludf.DUMMYFUNCTION("""COMPUTED_VALUE"""),2.3201007E7)</f>
        <v>23201007</v>
      </c>
      <c r="B46" s="125" t="str">
        <f>IFERROR(__xludf.DUMMYFUNCTION("""COMPUTED_VALUE"""),"Jabir Ahmed")</f>
        <v>Jabir Ahmed</v>
      </c>
      <c r="C46" s="125" t="str">
        <f>IFERROR(__xludf.DUMMYFUNCTION("""COMPUTED_VALUE"""),"General Member")</f>
        <v>General Member</v>
      </c>
      <c r="D46" s="125" t="str">
        <f>IFERROR(__xludf.DUMMYFUNCTION("""COMPUTED_VALUE"""),"jabir.ahmed@g.bracu.ac.bd")</f>
        <v>jabir.ahmed@g.bracu.ac.bd</v>
      </c>
    </row>
    <row r="47" ht="22.5" customHeight="1">
      <c r="A47" s="125">
        <f>IFERROR(__xludf.DUMMYFUNCTION("""COMPUTED_VALUE"""),2.3141004E7)</f>
        <v>23141004</v>
      </c>
      <c r="B47" s="125" t="str">
        <f>IFERROR(__xludf.DUMMYFUNCTION("""COMPUTED_VALUE"""),"Ahammad Ha-Meem Safwat")</f>
        <v>Ahammad Ha-Meem Safwat</v>
      </c>
      <c r="C47" s="125" t="str">
        <f>IFERROR(__xludf.DUMMYFUNCTION("""COMPUTED_VALUE"""),"General Member")</f>
        <v>General Member</v>
      </c>
      <c r="D47" s="125" t="str">
        <f>IFERROR(__xludf.DUMMYFUNCTION("""COMPUTED_VALUE"""),"ahammad.ha-meem.safwat@g.bracu.ac.bd")</f>
        <v>ahammad.ha-meem.safwat@g.bracu.ac.bd</v>
      </c>
    </row>
    <row r="48" ht="22.5" customHeight="1">
      <c r="A48" s="125">
        <f>IFERROR(__xludf.DUMMYFUNCTION("""COMPUTED_VALUE"""),2.3110001E7)</f>
        <v>23110001</v>
      </c>
      <c r="B48" s="125" t="str">
        <f>IFERROR(__xludf.DUMMYFUNCTION("""COMPUTED_VALUE"""),"Nosin Anjhum Nijhum")</f>
        <v>Nosin Anjhum Nijhum</v>
      </c>
      <c r="C48" s="125" t="str">
        <f>IFERROR(__xludf.DUMMYFUNCTION("""COMPUTED_VALUE"""),"General Member")</f>
        <v>General Member</v>
      </c>
      <c r="D48" s="125" t="str">
        <f>IFERROR(__xludf.DUMMYFUNCTION("""COMPUTED_VALUE"""),"nosin.anjhum.nijhum@g.bracu.ac.bd")</f>
        <v>nosin.anjhum.nijhum@g.bracu.ac.bd</v>
      </c>
    </row>
    <row r="49" ht="22.5" customHeight="1">
      <c r="A49" s="125">
        <f>IFERROR(__xludf.DUMMYFUNCTION("""COMPUTED_VALUE"""),2.3101501E7)</f>
        <v>23101501</v>
      </c>
      <c r="B49" s="125" t="str">
        <f>IFERROR(__xludf.DUMMYFUNCTION("""COMPUTED_VALUE"""),"Suailim Islam Sakif")</f>
        <v>Suailim Islam Sakif</v>
      </c>
      <c r="C49" s="125" t="str">
        <f>IFERROR(__xludf.DUMMYFUNCTION("""COMPUTED_VALUE"""),"General Member")</f>
        <v>General Member</v>
      </c>
      <c r="D49" s="125" t="str">
        <f>IFERROR(__xludf.DUMMYFUNCTION("""COMPUTED_VALUE"""),"suailim.islam.sakif@g.bracu.ac.bd")</f>
        <v>suailim.islam.sakif@g.bracu.ac.bd</v>
      </c>
    </row>
    <row r="50" ht="22.5" customHeight="1">
      <c r="A50" s="125">
        <f>IFERROR(__xludf.DUMMYFUNCTION("""COMPUTED_VALUE"""),2.310149E7)</f>
        <v>23101490</v>
      </c>
      <c r="B50" s="125" t="str">
        <f>IFERROR(__xludf.DUMMYFUNCTION("""COMPUTED_VALUE"""),"Humaira Siddiqa")</f>
        <v>Humaira Siddiqa</v>
      </c>
      <c r="C50" s="125" t="str">
        <f>IFERROR(__xludf.DUMMYFUNCTION("""COMPUTED_VALUE"""),"General Member")</f>
        <v>General Member</v>
      </c>
      <c r="D50" s="125" t="str">
        <f>IFERROR(__xludf.DUMMYFUNCTION("""COMPUTED_VALUE"""),"humaira.siddiqa@g.bracu.ac.bd")</f>
        <v>humaira.siddiqa@g.bracu.ac.bd</v>
      </c>
    </row>
    <row r="51" ht="22.5" customHeight="1">
      <c r="A51" s="125">
        <f>IFERROR(__xludf.DUMMYFUNCTION("""COMPUTED_VALUE"""),2.3101455E7)</f>
        <v>23101455</v>
      </c>
      <c r="B51" s="125" t="str">
        <f>IFERROR(__xludf.DUMMYFUNCTION("""COMPUTED_VALUE"""),"Md Abdullah All Hassan")</f>
        <v>Md Abdullah All Hassan</v>
      </c>
      <c r="C51" s="125" t="str">
        <f>IFERROR(__xludf.DUMMYFUNCTION("""COMPUTED_VALUE"""),"General Member")</f>
        <v>General Member</v>
      </c>
      <c r="D51" s="125" t="str">
        <f>IFERROR(__xludf.DUMMYFUNCTION("""COMPUTED_VALUE"""),"abdullah.all.hassan@g.bracu.ac.bd")</f>
        <v>abdullah.all.hassan@g.bracu.ac.bd</v>
      </c>
    </row>
    <row r="52" ht="22.5" customHeight="1">
      <c r="A52" s="125">
        <f>IFERROR(__xludf.DUMMYFUNCTION("""COMPUTED_VALUE"""),2.3101335E7)</f>
        <v>23101335</v>
      </c>
      <c r="B52" s="125" t="str">
        <f>IFERROR(__xludf.DUMMYFUNCTION("""COMPUTED_VALUE"""),"Sadik Mohammad")</f>
        <v>Sadik Mohammad</v>
      </c>
      <c r="C52" s="125" t="str">
        <f>IFERROR(__xludf.DUMMYFUNCTION("""COMPUTED_VALUE"""),"General Member")</f>
        <v>General Member</v>
      </c>
      <c r="D52" s="125" t="str">
        <f>IFERROR(__xludf.DUMMYFUNCTION("""COMPUTED_VALUE"""),"sadik.mohammad@g.bracu.ac.bd")</f>
        <v>sadik.mohammad@g.bracu.ac.bd</v>
      </c>
    </row>
    <row r="53" ht="22.5" customHeight="1">
      <c r="A53" s="125">
        <f>IFERROR(__xludf.DUMMYFUNCTION("""COMPUTED_VALUE"""),2.3101318E7)</f>
        <v>23101318</v>
      </c>
      <c r="B53" s="125" t="str">
        <f>IFERROR(__xludf.DUMMYFUNCTION("""COMPUTED_VALUE"""),"Shah Mohaimin Kabir")</f>
        <v>Shah Mohaimin Kabir</v>
      </c>
      <c r="C53" s="125" t="str">
        <f>IFERROR(__xludf.DUMMYFUNCTION("""COMPUTED_VALUE"""),"General Member")</f>
        <v>General Member</v>
      </c>
      <c r="D53" s="125" t="str">
        <f>IFERROR(__xludf.DUMMYFUNCTION("""COMPUTED_VALUE"""),"shah.mohaimin.kabir@g.bracu.ac.bd")</f>
        <v>shah.mohaimin.kabir@g.bracu.ac.bd</v>
      </c>
    </row>
    <row r="54" ht="22.5" customHeight="1">
      <c r="A54" s="125">
        <f>IFERROR(__xludf.DUMMYFUNCTION("""COMPUTED_VALUE"""),2.3101184E7)</f>
        <v>23101184</v>
      </c>
      <c r="B54" s="125" t="str">
        <f>IFERROR(__xludf.DUMMYFUNCTION("""COMPUTED_VALUE"""),"Ashray Mobashar Siam")</f>
        <v>Ashray Mobashar Siam</v>
      </c>
      <c r="C54" s="125" t="str">
        <f>IFERROR(__xludf.DUMMYFUNCTION("""COMPUTED_VALUE"""),"General Member")</f>
        <v>General Member</v>
      </c>
      <c r="D54" s="125" t="str">
        <f>IFERROR(__xludf.DUMMYFUNCTION("""COMPUTED_VALUE"""),"ashray.mobashar@g.bracu.ac.bd")</f>
        <v>ashray.mobashar@g.bracu.ac.bd</v>
      </c>
    </row>
    <row r="55" ht="22.5" customHeight="1">
      <c r="A55" s="125">
        <f>IFERROR(__xludf.DUMMYFUNCTION("""COMPUTED_VALUE"""),2.3101052E7)</f>
        <v>23101052</v>
      </c>
      <c r="B55" s="125" t="str">
        <f>IFERROR(__xludf.DUMMYFUNCTION("""COMPUTED_VALUE"""),"Md. Imteaj Rana")</f>
        <v>Md. Imteaj Rana</v>
      </c>
      <c r="C55" s="125" t="str">
        <f>IFERROR(__xludf.DUMMYFUNCTION("""COMPUTED_VALUE"""),"General Member")</f>
        <v>General Member</v>
      </c>
      <c r="D55" s="125" t="str">
        <f>IFERROR(__xludf.DUMMYFUNCTION("""COMPUTED_VALUE"""),"md.imteaj.rana@g.bracu.ac.bd")</f>
        <v>md.imteaj.rana@g.bracu.ac.bd</v>
      </c>
    </row>
    <row r="56" ht="22.5" customHeight="1">
      <c r="A56" s="125">
        <f>IFERROR(__xludf.DUMMYFUNCTION("""COMPUTED_VALUE"""),2.2341021E7)</f>
        <v>22341021</v>
      </c>
      <c r="B56" s="125" t="str">
        <f>IFERROR(__xludf.DUMMYFUNCTION("""COMPUTED_VALUE"""),"Fatin Noor Jahin")</f>
        <v>Fatin Noor Jahin</v>
      </c>
      <c r="C56" s="125" t="str">
        <f>IFERROR(__xludf.DUMMYFUNCTION("""COMPUTED_VALUE"""),"General Member")</f>
        <v>General Member</v>
      </c>
      <c r="D56" s="125" t="str">
        <f>IFERROR(__xludf.DUMMYFUNCTION("""COMPUTED_VALUE"""),"fatin.noor.jahin@g.bracu.ac.bd")</f>
        <v>fatin.noor.jahin@g.bracu.ac.bd</v>
      </c>
    </row>
    <row r="57" ht="22.5" customHeight="1">
      <c r="A57" s="125">
        <f>IFERROR(__xludf.DUMMYFUNCTION("""COMPUTED_VALUE"""),2.2301691E7)</f>
        <v>22301691</v>
      </c>
      <c r="B57" s="125" t="str">
        <f>IFERROR(__xludf.DUMMYFUNCTION("""COMPUTED_VALUE"""),"Farhana Momtaz Raka")</f>
        <v>Farhana Momtaz Raka</v>
      </c>
      <c r="C57" s="125" t="str">
        <f>IFERROR(__xludf.DUMMYFUNCTION("""COMPUTED_VALUE"""),"General Member")</f>
        <v>General Member</v>
      </c>
      <c r="D57" s="125" t="str">
        <f>IFERROR(__xludf.DUMMYFUNCTION("""COMPUTED_VALUE"""),"farhana.momtaz.raka@g.bracu.ac.bd")</f>
        <v>farhana.momtaz.raka@g.bracu.ac.bd</v>
      </c>
    </row>
    <row r="58" ht="22.5" customHeight="1">
      <c r="A58" s="125">
        <f>IFERROR(__xludf.DUMMYFUNCTION("""COMPUTED_VALUE"""),2.2301664E7)</f>
        <v>22301664</v>
      </c>
      <c r="B58" s="125" t="str">
        <f>IFERROR(__xludf.DUMMYFUNCTION("""COMPUTED_VALUE"""),"Vivian Ananda")</f>
        <v>Vivian Ananda</v>
      </c>
      <c r="C58" s="125" t="str">
        <f>IFERROR(__xludf.DUMMYFUNCTION("""COMPUTED_VALUE"""),"General Member")</f>
        <v>General Member</v>
      </c>
      <c r="D58" s="125" t="str">
        <f>IFERROR(__xludf.DUMMYFUNCTION("""COMPUTED_VALUE"""),"vivian.ananda@g.bracu.ac.bd")</f>
        <v>vivian.ananda@g.bracu.ac.bd</v>
      </c>
    </row>
    <row r="59" ht="22.5" customHeight="1">
      <c r="A59" s="125">
        <f>IFERROR(__xludf.DUMMYFUNCTION("""COMPUTED_VALUE"""),2.2301643E7)</f>
        <v>22301643</v>
      </c>
      <c r="B59" s="125" t="str">
        <f>IFERROR(__xludf.DUMMYFUNCTION("""COMPUTED_VALUE"""),"Nishat Tasnim")</f>
        <v>Nishat Tasnim</v>
      </c>
      <c r="C59" s="125" t="str">
        <f>IFERROR(__xludf.DUMMYFUNCTION("""COMPUTED_VALUE"""),"General Member")</f>
        <v>General Member</v>
      </c>
      <c r="D59" s="125" t="str">
        <f>IFERROR(__xludf.DUMMYFUNCTION("""COMPUTED_VALUE"""),"nishat.tasnim19@g.bracu.ac.bd")</f>
        <v>nishat.tasnim19@g.bracu.ac.bd</v>
      </c>
    </row>
    <row r="60" ht="22.5" customHeight="1">
      <c r="A60" s="125">
        <f>IFERROR(__xludf.DUMMYFUNCTION("""COMPUTED_VALUE"""),2.230155E7)</f>
        <v>22301550</v>
      </c>
      <c r="B60" s="125" t="str">
        <f>IFERROR(__xludf.DUMMYFUNCTION("""COMPUTED_VALUE"""),"Aisha Mahjabin Munia")</f>
        <v>Aisha Mahjabin Munia</v>
      </c>
      <c r="C60" s="125" t="str">
        <f>IFERROR(__xludf.DUMMYFUNCTION("""COMPUTED_VALUE"""),"General Member")</f>
        <v>General Member</v>
      </c>
      <c r="D60" s="125" t="str">
        <f>IFERROR(__xludf.DUMMYFUNCTION("""COMPUTED_VALUE"""),"ayesha.mahjabin@g.bracu.ac.bd")</f>
        <v>ayesha.mahjabin@g.bracu.ac.bd</v>
      </c>
    </row>
    <row r="61" ht="22.5" customHeight="1">
      <c r="A61" s="125">
        <f>IFERROR(__xludf.DUMMYFUNCTION("""COMPUTED_VALUE"""),2.2301517E7)</f>
        <v>22301517</v>
      </c>
      <c r="B61" s="125" t="str">
        <f>IFERROR(__xludf.DUMMYFUNCTION("""COMPUTED_VALUE"""),"Asif Mahmud Prottoy")</f>
        <v>Asif Mahmud Prottoy</v>
      </c>
      <c r="C61" s="125" t="str">
        <f>IFERROR(__xludf.DUMMYFUNCTION("""COMPUTED_VALUE"""),"General Member")</f>
        <v>General Member</v>
      </c>
      <c r="D61" s="125" t="str">
        <f>IFERROR(__xludf.DUMMYFUNCTION("""COMPUTED_VALUE"""),"asif.mahmud.prottoy@g.bracu.ac.bd")</f>
        <v>asif.mahmud.prottoy@g.bracu.ac.bd</v>
      </c>
    </row>
    <row r="62" ht="22.5" customHeight="1">
      <c r="A62" s="125">
        <f>IFERROR(__xludf.DUMMYFUNCTION("""COMPUTED_VALUE"""),2.2301515E7)</f>
        <v>22301515</v>
      </c>
      <c r="B62" s="125" t="str">
        <f>IFERROR(__xludf.DUMMYFUNCTION("""COMPUTED_VALUE"""),"Monoary Jabin")</f>
        <v>Monoary Jabin</v>
      </c>
      <c r="C62" s="125" t="str">
        <f>IFERROR(__xludf.DUMMYFUNCTION("""COMPUTED_VALUE"""),"General Member")</f>
        <v>General Member</v>
      </c>
      <c r="D62" s="125" t="str">
        <f>IFERROR(__xludf.DUMMYFUNCTION("""COMPUTED_VALUE"""),"monoary.jabin.rayan@g.bracu.ac.bd")</f>
        <v>monoary.jabin.rayan@g.bracu.ac.bd</v>
      </c>
    </row>
    <row r="63" ht="22.5" customHeight="1">
      <c r="A63" s="125">
        <f>IFERROR(__xludf.DUMMYFUNCTION("""COMPUTED_VALUE"""),2.2301273E7)</f>
        <v>22301273</v>
      </c>
      <c r="B63" s="125" t="str">
        <f>IFERROR(__xludf.DUMMYFUNCTION("""COMPUTED_VALUE"""),"Mariya Islam Bhuiyan Nidhe")</f>
        <v>Mariya Islam Bhuiyan Nidhe</v>
      </c>
      <c r="C63" s="125" t="str">
        <f>IFERROR(__xludf.DUMMYFUNCTION("""COMPUTED_VALUE"""),"General Member")</f>
        <v>General Member</v>
      </c>
      <c r="D63" s="125" t="str">
        <f>IFERROR(__xludf.DUMMYFUNCTION("""COMPUTED_VALUE"""),"mariya.islam.bhuiyan@g.bracu.ac.bd")</f>
        <v>mariya.islam.bhuiyan@g.bracu.ac.bd</v>
      </c>
    </row>
    <row r="64" ht="22.5" customHeight="1">
      <c r="A64" s="125">
        <f>IFERROR(__xludf.DUMMYFUNCTION("""COMPUTED_VALUE"""),2.2301091E7)</f>
        <v>22301091</v>
      </c>
      <c r="B64" s="125" t="str">
        <f>IFERROR(__xludf.DUMMYFUNCTION("""COMPUTED_VALUE"""),"Minhaz Uddin")</f>
        <v>Minhaz Uddin</v>
      </c>
      <c r="C64" s="125" t="str">
        <f>IFERROR(__xludf.DUMMYFUNCTION("""COMPUTED_VALUE"""),"General Member")</f>
        <v>General Member</v>
      </c>
      <c r="D64" s="125" t="str">
        <f>IFERROR(__xludf.DUMMYFUNCTION("""COMPUTED_VALUE"""),"minhaz.uddin@g.bracu.ac.bd")</f>
        <v>minhaz.uddin@g.bracu.ac.bd</v>
      </c>
    </row>
    <row r="65" ht="22.5" customHeight="1">
      <c r="A65" s="125">
        <f>IFERROR(__xludf.DUMMYFUNCTION("""COMPUTED_VALUE"""),2.230106E7)</f>
        <v>22301060</v>
      </c>
      <c r="B65" s="125" t="str">
        <f>IFERROR(__xludf.DUMMYFUNCTION("""COMPUTED_VALUE"""),"Md. Muntasir Rahman Layek")</f>
        <v>Md. Muntasir Rahman Layek</v>
      </c>
      <c r="C65" s="125" t="str">
        <f>IFERROR(__xludf.DUMMYFUNCTION("""COMPUTED_VALUE"""),"General Member")</f>
        <v>General Member</v>
      </c>
      <c r="D65" s="125" t="str">
        <f>IFERROR(__xludf.DUMMYFUNCTION("""COMPUTED_VALUE"""),"muntasir.rahman.layek@g.bracu.ac.bd")</f>
        <v>muntasir.rahman.layek@g.bracu.ac.bd</v>
      </c>
    </row>
    <row r="66" ht="22.5" customHeight="1">
      <c r="A66" s="125">
        <f>IFERROR(__xludf.DUMMYFUNCTION("""COMPUTED_VALUE"""),2.2301044E7)</f>
        <v>22301044</v>
      </c>
      <c r="B66" s="125" t="str">
        <f>IFERROR(__xludf.DUMMYFUNCTION("""COMPUTED_VALUE"""),"Md Alvi Islam Ratul")</f>
        <v>Md Alvi Islam Ratul</v>
      </c>
      <c r="C66" s="125" t="str">
        <f>IFERROR(__xludf.DUMMYFUNCTION("""COMPUTED_VALUE"""),"General Member")</f>
        <v>General Member</v>
      </c>
      <c r="D66" s="125" t="str">
        <f>IFERROR(__xludf.DUMMYFUNCTION("""COMPUTED_VALUE"""),"alvi.islam.ratul@g.bracu.ac.bd")</f>
        <v>alvi.islam.ratul@g.bracu.ac.bd</v>
      </c>
    </row>
    <row r="67" ht="22.5" customHeight="1">
      <c r="A67" s="125">
        <f>IFERROR(__xludf.DUMMYFUNCTION("""COMPUTED_VALUE"""),2.229924E7)</f>
        <v>22299240</v>
      </c>
      <c r="B67" s="125" t="str">
        <f>IFERROR(__xludf.DUMMYFUNCTION("""COMPUTED_VALUE"""),"Sabrina Alam Sabah")</f>
        <v>Sabrina Alam Sabah</v>
      </c>
      <c r="C67" s="125" t="str">
        <f>IFERROR(__xludf.DUMMYFUNCTION("""COMPUTED_VALUE"""),"General Member")</f>
        <v>General Member</v>
      </c>
      <c r="D67" s="125" t="str">
        <f>IFERROR(__xludf.DUMMYFUNCTION("""COMPUTED_VALUE"""),"sabrina.alam.sabah@g.bracu.ac.bd")</f>
        <v>sabrina.alam.sabah@g.bracu.ac.bd</v>
      </c>
    </row>
    <row r="68" ht="22.5" customHeight="1">
      <c r="A68" s="125">
        <f>IFERROR(__xludf.DUMMYFUNCTION("""COMPUTED_VALUE"""),2.2299235E7)</f>
        <v>22299235</v>
      </c>
      <c r="B68" s="125" t="str">
        <f>IFERROR(__xludf.DUMMYFUNCTION("""COMPUTED_VALUE"""),"Syeda Fabiayee Jahan")</f>
        <v>Syeda Fabiayee Jahan</v>
      </c>
      <c r="C68" s="125" t="str">
        <f>IFERROR(__xludf.DUMMYFUNCTION("""COMPUTED_VALUE"""),"General Member")</f>
        <v>General Member</v>
      </c>
      <c r="D68" s="125" t="str">
        <f>IFERROR(__xludf.DUMMYFUNCTION("""COMPUTED_VALUE"""),"syeda.fabiayee.jahan@g.bracu.ac.bd")</f>
        <v>syeda.fabiayee.jahan@g.bracu.ac.bd</v>
      </c>
    </row>
    <row r="69" ht="22.5" customHeight="1">
      <c r="A69" s="125">
        <f>IFERROR(__xludf.DUMMYFUNCTION("""COMPUTED_VALUE"""),2.229921E7)</f>
        <v>22299210</v>
      </c>
      <c r="B69" s="125" t="str">
        <f>IFERROR(__xludf.DUMMYFUNCTION("""COMPUTED_VALUE"""),"Mst.Ashrafunnuri")</f>
        <v>Mst.Ashrafunnuri</v>
      </c>
      <c r="C69" s="125" t="str">
        <f>IFERROR(__xludf.DUMMYFUNCTION("""COMPUTED_VALUE"""),"General Member")</f>
        <v>General Member</v>
      </c>
      <c r="D69" s="125" t="str">
        <f>IFERROR(__xludf.DUMMYFUNCTION("""COMPUTED_VALUE"""),"mst.ashrafunnuri@g.bracu.ac.bd")</f>
        <v>mst.ashrafunnuri@g.bracu.ac.bd</v>
      </c>
    </row>
    <row r="70" ht="22.5" customHeight="1">
      <c r="A70" s="125">
        <f>IFERROR(__xludf.DUMMYFUNCTION("""COMPUTED_VALUE"""),2.2299119E7)</f>
        <v>22299119</v>
      </c>
      <c r="B70" s="125" t="str">
        <f>IFERROR(__xludf.DUMMYFUNCTION("""COMPUTED_VALUE"""),"Md. Abdullah")</f>
        <v>Md. Abdullah</v>
      </c>
      <c r="C70" s="125" t="str">
        <f>IFERROR(__xludf.DUMMYFUNCTION("""COMPUTED_VALUE"""),"General Member")</f>
        <v>General Member</v>
      </c>
      <c r="D70" s="125" t="str">
        <f>IFERROR(__xludf.DUMMYFUNCTION("""COMPUTED_VALUE"""),"md.abdullah3@g.bracu.ac.bd")</f>
        <v>md.abdullah3@g.bracu.ac.bd</v>
      </c>
    </row>
    <row r="71" ht="22.5" customHeight="1">
      <c r="A71" s="125">
        <f>IFERROR(__xludf.DUMMYFUNCTION("""COMPUTED_VALUE"""),2.224106E7)</f>
        <v>22241060</v>
      </c>
      <c r="B71" s="125" t="str">
        <f>IFERROR(__xludf.DUMMYFUNCTION("""COMPUTED_VALUE"""),"Ilma Binte Sherin")</f>
        <v>Ilma Binte Sherin</v>
      </c>
      <c r="C71" s="125" t="str">
        <f>IFERROR(__xludf.DUMMYFUNCTION("""COMPUTED_VALUE"""),"General Member")</f>
        <v>General Member</v>
      </c>
      <c r="D71" s="125" t="str">
        <f>IFERROR(__xludf.DUMMYFUNCTION("""COMPUTED_VALUE"""),"ilma.binte.sherin@g.bracu.ac.bd")</f>
        <v>ilma.binte.sherin@g.bracu.ac.bd</v>
      </c>
    </row>
    <row r="72" ht="22.5" customHeight="1">
      <c r="A72" s="125">
        <f>IFERROR(__xludf.DUMMYFUNCTION("""COMPUTED_VALUE"""),2.2241021E7)</f>
        <v>22241021</v>
      </c>
      <c r="B72" s="125" t="str">
        <f>IFERROR(__xludf.DUMMYFUNCTION("""COMPUTED_VALUE"""),"Km.Jubair Sami")</f>
        <v>Km.Jubair Sami</v>
      </c>
      <c r="C72" s="125" t="str">
        <f>IFERROR(__xludf.DUMMYFUNCTION("""COMPUTED_VALUE"""),"General Member")</f>
        <v>General Member</v>
      </c>
      <c r="D72" s="125" t="str">
        <f>IFERROR(__xludf.DUMMYFUNCTION("""COMPUTED_VALUE"""),"km.jubair.sami@g.bracu.ac.bd")</f>
        <v>km.jubair.sami@g.bracu.ac.bd</v>
      </c>
    </row>
    <row r="73" ht="22.5" customHeight="1">
      <c r="A73" s="125">
        <f>IFERROR(__xludf.DUMMYFUNCTION("""COMPUTED_VALUE"""),2.2226144E7)</f>
        <v>22226144</v>
      </c>
      <c r="B73" s="125" t="str">
        <f>IFERROR(__xludf.DUMMYFUNCTION("""COMPUTED_VALUE"""),"Habib Ullah")</f>
        <v>Habib Ullah</v>
      </c>
      <c r="C73" s="125" t="str">
        <f>IFERROR(__xludf.DUMMYFUNCTION("""COMPUTED_VALUE"""),"General Member")</f>
        <v>General Member</v>
      </c>
      <c r="D73" s="125" t="str">
        <f>IFERROR(__xludf.DUMMYFUNCTION("""COMPUTED_VALUE"""),"habib.ullah1@g.bracu.ac.bd")</f>
        <v>habib.ullah1@g.bracu.ac.bd</v>
      </c>
    </row>
    <row r="74" ht="22.5" customHeight="1">
      <c r="A74" s="125">
        <f>IFERROR(__xludf.DUMMYFUNCTION("""COMPUTED_VALUE"""),2.2201983E7)</f>
        <v>22201983</v>
      </c>
      <c r="B74" s="125" t="str">
        <f>IFERROR(__xludf.DUMMYFUNCTION("""COMPUTED_VALUE"""),"Sajid Sarower")</f>
        <v>Sajid Sarower</v>
      </c>
      <c r="C74" s="125" t="str">
        <f>IFERROR(__xludf.DUMMYFUNCTION("""COMPUTED_VALUE"""),"General Member")</f>
        <v>General Member</v>
      </c>
      <c r="D74" s="125" t="str">
        <f>IFERROR(__xludf.DUMMYFUNCTION("""COMPUTED_VALUE"""),"sajid.sarower@g.bracu.ac.bd")</f>
        <v>sajid.sarower@g.bracu.ac.bd</v>
      </c>
    </row>
    <row r="75" ht="22.5" customHeight="1">
      <c r="A75" s="125">
        <f>IFERROR(__xludf.DUMMYFUNCTION("""COMPUTED_VALUE"""),2.2201948E7)</f>
        <v>22201948</v>
      </c>
      <c r="B75" s="125" t="str">
        <f>IFERROR(__xludf.DUMMYFUNCTION("""COMPUTED_VALUE"""),"Nabil Mahmud Chowdhury")</f>
        <v>Nabil Mahmud Chowdhury</v>
      </c>
      <c r="C75" s="125" t="str">
        <f>IFERROR(__xludf.DUMMYFUNCTION("""COMPUTED_VALUE"""),"General Member")</f>
        <v>General Member</v>
      </c>
      <c r="D75" s="125" t="str">
        <f>IFERROR(__xludf.DUMMYFUNCTION("""COMPUTED_VALUE"""),"nabil.mahmud.chowdhury@g.bracu.ac.bd")</f>
        <v>nabil.mahmud.chowdhury@g.bracu.ac.bd</v>
      </c>
    </row>
    <row r="76" ht="22.5" customHeight="1">
      <c r="A76" s="125">
        <f>IFERROR(__xludf.DUMMYFUNCTION("""COMPUTED_VALUE"""),2.2201912E7)</f>
        <v>22201912</v>
      </c>
      <c r="B76" s="125" t="str">
        <f>IFERROR(__xludf.DUMMYFUNCTION("""COMPUTED_VALUE"""),"Jarin Tasnim")</f>
        <v>Jarin Tasnim</v>
      </c>
      <c r="C76" s="125" t="str">
        <f>IFERROR(__xludf.DUMMYFUNCTION("""COMPUTED_VALUE"""),"General Member")</f>
        <v>General Member</v>
      </c>
      <c r="D76" s="125" t="str">
        <f>IFERROR(__xludf.DUMMYFUNCTION("""COMPUTED_VALUE"""),"Jarin.tasnim12@g.bracu.ac.bd")</f>
        <v>Jarin.tasnim12@g.bracu.ac.bd</v>
      </c>
    </row>
    <row r="77" ht="22.5" customHeight="1">
      <c r="A77" s="125">
        <f>IFERROR(__xludf.DUMMYFUNCTION("""COMPUTED_VALUE"""),2.2201854E7)</f>
        <v>22201854</v>
      </c>
      <c r="B77" s="125" t="str">
        <f>IFERROR(__xludf.DUMMYFUNCTION("""COMPUTED_VALUE"""),"Md Istiaque Ahmed")</f>
        <v>Md Istiaque Ahmed</v>
      </c>
      <c r="C77" s="125" t="str">
        <f>IFERROR(__xludf.DUMMYFUNCTION("""COMPUTED_VALUE"""),"General Member")</f>
        <v>General Member</v>
      </c>
      <c r="D77" s="125" t="str">
        <f>IFERROR(__xludf.DUMMYFUNCTION("""COMPUTED_VALUE"""),"md.istiaque.ahmed@g.bracu.ac.bd")</f>
        <v>md.istiaque.ahmed@g.bracu.ac.bd</v>
      </c>
    </row>
    <row r="78" ht="22.5" customHeight="1">
      <c r="A78" s="125">
        <f>IFERROR(__xludf.DUMMYFUNCTION("""COMPUTED_VALUE"""),2.2201704E7)</f>
        <v>22201704</v>
      </c>
      <c r="B78" s="125" t="str">
        <f>IFERROR(__xludf.DUMMYFUNCTION("""COMPUTED_VALUE"""),"Wardat Iqbal")</f>
        <v>Wardat Iqbal</v>
      </c>
      <c r="C78" s="125" t="str">
        <f>IFERROR(__xludf.DUMMYFUNCTION("""COMPUTED_VALUE"""),"General Member")</f>
        <v>General Member</v>
      </c>
      <c r="D78" s="125" t="str">
        <f>IFERROR(__xludf.DUMMYFUNCTION("""COMPUTED_VALUE"""),"wardat.shams.iqbal@g.bracu.ac.bd")</f>
        <v>wardat.shams.iqbal@g.bracu.ac.bd</v>
      </c>
    </row>
    <row r="79" ht="22.5" customHeight="1">
      <c r="A79" s="125">
        <f>IFERROR(__xludf.DUMMYFUNCTION("""COMPUTED_VALUE"""),2.2201694E7)</f>
        <v>22201694</v>
      </c>
      <c r="B79" s="125" t="str">
        <f>IFERROR(__xludf.DUMMYFUNCTION("""COMPUTED_VALUE"""),"Mohammad Aseer Intisar")</f>
        <v>Mohammad Aseer Intisar</v>
      </c>
      <c r="C79" s="125" t="str">
        <f>IFERROR(__xludf.DUMMYFUNCTION("""COMPUTED_VALUE"""),"General Member")</f>
        <v>General Member</v>
      </c>
      <c r="D79" s="125" t="str">
        <f>IFERROR(__xludf.DUMMYFUNCTION("""COMPUTED_VALUE"""),"mohammad.aseer.intisar@g.bracu.ac.bd")</f>
        <v>mohammad.aseer.intisar@g.bracu.ac.bd</v>
      </c>
    </row>
    <row r="80" ht="22.5" customHeight="1">
      <c r="A80" s="125">
        <f>IFERROR(__xludf.DUMMYFUNCTION("""COMPUTED_VALUE"""),2.2201629E7)</f>
        <v>22201629</v>
      </c>
      <c r="B80" s="125" t="str">
        <f>IFERROR(__xludf.DUMMYFUNCTION("""COMPUTED_VALUE"""),"Maisha Thasin")</f>
        <v>Maisha Thasin</v>
      </c>
      <c r="C80" s="125" t="str">
        <f>IFERROR(__xludf.DUMMYFUNCTION("""COMPUTED_VALUE"""),"General Member")</f>
        <v>General Member</v>
      </c>
      <c r="D80" s="125" t="str">
        <f>IFERROR(__xludf.DUMMYFUNCTION("""COMPUTED_VALUE"""),"maisha.thasin@g.bracu.ac.bd")</f>
        <v>maisha.thasin@g.bracu.ac.bd</v>
      </c>
    </row>
    <row r="81" ht="22.5" customHeight="1">
      <c r="A81" s="125">
        <f>IFERROR(__xludf.DUMMYFUNCTION("""COMPUTED_VALUE"""),2.2201595E7)</f>
        <v>22201595</v>
      </c>
      <c r="B81" s="125" t="str">
        <f>IFERROR(__xludf.DUMMYFUNCTION("""COMPUTED_VALUE"""),"Atkiya Farzana")</f>
        <v>Atkiya Farzana</v>
      </c>
      <c r="C81" s="125" t="str">
        <f>IFERROR(__xludf.DUMMYFUNCTION("""COMPUTED_VALUE"""),"General Member")</f>
        <v>General Member</v>
      </c>
      <c r="D81" s="125" t="str">
        <f>IFERROR(__xludf.DUMMYFUNCTION("""COMPUTED_VALUE"""),"atkiya.farzana@g.bracu.ac.bd")</f>
        <v>atkiya.farzana@g.bracu.ac.bd</v>
      </c>
    </row>
    <row r="82" ht="22.5" customHeight="1">
      <c r="A82" s="125">
        <f>IFERROR(__xludf.DUMMYFUNCTION("""COMPUTED_VALUE"""),2.2201062E7)</f>
        <v>22201062</v>
      </c>
      <c r="B82" s="125" t="str">
        <f>IFERROR(__xludf.DUMMYFUNCTION("""COMPUTED_VALUE"""),"Anindya Dasgupta")</f>
        <v>Anindya Dasgupta</v>
      </c>
      <c r="C82" s="125" t="str">
        <f>IFERROR(__xludf.DUMMYFUNCTION("""COMPUTED_VALUE"""),"General Member")</f>
        <v>General Member</v>
      </c>
      <c r="D82" s="125" t="str">
        <f>IFERROR(__xludf.DUMMYFUNCTION("""COMPUTED_VALUE"""),"anindya.dasgupta@g.bracu.ac.bd")</f>
        <v>anindya.dasgupta@g.bracu.ac.bd</v>
      </c>
    </row>
    <row r="83" ht="22.5" customHeight="1">
      <c r="A83" s="125">
        <f>IFERROR(__xludf.DUMMYFUNCTION("""COMPUTED_VALUE"""),2.2101846E7)</f>
        <v>22101846</v>
      </c>
      <c r="B83" s="125" t="str">
        <f>IFERROR(__xludf.DUMMYFUNCTION("""COMPUTED_VALUE"""),"Md. Tahfim Billah Suny")</f>
        <v>Md. Tahfim Billah Suny</v>
      </c>
      <c r="C83" s="125" t="str">
        <f>IFERROR(__xludf.DUMMYFUNCTION("""COMPUTED_VALUE"""),"General Member")</f>
        <v>General Member</v>
      </c>
      <c r="D83" s="125" t="str">
        <f>IFERROR(__xludf.DUMMYFUNCTION("""COMPUTED_VALUE"""),"tahfim.billah.suny1@g.bracu.ac.bd")</f>
        <v>tahfim.billah.suny1@g.bracu.ac.bd</v>
      </c>
    </row>
    <row r="84" ht="22.5" customHeight="1">
      <c r="A84" s="125">
        <f>IFERROR(__xludf.DUMMYFUNCTION("""COMPUTED_VALUE"""),2.2101788E7)</f>
        <v>22101788</v>
      </c>
      <c r="B84" s="125" t="str">
        <f>IFERROR(__xludf.DUMMYFUNCTION("""COMPUTED_VALUE"""),"Maria Hossain Tuli")</f>
        <v>Maria Hossain Tuli</v>
      </c>
      <c r="C84" s="125" t="str">
        <f>IFERROR(__xludf.DUMMYFUNCTION("""COMPUTED_VALUE"""),"General Member")</f>
        <v>General Member</v>
      </c>
      <c r="D84" s="125" t="str">
        <f>IFERROR(__xludf.DUMMYFUNCTION("""COMPUTED_VALUE"""),"maria.hossain.tuli@g.bracu.ac.bd")</f>
        <v>maria.hossain.tuli@g.bracu.ac.bd</v>
      </c>
    </row>
    <row r="85" ht="22.5" customHeight="1">
      <c r="A85" s="125">
        <f>IFERROR(__xludf.DUMMYFUNCTION("""COMPUTED_VALUE"""),2.2101739E7)</f>
        <v>22101739</v>
      </c>
      <c r="B85" s="125" t="str">
        <f>IFERROR(__xludf.DUMMYFUNCTION("""COMPUTED_VALUE"""),"Mahedi Mostafa Rifat")</f>
        <v>Mahedi Mostafa Rifat</v>
      </c>
      <c r="C85" s="125" t="str">
        <f>IFERROR(__xludf.DUMMYFUNCTION("""COMPUTED_VALUE"""),"General Member")</f>
        <v>General Member</v>
      </c>
      <c r="D85" s="125" t="str">
        <f>IFERROR(__xludf.DUMMYFUNCTION("""COMPUTED_VALUE"""),"mahedi.mostafa.rifat@g.bracu.ac.bd")</f>
        <v>mahedi.mostafa.rifat@g.bracu.ac.bd</v>
      </c>
    </row>
    <row r="86" ht="22.5" customHeight="1">
      <c r="A86" s="125">
        <f>IFERROR(__xludf.DUMMYFUNCTION("""COMPUTED_VALUE"""),2.2101644E7)</f>
        <v>22101644</v>
      </c>
      <c r="B86" s="125" t="str">
        <f>IFERROR(__xludf.DUMMYFUNCTION("""COMPUTED_VALUE"""),"Tasnia Mahjabin Maliha")</f>
        <v>Tasnia Mahjabin Maliha</v>
      </c>
      <c r="C86" s="125" t="str">
        <f>IFERROR(__xludf.DUMMYFUNCTION("""COMPUTED_VALUE"""),"General Member")</f>
        <v>General Member</v>
      </c>
      <c r="D86" s="125" t="str">
        <f>IFERROR(__xludf.DUMMYFUNCTION("""COMPUTED_VALUE"""),"tasnia.mahjabin.maliha@g.bracu.ac.bd")</f>
        <v>tasnia.mahjabin.maliha@g.bracu.ac.bd</v>
      </c>
    </row>
    <row r="87" ht="22.5" customHeight="1">
      <c r="A87" s="125">
        <f>IFERROR(__xludf.DUMMYFUNCTION("""COMPUTED_VALUE"""),2.210149E7)</f>
        <v>22101490</v>
      </c>
      <c r="B87" s="125" t="str">
        <f>IFERROR(__xludf.DUMMYFUNCTION("""COMPUTED_VALUE"""),"Md Zahid Hasan Nerob")</f>
        <v>Md Zahid Hasan Nerob</v>
      </c>
      <c r="C87" s="125" t="str">
        <f>IFERROR(__xludf.DUMMYFUNCTION("""COMPUTED_VALUE"""),"General Member")</f>
        <v>General Member</v>
      </c>
      <c r="D87" s="125" t="str">
        <f>IFERROR(__xludf.DUMMYFUNCTION("""COMPUTED_VALUE"""),"zahid.hasan.nerob@g.bracu.ac.bd")</f>
        <v>zahid.hasan.nerob@g.bracu.ac.bd</v>
      </c>
    </row>
    <row r="88" ht="22.5" customHeight="1">
      <c r="A88" s="125">
        <f>IFERROR(__xludf.DUMMYFUNCTION("""COMPUTED_VALUE"""),2.2101397E7)</f>
        <v>22101397</v>
      </c>
      <c r="B88" s="125" t="str">
        <f>IFERROR(__xludf.DUMMYFUNCTION("""COMPUTED_VALUE"""),"Abdul Ahad")</f>
        <v>Abdul Ahad</v>
      </c>
      <c r="C88" s="125" t="str">
        <f>IFERROR(__xludf.DUMMYFUNCTION("""COMPUTED_VALUE"""),"General Member")</f>
        <v>General Member</v>
      </c>
      <c r="D88" s="125" t="str">
        <f>IFERROR(__xludf.DUMMYFUNCTION("""COMPUTED_VALUE"""),"abdul.ahad@g.bracu.ac.bd")</f>
        <v>abdul.ahad@g.bracu.ac.bd</v>
      </c>
    </row>
    <row r="89" ht="22.5" customHeight="1">
      <c r="A89" s="125">
        <f>IFERROR(__xludf.DUMMYFUNCTION("""COMPUTED_VALUE"""),2.2101351E7)</f>
        <v>22101351</v>
      </c>
      <c r="B89" s="125" t="str">
        <f>IFERROR(__xludf.DUMMYFUNCTION("""COMPUTED_VALUE"""),"Arnab Anthony Gomes")</f>
        <v>Arnab Anthony Gomes</v>
      </c>
      <c r="C89" s="125" t="str">
        <f>IFERROR(__xludf.DUMMYFUNCTION("""COMPUTED_VALUE"""),"General Member")</f>
        <v>General Member</v>
      </c>
      <c r="D89" s="125" t="str">
        <f>IFERROR(__xludf.DUMMYFUNCTION("""COMPUTED_VALUE"""),"arnab.anthony.gomes@g.bracu.ac.bd")</f>
        <v>arnab.anthony.gomes@g.bracu.ac.bd</v>
      </c>
    </row>
    <row r="90" ht="22.5" customHeight="1">
      <c r="A90" s="125">
        <f>IFERROR(__xludf.DUMMYFUNCTION("""COMPUTED_VALUE"""),2.2101305E7)</f>
        <v>22101305</v>
      </c>
      <c r="B90" s="125" t="str">
        <f>IFERROR(__xludf.DUMMYFUNCTION("""COMPUTED_VALUE"""),"Anika Fariha")</f>
        <v>Anika Fariha</v>
      </c>
      <c r="C90" s="125" t="str">
        <f>IFERROR(__xludf.DUMMYFUNCTION("""COMPUTED_VALUE"""),"General Member")</f>
        <v>General Member</v>
      </c>
      <c r="D90" s="125" t="str">
        <f>IFERROR(__xludf.DUMMYFUNCTION("""COMPUTED_VALUE"""),"anika.fariha@g.bracu.ac.bd")</f>
        <v>anika.fariha@g.bracu.ac.bd</v>
      </c>
    </row>
    <row r="91" ht="22.5" customHeight="1">
      <c r="A91" s="125">
        <f>IFERROR(__xludf.DUMMYFUNCTION("""COMPUTED_VALUE"""),2.2101264E7)</f>
        <v>22101264</v>
      </c>
      <c r="B91" s="125" t="str">
        <f>IFERROR(__xludf.DUMMYFUNCTION("""COMPUTED_VALUE"""),"Tasnimul Ferdous Tamim")</f>
        <v>Tasnimul Ferdous Tamim</v>
      </c>
      <c r="C91" s="125" t="str">
        <f>IFERROR(__xludf.DUMMYFUNCTION("""COMPUTED_VALUE"""),"General Member")</f>
        <v>General Member</v>
      </c>
      <c r="D91" s="125" t="str">
        <f>IFERROR(__xludf.DUMMYFUNCTION("""COMPUTED_VALUE"""),"tasnimul.ferdous.tamim@g.bracu.ac.bd")</f>
        <v>tasnimul.ferdous.tamim@g.bracu.ac.bd</v>
      </c>
    </row>
    <row r="92" ht="22.5" customHeight="1">
      <c r="A92" s="125">
        <f>IFERROR(__xludf.DUMMYFUNCTION("""COMPUTED_VALUE"""),2.2101177E7)</f>
        <v>22101177</v>
      </c>
      <c r="B92" s="125" t="str">
        <f>IFERROR(__xludf.DUMMYFUNCTION("""COMPUTED_VALUE"""),"Sandip Kumar Paul")</f>
        <v>Sandip Kumar Paul</v>
      </c>
      <c r="C92" s="125" t="str">
        <f>IFERROR(__xludf.DUMMYFUNCTION("""COMPUTED_VALUE"""),"General Member")</f>
        <v>General Member</v>
      </c>
      <c r="D92" s="125" t="str">
        <f>IFERROR(__xludf.DUMMYFUNCTION("""COMPUTED_VALUE"""),"sandip.kumar.paul@g.bracu.ac.bd")</f>
        <v>sandip.kumar.paul@g.bracu.ac.bd</v>
      </c>
    </row>
    <row r="93" ht="22.5" customHeight="1">
      <c r="A93" s="125">
        <f>IFERROR(__xludf.DUMMYFUNCTION("""COMPUTED_VALUE"""),2.2101094E7)</f>
        <v>22101094</v>
      </c>
      <c r="B93" s="125" t="str">
        <f>IFERROR(__xludf.DUMMYFUNCTION("""COMPUTED_VALUE"""),"Sabaha Sadik")</f>
        <v>Sabaha Sadik</v>
      </c>
      <c r="C93" s="125" t="str">
        <f>IFERROR(__xludf.DUMMYFUNCTION("""COMPUTED_VALUE"""),"General Member")</f>
        <v>General Member</v>
      </c>
      <c r="D93" s="125" t="str">
        <f>IFERROR(__xludf.DUMMYFUNCTION("""COMPUTED_VALUE"""),"sabaha.sadik@g.bracu.ac.bd")</f>
        <v>sabaha.sadik@g.bracu.ac.bd</v>
      </c>
    </row>
    <row r="94" ht="22.5" customHeight="1">
      <c r="A94" s="125">
        <f>IFERROR(__xludf.DUMMYFUNCTION("""COMPUTED_VALUE"""),2.2101091E7)</f>
        <v>22101091</v>
      </c>
      <c r="B94" s="125" t="str">
        <f>IFERROR(__xludf.DUMMYFUNCTION("""COMPUTED_VALUE"""),"Md Tahmid Raiyan")</f>
        <v>Md Tahmid Raiyan</v>
      </c>
      <c r="C94" s="125" t="str">
        <f>IFERROR(__xludf.DUMMYFUNCTION("""COMPUTED_VALUE"""),"General Member")</f>
        <v>General Member</v>
      </c>
      <c r="D94" s="125" t="str">
        <f>IFERROR(__xludf.DUMMYFUNCTION("""COMPUTED_VALUE"""),"md.tahmid.raiyan@g.bracu.ac.bd")</f>
        <v>md.tahmid.raiyan@g.bracu.ac.bd</v>
      </c>
    </row>
    <row r="95" ht="22.5" customHeight="1">
      <c r="A95" s="125">
        <f>IFERROR(__xludf.DUMMYFUNCTION("""COMPUTED_VALUE"""),2.2101056E7)</f>
        <v>22101056</v>
      </c>
      <c r="B95" s="125" t="str">
        <f>IFERROR(__xludf.DUMMYFUNCTION("""COMPUTED_VALUE"""),"Sadman Hossain Ayon")</f>
        <v>Sadman Hossain Ayon</v>
      </c>
      <c r="C95" s="125" t="str">
        <f>IFERROR(__xludf.DUMMYFUNCTION("""COMPUTED_VALUE"""),"General Member")</f>
        <v>General Member</v>
      </c>
      <c r="D95" s="125" t="str">
        <f>IFERROR(__xludf.DUMMYFUNCTION("""COMPUTED_VALUE"""),"sadman.hossain.ayon@g.bracu.ac.bd")</f>
        <v>sadman.hossain.ayon@g.bracu.ac.bd</v>
      </c>
    </row>
    <row r="96" ht="22.5" customHeight="1">
      <c r="A96" s="125">
        <f>IFERROR(__xludf.DUMMYFUNCTION("""COMPUTED_VALUE"""),2.4101084E7)</f>
        <v>24101084</v>
      </c>
      <c r="B96" s="125" t="str">
        <f>IFERROR(__xludf.DUMMYFUNCTION("""COMPUTED_VALUE"""),"Ramisa Faria")</f>
        <v>Ramisa Faria</v>
      </c>
      <c r="C96" s="125" t="str">
        <f>IFERROR(__xludf.DUMMYFUNCTION("""COMPUTED_VALUE"""),"General Member")</f>
        <v>General Member</v>
      </c>
      <c r="D96" s="125" t="str">
        <f>IFERROR(__xludf.DUMMYFUNCTION("""COMPUTED_VALUE"""),"ramisa.faria@g.bracu.ac.bd")</f>
        <v>ramisa.faria@g.bracu.ac.bd</v>
      </c>
    </row>
    <row r="97" ht="22.5" customHeight="1">
      <c r="A97" s="125">
        <f>IFERROR(__xludf.DUMMYFUNCTION("""COMPUTED_VALUE"""),2.4101196E7)</f>
        <v>24101196</v>
      </c>
      <c r="B97" s="125" t="str">
        <f>IFERROR(__xludf.DUMMYFUNCTION("""COMPUTED_VALUE"""),"Noor-A-Kamal Islam")</f>
        <v>Noor-A-Kamal Islam</v>
      </c>
      <c r="C97" s="125" t="str">
        <f>IFERROR(__xludf.DUMMYFUNCTION("""COMPUTED_VALUE"""),"General Member")</f>
        <v>General Member</v>
      </c>
      <c r="D97" s="125" t="str">
        <f>IFERROR(__xludf.DUMMYFUNCTION("""COMPUTED_VALUE"""),"noor.akamal.islam@g.bracu.ac.bd")</f>
        <v>noor.akamal.islam@g.bracu.ac.bd</v>
      </c>
    </row>
    <row r="98" ht="22.5" customHeight="1">
      <c r="A98" s="125">
        <f>IFERROR(__xludf.DUMMYFUNCTION("""COMPUTED_VALUE"""),2.3201531E7)</f>
        <v>23201531</v>
      </c>
      <c r="B98" s="125" t="str">
        <f>IFERROR(__xludf.DUMMYFUNCTION("""COMPUTED_VALUE"""),"Rifat Bin Sadeque")</f>
        <v>Rifat Bin Sadeque</v>
      </c>
      <c r="C98" s="125" t="str">
        <f>IFERROR(__xludf.DUMMYFUNCTION("""COMPUTED_VALUE"""),"General Member")</f>
        <v>General Member</v>
      </c>
      <c r="D98" s="125" t="str">
        <f>IFERROR(__xludf.DUMMYFUNCTION("""COMPUTED_VALUE"""),"rifat.bin.sadeque@g.bracu.ac.bd")</f>
        <v>rifat.bin.sadeque@g.bracu.ac.bd</v>
      </c>
    </row>
    <row r="99" ht="22.5" customHeight="1">
      <c r="A99" s="125">
        <f>IFERROR(__xludf.DUMMYFUNCTION("""COMPUTED_VALUE"""),2.3301418E7)</f>
        <v>23301418</v>
      </c>
      <c r="B99" s="125" t="str">
        <f>IFERROR(__xludf.DUMMYFUNCTION("""COMPUTED_VALUE"""),"Md.Labib Reza Joarder")</f>
        <v>Md.Labib Reza Joarder</v>
      </c>
      <c r="C99" s="125" t="str">
        <f>IFERROR(__xludf.DUMMYFUNCTION("""COMPUTED_VALUE"""),"General Member")</f>
        <v>General Member</v>
      </c>
      <c r="D99" s="125" t="str">
        <f>IFERROR(__xludf.DUMMYFUNCTION("""COMPUTED_VALUE"""),"labib.reza.joarder@g.bracu.ac.bd")</f>
        <v>labib.reza.joarder@g.bracu.ac.bd</v>
      </c>
    </row>
    <row r="100" ht="22.5" customHeight="1">
      <c r="A100" s="125">
        <f>IFERROR(__xludf.DUMMYFUNCTION("""COMPUTED_VALUE"""),2.2201613E7)</f>
        <v>22201613</v>
      </c>
      <c r="B100" s="125" t="str">
        <f>IFERROR(__xludf.DUMMYFUNCTION("""COMPUTED_VALUE"""),"Mahmud Hasan")</f>
        <v>Mahmud Hasan</v>
      </c>
      <c r="C100" s="125" t="str">
        <f>IFERROR(__xludf.DUMMYFUNCTION("""COMPUTED_VALUE"""),"General Member")</f>
        <v>General Member</v>
      </c>
      <c r="D100" s="125" t="str">
        <f>IFERROR(__xludf.DUMMYFUNCTION("""COMPUTED_VALUE"""),"mahmud.hasan2@g.bracu.ac.bd")</f>
        <v>mahmud.hasan2@g.bracu.ac.bd</v>
      </c>
    </row>
    <row r="101" ht="22.5" customHeight="1">
      <c r="A101" s="125">
        <f>IFERROR(__xludf.DUMMYFUNCTION("""COMPUTED_VALUE"""),2.2201213E7)</f>
        <v>22201213</v>
      </c>
      <c r="B101" s="125" t="str">
        <f>IFERROR(__xludf.DUMMYFUNCTION("""COMPUTED_VALUE"""),"MD Mostofa Shahriar Sajib Sharker")</f>
        <v>MD Mostofa Shahriar Sajib Sharker</v>
      </c>
      <c r="C101" s="125" t="str">
        <f>IFERROR(__xludf.DUMMYFUNCTION("""COMPUTED_VALUE"""),"General Member")</f>
        <v>General Member</v>
      </c>
      <c r="D101" s="125" t="str">
        <f>IFERROR(__xludf.DUMMYFUNCTION("""COMPUTED_VALUE"""),"mostofa.shahriar.sajib@g.bracu.ac.bd")</f>
        <v>mostofa.shahriar.sajib@g.bracu.ac.bd</v>
      </c>
    </row>
    <row r="102" ht="22.5" customHeight="1">
      <c r="A102" s="125">
        <f>IFERROR(__xludf.DUMMYFUNCTION("""COMPUTED_VALUE"""),2.2341032E7)</f>
        <v>22341032</v>
      </c>
      <c r="B102" s="125" t="str">
        <f>IFERROR(__xludf.DUMMYFUNCTION("""COMPUTED_VALUE"""),"Tasfia Nur")</f>
        <v>Tasfia Nur</v>
      </c>
      <c r="C102" s="125" t="str">
        <f>IFERROR(__xludf.DUMMYFUNCTION("""COMPUTED_VALUE"""),"General Member")</f>
        <v>General Member</v>
      </c>
      <c r="D102" s="125" t="str">
        <f>IFERROR(__xludf.DUMMYFUNCTION("""COMPUTED_VALUE"""),"tasfia.nur@g.bracu.ac.bd")</f>
        <v>tasfia.nur@g.bracu.ac.bd</v>
      </c>
    </row>
    <row r="103" ht="22.5" customHeight="1">
      <c r="A103" s="125">
        <f>IFERROR(__xludf.DUMMYFUNCTION("""COMPUTED_VALUE"""),2.4101364E7)</f>
        <v>24101364</v>
      </c>
      <c r="B103" s="125" t="str">
        <f>IFERROR(__xludf.DUMMYFUNCTION("""COMPUTED_VALUE"""),"Foysal")</f>
        <v>Foysal</v>
      </c>
      <c r="C103" s="125" t="str">
        <f>IFERROR(__xludf.DUMMYFUNCTION("""COMPUTED_VALUE"""),"General Member")</f>
        <v>General Member</v>
      </c>
      <c r="D103" s="125" t="str">
        <f>IFERROR(__xludf.DUMMYFUNCTION("""COMPUTED_VALUE"""),"foysal@g.bracu.ac.bd")</f>
        <v>foysal@g.bracu.ac.bd</v>
      </c>
    </row>
    <row r="104" ht="22.5" customHeight="1">
      <c r="A104" s="125">
        <f>IFERROR(__xludf.DUMMYFUNCTION("""COMPUTED_VALUE"""),2.4141008E7)</f>
        <v>24141008</v>
      </c>
      <c r="B104" s="125" t="str">
        <f>IFERROR(__xludf.DUMMYFUNCTION("""COMPUTED_VALUE"""),"Ashvin Al Afroz")</f>
        <v>Ashvin Al Afroz</v>
      </c>
      <c r="C104" s="125" t="str">
        <f>IFERROR(__xludf.DUMMYFUNCTION("""COMPUTED_VALUE"""),"General Member")</f>
        <v>General Member</v>
      </c>
      <c r="D104" s="125" t="str">
        <f>IFERROR(__xludf.DUMMYFUNCTION("""COMPUTED_VALUE"""),"ashvin.al.afroz@g.bracu.ac.bd")</f>
        <v>ashvin.al.afroz@g.bracu.ac.bd</v>
      </c>
    </row>
    <row r="105" ht="22.5" customHeight="1">
      <c r="A105" s="125">
        <f>IFERROR(__xludf.DUMMYFUNCTION("""COMPUTED_VALUE"""),2.4101644E7)</f>
        <v>24101644</v>
      </c>
      <c r="B105" s="125" t="str">
        <f>IFERROR(__xludf.DUMMYFUNCTION("""COMPUTED_VALUE"""),"Md. Sharafat Hossain")</f>
        <v>Md. Sharafat Hossain</v>
      </c>
      <c r="C105" s="125" t="str">
        <f>IFERROR(__xludf.DUMMYFUNCTION("""COMPUTED_VALUE"""),"General Member")</f>
        <v>General Member</v>
      </c>
      <c r="D105" s="125" t="str">
        <f>IFERROR(__xludf.DUMMYFUNCTION("""COMPUTED_VALUE"""),"md.sharafat.hossain@g.bracu.ac.bd")</f>
        <v>md.sharafat.hossain@g.bracu.ac.bd</v>
      </c>
    </row>
    <row r="106" ht="22.5" customHeight="1">
      <c r="A106" s="125">
        <f>IFERROR(__xludf.DUMMYFUNCTION("""COMPUTED_VALUE"""),2.2301484E7)</f>
        <v>22301484</v>
      </c>
      <c r="B106" s="125" t="str">
        <f>IFERROR(__xludf.DUMMYFUNCTION("""COMPUTED_VALUE"""),"Gourab Krishna Saha")</f>
        <v>Gourab Krishna Saha</v>
      </c>
      <c r="C106" s="125" t="str">
        <f>IFERROR(__xludf.DUMMYFUNCTION("""COMPUTED_VALUE"""),"General Member")</f>
        <v>General Member</v>
      </c>
      <c r="D106" s="125" t="str">
        <f>IFERROR(__xludf.DUMMYFUNCTION("""COMPUTED_VALUE"""),"gourab.krishna.saha@g.bracu.ac.bd")</f>
        <v>gourab.krishna.saha@g.bracu.ac.bd</v>
      </c>
    </row>
    <row r="107" ht="22.5" customHeight="1">
      <c r="A107" s="125">
        <f>IFERROR(__xludf.DUMMYFUNCTION("""COMPUTED_VALUE"""),2.4101323E7)</f>
        <v>24101323</v>
      </c>
      <c r="B107" s="125" t="str">
        <f>IFERROR(__xludf.DUMMYFUNCTION("""COMPUTED_VALUE"""),"Paromita Rasheed")</f>
        <v>Paromita Rasheed</v>
      </c>
      <c r="C107" s="125" t="str">
        <f>IFERROR(__xludf.DUMMYFUNCTION("""COMPUTED_VALUE"""),"General Member")</f>
        <v>General Member</v>
      </c>
      <c r="D107" s="125" t="str">
        <f>IFERROR(__xludf.DUMMYFUNCTION("""COMPUTED_VALUE"""),"paromita.rasheed@g.bracu.ac.bd")</f>
        <v>paromita.rasheed@g.bracu.ac.bd</v>
      </c>
    </row>
    <row r="108" ht="22.5" customHeight="1">
      <c r="A108" s="125">
        <f>IFERROR(__xludf.DUMMYFUNCTION("""COMPUTED_VALUE"""),2.2301361E7)</f>
        <v>22301361</v>
      </c>
      <c r="B108" s="125" t="str">
        <f>IFERROR(__xludf.DUMMYFUNCTION("""COMPUTED_VALUE"""),"Sayanta Saha")</f>
        <v>Sayanta Saha</v>
      </c>
      <c r="C108" s="125" t="str">
        <f>IFERROR(__xludf.DUMMYFUNCTION("""COMPUTED_VALUE"""),"General Member")</f>
        <v>General Member</v>
      </c>
      <c r="D108" s="125" t="str">
        <f>IFERROR(__xludf.DUMMYFUNCTION("""COMPUTED_VALUE"""),"sayanta.saha@g.bracu.ac.bd")</f>
        <v>sayanta.saha@g.bracu.ac.bd</v>
      </c>
    </row>
    <row r="109" ht="22.5" customHeight="1">
      <c r="A109" s="125">
        <f>IFERROR(__xludf.DUMMYFUNCTION("""COMPUTED_VALUE"""),2.2201537E7)</f>
        <v>22201537</v>
      </c>
      <c r="B109" s="125" t="str">
        <f>IFERROR(__xludf.DUMMYFUNCTION("""COMPUTED_VALUE"""),"Iffat Islam Aria")</f>
        <v>Iffat Islam Aria</v>
      </c>
      <c r="C109" s="125" t="str">
        <f>IFERROR(__xludf.DUMMYFUNCTION("""COMPUTED_VALUE"""),"General Member")</f>
        <v>General Member</v>
      </c>
      <c r="D109" s="125" t="str">
        <f>IFERROR(__xludf.DUMMYFUNCTION("""COMPUTED_VALUE"""),"iffat.islam.aria@g.bracu.ac.bd")</f>
        <v>iffat.islam.aria@g.bracu.ac.bd</v>
      </c>
    </row>
    <row r="110" ht="22.5" customHeight="1">
      <c r="A110" s="125">
        <f>IFERROR(__xludf.DUMMYFUNCTION("""COMPUTED_VALUE"""),2.4141002E7)</f>
        <v>24141002</v>
      </c>
      <c r="B110" s="125" t="str">
        <f>IFERROR(__xludf.DUMMYFUNCTION("""COMPUTED_VALUE"""),"Safwan Noor")</f>
        <v>Safwan Noor</v>
      </c>
      <c r="C110" s="125" t="str">
        <f>IFERROR(__xludf.DUMMYFUNCTION("""COMPUTED_VALUE"""),"General Member")</f>
        <v>General Member</v>
      </c>
      <c r="D110" s="125" t="str">
        <f>IFERROR(__xludf.DUMMYFUNCTION("""COMPUTED_VALUE"""),"safwan.noor@g.bracu.ac.bd")</f>
        <v>safwan.noor@g.bracu.ac.bd</v>
      </c>
    </row>
    <row r="111" ht="22.5" customHeight="1">
      <c r="A111" s="125">
        <f>IFERROR(__xludf.DUMMYFUNCTION("""COMPUTED_VALUE"""),2.4301576E7)</f>
        <v>24301576</v>
      </c>
      <c r="B111" s="125" t="str">
        <f>IFERROR(__xludf.DUMMYFUNCTION("""COMPUTED_VALUE"""),"Nabil Mahmud")</f>
        <v>Nabil Mahmud</v>
      </c>
      <c r="C111" s="125" t="str">
        <f>IFERROR(__xludf.DUMMYFUNCTION("""COMPUTED_VALUE"""),"General Member")</f>
        <v>General Member</v>
      </c>
      <c r="D111" s="125" t="str">
        <f>IFERROR(__xludf.DUMMYFUNCTION("""COMPUTED_VALUE"""),"nabil.mahmud1@g.bracu.ac.bd")</f>
        <v>nabil.mahmud1@g.bracu.ac.bd</v>
      </c>
    </row>
    <row r="112" ht="22.5" customHeight="1">
      <c r="A112" s="125">
        <f>IFERROR(__xludf.DUMMYFUNCTION("""COMPUTED_VALUE"""),2.3301347E7)</f>
        <v>23301347</v>
      </c>
      <c r="B112" s="125" t="str">
        <f>IFERROR(__xludf.DUMMYFUNCTION("""COMPUTED_VALUE"""),"Ishtiak")</f>
        <v>Ishtiak</v>
      </c>
      <c r="C112" s="125" t="str">
        <f>IFERROR(__xludf.DUMMYFUNCTION("""COMPUTED_VALUE"""),"General Member")</f>
        <v>General Member</v>
      </c>
      <c r="D112" s="125" t="str">
        <f>IFERROR(__xludf.DUMMYFUNCTION("""COMPUTED_VALUE"""),"ishtiak@g.bracu.ac.bd")</f>
        <v>ishtiak@g.bracu.ac.bd</v>
      </c>
    </row>
    <row r="113" ht="22.5" customHeight="1">
      <c r="A113" s="125">
        <f>IFERROR(__xludf.DUMMYFUNCTION("""COMPUTED_VALUE"""),2.4301233E7)</f>
        <v>24301233</v>
      </c>
      <c r="B113" s="125" t="str">
        <f>IFERROR(__xludf.DUMMYFUNCTION("""COMPUTED_VALUE"""),"Md.Mahbubul Haque Mahi")</f>
        <v>Md.Mahbubul Haque Mahi</v>
      </c>
      <c r="C113" s="125" t="str">
        <f>IFERROR(__xludf.DUMMYFUNCTION("""COMPUTED_VALUE"""),"General Member")</f>
        <v>General Member</v>
      </c>
      <c r="D113" s="125" t="str">
        <f>IFERROR(__xludf.DUMMYFUNCTION("""COMPUTED_VALUE"""),"mahbubul.haque.mahi@g.bracu.ac.bd")</f>
        <v>mahbubul.haque.mahi@g.bracu.ac.bd</v>
      </c>
    </row>
    <row r="114" ht="22.5" customHeight="1">
      <c r="A114" s="125">
        <f>IFERROR(__xludf.DUMMYFUNCTION("""COMPUTED_VALUE"""),2.4321331E7)</f>
        <v>24321331</v>
      </c>
      <c r="B114" s="125" t="str">
        <f>IFERROR(__xludf.DUMMYFUNCTION("""COMPUTED_VALUE"""),"A T M Farhan Zaman")</f>
        <v>A T M Farhan Zaman</v>
      </c>
      <c r="C114" s="125" t="str">
        <f>IFERROR(__xludf.DUMMYFUNCTION("""COMPUTED_VALUE"""),"General Member")</f>
        <v>General Member</v>
      </c>
      <c r="D114" s="125" t="str">
        <f>IFERROR(__xludf.DUMMYFUNCTION("""COMPUTED_VALUE"""),"atm.farhan.zaman@g.bracu.ac.bd")</f>
        <v>atm.farhan.zaman@g.bracu.ac.bd</v>
      </c>
    </row>
    <row r="115" ht="22.5" customHeight="1">
      <c r="A115" s="125">
        <f>IFERROR(__xludf.DUMMYFUNCTION("""COMPUTED_VALUE"""),2.4301236E7)</f>
        <v>24301236</v>
      </c>
      <c r="B115" s="125" t="str">
        <f>IFERROR(__xludf.DUMMYFUNCTION("""COMPUTED_VALUE"""),"Muahhidul Islam Rishti")</f>
        <v>Muahhidul Islam Rishti</v>
      </c>
      <c r="C115" s="125" t="str">
        <f>IFERROR(__xludf.DUMMYFUNCTION("""COMPUTED_VALUE"""),"General Member")</f>
        <v>General Member</v>
      </c>
      <c r="D115" s="125" t="str">
        <f>IFERROR(__xludf.DUMMYFUNCTION("""COMPUTED_VALUE"""),"muahhidul.islam.rishti@g.bracu.ac.bd")</f>
        <v>muahhidul.islam.rishti@g.bracu.ac.bd</v>
      </c>
    </row>
    <row r="116" ht="22.5" customHeight="1">
      <c r="A116" s="125">
        <f>IFERROR(__xludf.DUMMYFUNCTION("""COMPUTED_VALUE"""),2.4301497E7)</f>
        <v>24301497</v>
      </c>
      <c r="B116" s="125" t="str">
        <f>IFERROR(__xludf.DUMMYFUNCTION("""COMPUTED_VALUE"""),"Talha Jubayer")</f>
        <v>Talha Jubayer</v>
      </c>
      <c r="C116" s="125" t="str">
        <f>IFERROR(__xludf.DUMMYFUNCTION("""COMPUTED_VALUE"""),"General Member")</f>
        <v>General Member</v>
      </c>
      <c r="D116" s="125" t="str">
        <f>IFERROR(__xludf.DUMMYFUNCTION("""COMPUTED_VALUE"""),"talha.jubayer@g.bracu.ac.bd")</f>
        <v>talha.jubayer@g.bracu.ac.bd</v>
      </c>
    </row>
    <row r="117" ht="22.5" customHeight="1">
      <c r="A117" s="125">
        <f>IFERROR(__xludf.DUMMYFUNCTION("""COMPUTED_VALUE"""),2.3301574E7)</f>
        <v>23301574</v>
      </c>
      <c r="B117" s="125" t="str">
        <f>IFERROR(__xludf.DUMMYFUNCTION("""COMPUTED_VALUE"""),"Md. Fuad Hasan")</f>
        <v>Md. Fuad Hasan</v>
      </c>
      <c r="C117" s="125" t="str">
        <f>IFERROR(__xludf.DUMMYFUNCTION("""COMPUTED_VALUE"""),"General Member")</f>
        <v>General Member</v>
      </c>
      <c r="D117" s="125" t="str">
        <f>IFERROR(__xludf.DUMMYFUNCTION("""COMPUTED_VALUE"""),"md.fuad.hasan3@g.bracu.ac.bd")</f>
        <v>md.fuad.hasan3@g.bracu.ac.bd</v>
      </c>
    </row>
    <row r="118" ht="22.5" customHeight="1">
      <c r="A118" s="125">
        <f>IFERROR(__xludf.DUMMYFUNCTION("""COMPUTED_VALUE"""),2.4301302E7)</f>
        <v>24301302</v>
      </c>
      <c r="B118" s="125" t="str">
        <f>IFERROR(__xludf.DUMMYFUNCTION("""COMPUTED_VALUE"""),"Shafiur Rahman Sajid")</f>
        <v>Shafiur Rahman Sajid</v>
      </c>
      <c r="C118" s="125" t="str">
        <f>IFERROR(__xludf.DUMMYFUNCTION("""COMPUTED_VALUE"""),"General Member")</f>
        <v>General Member</v>
      </c>
      <c r="D118" s="125" t="str">
        <f>IFERROR(__xludf.DUMMYFUNCTION("""COMPUTED_VALUE"""),"shafiur.rahman.sajid@g.bracu.ac.bd")</f>
        <v>shafiur.rahman.sajid@g.bracu.ac.bd</v>
      </c>
    </row>
    <row r="119" ht="22.5" customHeight="1">
      <c r="A119" s="125">
        <f>IFERROR(__xludf.DUMMYFUNCTION("""COMPUTED_VALUE"""),2.4101447E7)</f>
        <v>24101447</v>
      </c>
      <c r="B119" s="125" t="str">
        <f>IFERROR(__xludf.DUMMYFUNCTION("""COMPUTED_VALUE"""),"Faria Sarkar Ajanta")</f>
        <v>Faria Sarkar Ajanta</v>
      </c>
      <c r="C119" s="125" t="str">
        <f>IFERROR(__xludf.DUMMYFUNCTION("""COMPUTED_VALUE"""),"General Member")</f>
        <v>General Member</v>
      </c>
      <c r="D119" s="125" t="str">
        <f>IFERROR(__xludf.DUMMYFUNCTION("""COMPUTED_VALUE"""),"faria.sarkar.ajanta@g.bracu.ac.bd")</f>
        <v>faria.sarkar.ajanta@g.bracu.ac.bd</v>
      </c>
    </row>
    <row r="120" ht="22.5" customHeight="1">
      <c r="A120" s="125">
        <f>IFERROR(__xludf.DUMMYFUNCTION("""COMPUTED_VALUE"""),2.3301069E7)</f>
        <v>23301069</v>
      </c>
      <c r="B120" s="125" t="str">
        <f>IFERROR(__xludf.DUMMYFUNCTION("""COMPUTED_VALUE"""),"Faria Hossain Afnan")</f>
        <v>Faria Hossain Afnan</v>
      </c>
      <c r="C120" s="125" t="str">
        <f>IFERROR(__xludf.DUMMYFUNCTION("""COMPUTED_VALUE"""),"General Member")</f>
        <v>General Member</v>
      </c>
      <c r="D120" s="125" t="str">
        <f>IFERROR(__xludf.DUMMYFUNCTION("""COMPUTED_VALUE"""),"faria.hossain.afnan@g.bracu.ac.bd")</f>
        <v>faria.hossain.afnan@g.bracu.ac.bd</v>
      </c>
    </row>
    <row r="121" ht="22.5" customHeight="1">
      <c r="A121" s="125">
        <f>IFERROR(__xludf.DUMMYFUNCTION("""COMPUTED_VALUE"""),2.3304142E7)</f>
        <v>23304142</v>
      </c>
      <c r="B121" s="125" t="str">
        <f>IFERROR(__xludf.DUMMYFUNCTION("""COMPUTED_VALUE"""),"FAIROSE ANIKA ZAMAN PURNATA")</f>
        <v>FAIROSE ANIKA ZAMAN PURNATA</v>
      </c>
      <c r="C121" s="125" t="str">
        <f>IFERROR(__xludf.DUMMYFUNCTION("""COMPUTED_VALUE"""),"General Member")</f>
        <v>General Member</v>
      </c>
      <c r="D121" s="125" t="str">
        <f>IFERROR(__xludf.DUMMYFUNCTION("""COMPUTED_VALUE"""),"fairose.anika.zaman@g.bracu.ac.bd")</f>
        <v>fairose.anika.zaman@g.bracu.ac.bd</v>
      </c>
    </row>
    <row r="122" ht="22.5" customHeight="1">
      <c r="A122" s="125">
        <f>IFERROR(__xludf.DUMMYFUNCTION("""COMPUTED_VALUE"""),2.4301199E7)</f>
        <v>24301199</v>
      </c>
      <c r="B122" s="125" t="str">
        <f>IFERROR(__xludf.DUMMYFUNCTION("""COMPUTED_VALUE"""),"Rifah Nanjiba")</f>
        <v>Rifah Nanjiba</v>
      </c>
      <c r="C122" s="125" t="str">
        <f>IFERROR(__xludf.DUMMYFUNCTION("""COMPUTED_VALUE"""),"General Member")</f>
        <v>General Member</v>
      </c>
      <c r="D122" s="125" t="str">
        <f>IFERROR(__xludf.DUMMYFUNCTION("""COMPUTED_VALUE"""),"rifah.nanjiba4@g.bracu.ac.bd")</f>
        <v>rifah.nanjiba4@g.bracu.ac.bd</v>
      </c>
    </row>
    <row r="123" ht="22.5" customHeight="1">
      <c r="A123" s="125">
        <f>IFERROR(__xludf.DUMMYFUNCTION("""COMPUTED_VALUE"""),2.4301218E7)</f>
        <v>24301218</v>
      </c>
      <c r="B123" s="125" t="str">
        <f>IFERROR(__xludf.DUMMYFUNCTION("""COMPUTED_VALUE"""),"Tasmia Afrin Trisha")</f>
        <v>Tasmia Afrin Trisha</v>
      </c>
      <c r="C123" s="125" t="str">
        <f>IFERROR(__xludf.DUMMYFUNCTION("""COMPUTED_VALUE"""),"General Member")</f>
        <v>General Member</v>
      </c>
      <c r="D123" s="125" t="str">
        <f>IFERROR(__xludf.DUMMYFUNCTION("""COMPUTED_VALUE"""),"tasmia.afrin.trisha@g.bracu.ac.bd")</f>
        <v>tasmia.afrin.trisha@g.bracu.ac.bd</v>
      </c>
    </row>
    <row r="124" ht="22.5" customHeight="1">
      <c r="A124" s="125">
        <f>IFERROR(__xludf.DUMMYFUNCTION("""COMPUTED_VALUE"""),2.3221037E7)</f>
        <v>23221037</v>
      </c>
      <c r="B124" s="125" t="str">
        <f>IFERROR(__xludf.DUMMYFUNCTION("""COMPUTED_VALUE"""),"Rafia Farhana Rafa")</f>
        <v>Rafia Farhana Rafa</v>
      </c>
      <c r="C124" s="125" t="str">
        <f>IFERROR(__xludf.DUMMYFUNCTION("""COMPUTED_VALUE"""),"General Member")</f>
        <v>General Member</v>
      </c>
      <c r="D124" s="125" t="str">
        <f>IFERROR(__xludf.DUMMYFUNCTION("""COMPUTED_VALUE"""),"rafia.farhana.rafa@g.bracu.ac.bd")</f>
        <v>rafia.farhana.rafa@g.bracu.ac.bd</v>
      </c>
    </row>
    <row r="125" ht="22.5" customHeight="1">
      <c r="A125" s="125">
        <f>IFERROR(__xludf.DUMMYFUNCTION("""COMPUTED_VALUE"""),2.4301073E7)</f>
        <v>24301073</v>
      </c>
      <c r="B125" s="125" t="str">
        <f>IFERROR(__xludf.DUMMYFUNCTION("""COMPUTED_VALUE"""),"Rafid Bin Nasir")</f>
        <v>Rafid Bin Nasir</v>
      </c>
      <c r="C125" s="125" t="str">
        <f>IFERROR(__xludf.DUMMYFUNCTION("""COMPUTED_VALUE"""),"General Member")</f>
        <v>General Member</v>
      </c>
      <c r="D125" s="125" t="str">
        <f>IFERROR(__xludf.DUMMYFUNCTION("""COMPUTED_VALUE"""),"rafid.bin.nasir@g.bracu.ac.bd")</f>
        <v>rafid.bin.nasir@g.bracu.ac.bd</v>
      </c>
    </row>
    <row r="126" ht="22.5" customHeight="1">
      <c r="A126" s="125">
        <f>IFERROR(__xludf.DUMMYFUNCTION("""COMPUTED_VALUE"""),2.4301138E7)</f>
        <v>24301138</v>
      </c>
      <c r="B126" s="125" t="str">
        <f>IFERROR(__xludf.DUMMYFUNCTION("""COMPUTED_VALUE"""),"Nur Raisa")</f>
        <v>Nur Raisa</v>
      </c>
      <c r="C126" s="125" t="str">
        <f>IFERROR(__xludf.DUMMYFUNCTION("""COMPUTED_VALUE"""),"General Member")</f>
        <v>General Member</v>
      </c>
      <c r="D126" s="125" t="str">
        <f>IFERROR(__xludf.DUMMYFUNCTION("""COMPUTED_VALUE"""),"nur.raisa@g.bracu.ac.bd")</f>
        <v>nur.raisa@g.bracu.ac.bd</v>
      </c>
    </row>
    <row r="127" ht="22.5" customHeight="1">
      <c r="A127" s="125">
        <f>IFERROR(__xludf.DUMMYFUNCTION("""COMPUTED_VALUE"""),2.4321085E7)</f>
        <v>24321085</v>
      </c>
      <c r="B127" s="125" t="str">
        <f>IFERROR(__xludf.DUMMYFUNCTION("""COMPUTED_VALUE"""),"Junaid Alam")</f>
        <v>Junaid Alam</v>
      </c>
      <c r="C127" s="125" t="str">
        <f>IFERROR(__xludf.DUMMYFUNCTION("""COMPUTED_VALUE"""),"General Member")</f>
        <v>General Member</v>
      </c>
      <c r="D127" s="125" t="str">
        <f>IFERROR(__xludf.DUMMYFUNCTION("""COMPUTED_VALUE"""),"junaid.alam@g.bracu.ac.bd")</f>
        <v>junaid.alam@g.bracu.ac.bd</v>
      </c>
    </row>
    <row r="128" ht="22.5" customHeight="1">
      <c r="A128" s="125">
        <f>IFERROR(__xludf.DUMMYFUNCTION("""COMPUTED_VALUE"""),2.4201212E7)</f>
        <v>24201212</v>
      </c>
      <c r="B128" s="125" t="str">
        <f>IFERROR(__xludf.DUMMYFUNCTION("""COMPUTED_VALUE"""),"Xavier Hasan")</f>
        <v>Xavier Hasan</v>
      </c>
      <c r="C128" s="125" t="str">
        <f>IFERROR(__xludf.DUMMYFUNCTION("""COMPUTED_VALUE"""),"General Member")</f>
        <v>General Member</v>
      </c>
      <c r="D128" s="125" t="str">
        <f>IFERROR(__xludf.DUMMYFUNCTION("""COMPUTED_VALUE"""),"xavier.hasan@g.bracu.ac.bd")</f>
        <v>xavier.hasan@g.bracu.ac.bd</v>
      </c>
    </row>
    <row r="129" ht="22.5" customHeight="1">
      <c r="A129" s="125">
        <f>IFERROR(__xludf.DUMMYFUNCTION("""COMPUTED_VALUE"""),2.4301286E7)</f>
        <v>24301286</v>
      </c>
      <c r="B129" s="125" t="str">
        <f>IFERROR(__xludf.DUMMYFUNCTION("""COMPUTED_VALUE"""),"Md. Rafi Raihan")</f>
        <v>Md. Rafi Raihan</v>
      </c>
      <c r="C129" s="125" t="str">
        <f>IFERROR(__xludf.DUMMYFUNCTION("""COMPUTED_VALUE"""),"General Member")</f>
        <v>General Member</v>
      </c>
      <c r="D129" s="125" t="str">
        <f>IFERROR(__xludf.DUMMYFUNCTION("""COMPUTED_VALUE"""),"md.rafi.raihan@g.bracu.ac.bd")</f>
        <v>md.rafi.raihan@g.bracu.ac.bd</v>
      </c>
    </row>
    <row r="130" ht="22.5" customHeight="1">
      <c r="A130" s="125">
        <f>IFERROR(__xludf.DUMMYFUNCTION("""COMPUTED_VALUE"""),2.3101263E7)</f>
        <v>23101263</v>
      </c>
      <c r="B130" s="125" t="str">
        <f>IFERROR(__xludf.DUMMYFUNCTION("""COMPUTED_VALUE"""),"Shahed Parves Kallol")</f>
        <v>Shahed Parves Kallol</v>
      </c>
      <c r="C130" s="125" t="str">
        <f>IFERROR(__xludf.DUMMYFUNCTION("""COMPUTED_VALUE"""),"General Member")</f>
        <v>General Member</v>
      </c>
      <c r="D130" s="125" t="str">
        <f>IFERROR(__xludf.DUMMYFUNCTION("""COMPUTED_VALUE"""),"shahed.parves.kallol@g.bracu.ac.bd")</f>
        <v>shahed.parves.kallol@g.bracu.ac.bd</v>
      </c>
    </row>
    <row r="131" ht="22.5" customHeight="1">
      <c r="A131" s="125">
        <f>IFERROR(__xludf.DUMMYFUNCTION("""COMPUTED_VALUE"""),2.3201184E7)</f>
        <v>23201184</v>
      </c>
      <c r="B131" s="125" t="str">
        <f>IFERROR(__xludf.DUMMYFUNCTION("""COMPUTED_VALUE"""),"Mashroor Sadab Ifti")</f>
        <v>Mashroor Sadab Ifti</v>
      </c>
      <c r="C131" s="125" t="str">
        <f>IFERROR(__xludf.DUMMYFUNCTION("""COMPUTED_VALUE"""),"General Member")</f>
        <v>General Member</v>
      </c>
      <c r="D131" s="125" t="str">
        <f>IFERROR(__xludf.DUMMYFUNCTION("""COMPUTED_VALUE"""),"mashroor.sadab.ifti@g.bracu.ac.bd")</f>
        <v>mashroor.sadab.ifti@g.bracu.ac.bd</v>
      </c>
    </row>
    <row r="132" ht="22.5" customHeight="1">
      <c r="A132" s="125">
        <f>IFERROR(__xludf.DUMMYFUNCTION("""COMPUTED_VALUE"""),2.3201322E7)</f>
        <v>23201322</v>
      </c>
      <c r="B132" s="125" t="str">
        <f>IFERROR(__xludf.DUMMYFUNCTION("""COMPUTED_VALUE"""),"Fatema Karim Kusum")</f>
        <v>Fatema Karim Kusum</v>
      </c>
      <c r="C132" s="125" t="str">
        <f>IFERROR(__xludf.DUMMYFUNCTION("""COMPUTED_VALUE"""),"General Member")</f>
        <v>General Member</v>
      </c>
      <c r="D132" s="125" t="str">
        <f>IFERROR(__xludf.DUMMYFUNCTION("""COMPUTED_VALUE"""),"fatema.karim.kusum@g.bracu.ac.bd")</f>
        <v>fatema.karim.kusum@g.bracu.ac.bd</v>
      </c>
    </row>
    <row r="133" ht="22.5" customHeight="1">
      <c r="A133" s="125">
        <f>IFERROR(__xludf.DUMMYFUNCTION("""COMPUTED_VALUE"""),2.4101475E7)</f>
        <v>24101475</v>
      </c>
      <c r="B133" s="125" t="str">
        <f>IFERROR(__xludf.DUMMYFUNCTION("""COMPUTED_VALUE"""),"Sharzil Nafis")</f>
        <v>Sharzil Nafis</v>
      </c>
      <c r="C133" s="125" t="str">
        <f>IFERROR(__xludf.DUMMYFUNCTION("""COMPUTED_VALUE"""),"General Member")</f>
        <v>General Member</v>
      </c>
      <c r="D133" s="125" t="str">
        <f>IFERROR(__xludf.DUMMYFUNCTION("""COMPUTED_VALUE"""),"sharzil.nafis.hossain@g.bracu.ac.bd")</f>
        <v>sharzil.nafis.hossain@g.bracu.ac.bd</v>
      </c>
    </row>
    <row r="134" ht="22.5" customHeight="1">
      <c r="A134" s="125">
        <f>IFERROR(__xludf.DUMMYFUNCTION("""COMPUTED_VALUE"""),2.4101495E7)</f>
        <v>24101495</v>
      </c>
      <c r="B134" s="125" t="str">
        <f>IFERROR(__xludf.DUMMYFUNCTION("""COMPUTED_VALUE"""),"Sigratur Rahman Adiat")</f>
        <v>Sigratur Rahman Adiat</v>
      </c>
      <c r="C134" s="125" t="str">
        <f>IFERROR(__xludf.DUMMYFUNCTION("""COMPUTED_VALUE"""),"General Member")</f>
        <v>General Member</v>
      </c>
      <c r="D134" s="125" t="str">
        <f>IFERROR(__xludf.DUMMYFUNCTION("""COMPUTED_VALUE"""),"sigratur.rahman.adiat@g.bracu.ac.bd")</f>
        <v>sigratur.rahman.adiat@g.bracu.ac.bd</v>
      </c>
    </row>
    <row r="135" ht="22.5" customHeight="1">
      <c r="A135" s="125">
        <f>IFERROR(__xludf.DUMMYFUNCTION("""COMPUTED_VALUE"""),2.4101652E7)</f>
        <v>24101652</v>
      </c>
      <c r="B135" s="125" t="str">
        <f>IFERROR(__xludf.DUMMYFUNCTION("""COMPUTED_VALUE"""),"Mahin Hossain")</f>
        <v>Mahin Hossain</v>
      </c>
      <c r="C135" s="125" t="str">
        <f>IFERROR(__xludf.DUMMYFUNCTION("""COMPUTED_VALUE"""),"General Member")</f>
        <v>General Member</v>
      </c>
      <c r="D135" s="125" t="str">
        <f>IFERROR(__xludf.DUMMYFUNCTION("""COMPUTED_VALUE"""),"mahin.hossain1@g.bracu.ac.bd")</f>
        <v>mahin.hossain1@g.bracu.ac.bd</v>
      </c>
    </row>
    <row r="136" ht="22.5" customHeight="1">
      <c r="A136" s="125">
        <f>IFERROR(__xludf.DUMMYFUNCTION("""COMPUTED_VALUE"""),2.4201021E7)</f>
        <v>24201021</v>
      </c>
      <c r="B136" s="125" t="str">
        <f>IFERROR(__xludf.DUMMYFUNCTION("""COMPUTED_VALUE"""),"Shikar Bhattacharjee Drik")</f>
        <v>Shikar Bhattacharjee Drik</v>
      </c>
      <c r="C136" s="125" t="str">
        <f>IFERROR(__xludf.DUMMYFUNCTION("""COMPUTED_VALUE"""),"General Member")</f>
        <v>General Member</v>
      </c>
      <c r="D136" s="125" t="str">
        <f>IFERROR(__xludf.DUMMYFUNCTION("""COMPUTED_VALUE"""),"shikar.bhattacharjee.drik@g.bracu.ac.bd")</f>
        <v>shikar.bhattacharjee.drik@g.bracu.ac.bd</v>
      </c>
    </row>
    <row r="137" ht="22.5" customHeight="1">
      <c r="A137" s="125">
        <f>IFERROR(__xludf.DUMMYFUNCTION("""COMPUTED_VALUE"""),1.000054038E9)</f>
        <v>1000054038</v>
      </c>
      <c r="B137" s="125" t="str">
        <f>IFERROR(__xludf.DUMMYFUNCTION("""COMPUTED_VALUE"""),"Meharuba Hossain Mim")</f>
        <v>Meharuba Hossain Mim</v>
      </c>
      <c r="C137" s="125" t="str">
        <f>IFERROR(__xludf.DUMMYFUNCTION("""COMPUTED_VALUE"""),"General Member")</f>
        <v>General Member</v>
      </c>
      <c r="D137" s="125" t="str">
        <f>IFERROR(__xludf.DUMMYFUNCTION("""COMPUTED_VALUE"""),"meharuba.hossain.mim@g.bracu.ac.bd")</f>
        <v>meharuba.hossain.mim@g.bracu.ac.bd</v>
      </c>
    </row>
    <row r="138" ht="22.5" customHeight="1">
      <c r="A138" s="125">
        <f>IFERROR(__xludf.DUMMYFUNCTION("""COMPUTED_VALUE"""),1.000055248E9)</f>
        <v>1000055248</v>
      </c>
      <c r="B138" s="125" t="str">
        <f>IFERROR(__xludf.DUMMYFUNCTION("""COMPUTED_VALUE"""),"Samira Akther")</f>
        <v>Samira Akther</v>
      </c>
      <c r="C138" s="125" t="str">
        <f>IFERROR(__xludf.DUMMYFUNCTION("""COMPUTED_VALUE"""),"General Member")</f>
        <v>General Member</v>
      </c>
      <c r="D138" s="125" t="str">
        <f>IFERROR(__xludf.DUMMYFUNCTION("""COMPUTED_VALUE"""),"Samira.akther@g.bracu.ac.bd")</f>
        <v>Samira.akther@g.bracu.ac.bd</v>
      </c>
    </row>
    <row r="139" ht="22.5" customHeight="1">
      <c r="A139" s="125">
        <f>IFERROR(__xludf.DUMMYFUNCTION("""COMPUTED_VALUE"""),1.000055322E9)</f>
        <v>1000055322</v>
      </c>
      <c r="B139" s="125" t="str">
        <f>IFERROR(__xludf.DUMMYFUNCTION("""COMPUTED_VALUE"""),"Tasnim Islam Khan")</f>
        <v>Tasnim Islam Khan</v>
      </c>
      <c r="C139" s="125" t="str">
        <f>IFERROR(__xludf.DUMMYFUNCTION("""COMPUTED_VALUE"""),"General Member")</f>
        <v>General Member</v>
      </c>
      <c r="D139" s="125" t="str">
        <f>IFERROR(__xludf.DUMMYFUNCTION("""COMPUTED_VALUE"""),"tasnim.islam.khan1@g.bracu.ac.bd")</f>
        <v>tasnim.islam.khan1@g.bracu.ac.bd</v>
      </c>
    </row>
    <row r="140" ht="22.5" customHeight="1">
      <c r="A140" s="125">
        <f>IFERROR(__xludf.DUMMYFUNCTION("""COMPUTED_VALUE"""),2.4101321E7)</f>
        <v>24101321</v>
      </c>
      <c r="B140" s="125" t="str">
        <f>IFERROR(__xludf.DUMMYFUNCTION("""COMPUTED_VALUE"""),"Tasnia Sharmin Aurna")</f>
        <v>Tasnia Sharmin Aurna</v>
      </c>
      <c r="C140" s="125" t="str">
        <f>IFERROR(__xludf.DUMMYFUNCTION("""COMPUTED_VALUE"""),"General Member")</f>
        <v>General Member</v>
      </c>
      <c r="D140" s="125" t="str">
        <f>IFERROR(__xludf.DUMMYFUNCTION("""COMPUTED_VALUE"""),"tasnia.sharmin.aurna@g.bracu.ac.bd")</f>
        <v>tasnia.sharmin.aurna@g.bracu.ac.bd</v>
      </c>
    </row>
    <row r="141" ht="22.5" customHeight="1">
      <c r="A141" s="125">
        <f>IFERROR(__xludf.DUMMYFUNCTION("""COMPUTED_VALUE"""),1.000056212E9)</f>
        <v>1000056212</v>
      </c>
      <c r="B141" s="125" t="str">
        <f>IFERROR(__xludf.DUMMYFUNCTION("""COMPUTED_VALUE"""),"MD Junaid Ahmed")</f>
        <v>MD Junaid Ahmed</v>
      </c>
      <c r="C141" s="125" t="str">
        <f>IFERROR(__xludf.DUMMYFUNCTION("""COMPUTED_VALUE"""),"General Member")</f>
        <v>General Member</v>
      </c>
      <c r="D141" s="125" t="str">
        <f>IFERROR(__xludf.DUMMYFUNCTION("""COMPUTED_VALUE"""),"Junaid@g.bracu.ac.bd")</f>
        <v>Junaid@g.bracu.ac.bd</v>
      </c>
    </row>
    <row r="142" ht="22.5" customHeight="1">
      <c r="A142" s="125">
        <f>IFERROR(__xludf.DUMMYFUNCTION("""COMPUTED_VALUE"""),1.000057586E9)</f>
        <v>1000057586</v>
      </c>
      <c r="B142" s="125" t="str">
        <f>IFERROR(__xludf.DUMMYFUNCTION("""COMPUTED_VALUE"""),"Rafeed Al Raiyan")</f>
        <v>Rafeed Al Raiyan</v>
      </c>
      <c r="C142" s="125" t="str">
        <f>IFERROR(__xludf.DUMMYFUNCTION("""COMPUTED_VALUE"""),"General Member")</f>
        <v>General Member</v>
      </c>
      <c r="D142" s="125" t="str">
        <f>IFERROR(__xludf.DUMMYFUNCTION("""COMPUTED_VALUE"""),"rafeed.al.raiyan@g.bracu.ac.bd")</f>
        <v>rafeed.al.raiyan@g.bracu.ac.bd</v>
      </c>
    </row>
    <row r="143" ht="22.5" customHeight="1">
      <c r="A143" s="125">
        <f>IFERROR(__xludf.DUMMYFUNCTION("""COMPUTED_VALUE"""),1.000057587E9)</f>
        <v>1000057587</v>
      </c>
      <c r="B143" s="125" t="str">
        <f>IFERROR(__xludf.DUMMYFUNCTION("""COMPUTED_VALUE"""),"Aungkito Barua Mugdho")</f>
        <v>Aungkito Barua Mugdho</v>
      </c>
      <c r="C143" s="125" t="str">
        <f>IFERROR(__xludf.DUMMYFUNCTION("""COMPUTED_VALUE"""),"General Member")</f>
        <v>General Member</v>
      </c>
      <c r="D143" s="125" t="str">
        <f>IFERROR(__xludf.DUMMYFUNCTION("""COMPUTED_VALUE"""),"aungkito.barua.mugdho@g.bracu.ac.bd")</f>
        <v>aungkito.barua.mugdho@g.bracu.ac.bd</v>
      </c>
    </row>
    <row r="144" ht="22.5" customHeight="1">
      <c r="A144" s="125">
        <f>IFERROR(__xludf.DUMMYFUNCTION("""COMPUTED_VALUE"""),2.3201159E7)</f>
        <v>23201159</v>
      </c>
      <c r="B144" s="125" t="str">
        <f>IFERROR(__xludf.DUMMYFUNCTION("""COMPUTED_VALUE"""),"SHAIYAN SALEH")</f>
        <v>SHAIYAN SALEH</v>
      </c>
      <c r="C144" s="125" t="str">
        <f>IFERROR(__xludf.DUMMYFUNCTION("""COMPUTED_VALUE"""),"General Member")</f>
        <v>General Member</v>
      </c>
      <c r="D144" s="125" t="str">
        <f>IFERROR(__xludf.DUMMYFUNCTION("""COMPUTED_VALUE"""),"shaiyan.saleh@g.bracu.ac.bd")</f>
        <v>shaiyan.saleh@g.bracu.ac.bd</v>
      </c>
    </row>
    <row r="145" ht="22.5" customHeight="1">
      <c r="A145" s="125">
        <f>IFERROR(__xludf.DUMMYFUNCTION("""COMPUTED_VALUE"""),2.4301052E7)</f>
        <v>24301052</v>
      </c>
      <c r="B145" s="125" t="str">
        <f>IFERROR(__xludf.DUMMYFUNCTION("""COMPUTED_VALUE"""),"Md Rafid Hayder")</f>
        <v>Md Rafid Hayder</v>
      </c>
      <c r="C145" s="125" t="str">
        <f>IFERROR(__xludf.DUMMYFUNCTION("""COMPUTED_VALUE"""),"General Member")</f>
        <v>General Member</v>
      </c>
      <c r="D145" s="125" t="str">
        <f>IFERROR(__xludf.DUMMYFUNCTION("""COMPUTED_VALUE"""),"md.rafid.hayder@g.bracu.ac.bd")</f>
        <v>md.rafid.hayder@g.bracu.ac.bd</v>
      </c>
    </row>
    <row r="146" ht="22.5" customHeight="1">
      <c r="A146" s="125">
        <f>IFERROR(__xludf.DUMMYFUNCTION("""COMPUTED_VALUE"""),1.000055183E9)</f>
        <v>1000055183</v>
      </c>
      <c r="B146" s="125" t="str">
        <f>IFERROR(__xludf.DUMMYFUNCTION("""COMPUTED_VALUE"""),"Mahfuj Amin Shakib")</f>
        <v>Mahfuj Amin Shakib</v>
      </c>
      <c r="C146" s="125" t="str">
        <f>IFERROR(__xludf.DUMMYFUNCTION("""COMPUTED_VALUE"""),"General Member")</f>
        <v>General Member</v>
      </c>
      <c r="D146" s="125" t="str">
        <f>IFERROR(__xludf.DUMMYFUNCTION("""COMPUTED_VALUE"""),"mahfuj.amin.shakib@g.bracu.ac.bd")</f>
        <v>mahfuj.amin.shakib@g.bracu.ac.bd</v>
      </c>
    </row>
    <row r="147" ht="22.5" customHeight="1">
      <c r="A147" s="125">
        <f>IFERROR(__xludf.DUMMYFUNCTION("""COMPUTED_VALUE"""),1.000057565E9)</f>
        <v>1000057565</v>
      </c>
      <c r="B147" s="125" t="str">
        <f>IFERROR(__xludf.DUMMYFUNCTION("""COMPUTED_VALUE"""),"Ishmam Zaman")</f>
        <v>Ishmam Zaman</v>
      </c>
      <c r="C147" s="125" t="str">
        <f>IFERROR(__xludf.DUMMYFUNCTION("""COMPUTED_VALUE"""),"General Member")</f>
        <v>General Member</v>
      </c>
      <c r="D147" s="125" t="str">
        <f>IFERROR(__xludf.DUMMYFUNCTION("""COMPUTED_VALUE"""),"ishmam.zaman1@g.bracu.ac.bd")</f>
        <v>ishmam.zaman1@g.bracu.ac.bd</v>
      </c>
    </row>
    <row r="148" ht="22.5" customHeight="1">
      <c r="A148" s="125">
        <f>IFERROR(__xludf.DUMMYFUNCTION("""COMPUTED_VALUE"""),1.000055015E9)</f>
        <v>1000055015</v>
      </c>
      <c r="B148" s="125" t="str">
        <f>IFERROR(__xludf.DUMMYFUNCTION("""COMPUTED_VALUE"""),"Reshad Bin Zaman")</f>
        <v>Reshad Bin Zaman</v>
      </c>
      <c r="C148" s="125" t="str">
        <f>IFERROR(__xludf.DUMMYFUNCTION("""COMPUTED_VALUE"""),"General Member")</f>
        <v>General Member</v>
      </c>
      <c r="D148" s="125" t="str">
        <f>IFERROR(__xludf.DUMMYFUNCTION("""COMPUTED_VALUE"""),"reshad.bin.zaman@g.bracu.ac.bd")</f>
        <v>reshad.bin.zaman@g.bracu.ac.bd</v>
      </c>
    </row>
    <row r="149" ht="22.5" customHeight="1">
      <c r="A149" s="125">
        <f>IFERROR(__xludf.DUMMYFUNCTION("""COMPUTED_VALUE"""),1.000056951E9)</f>
        <v>1000056951</v>
      </c>
      <c r="B149" s="125" t="str">
        <f>IFERROR(__xludf.DUMMYFUNCTION("""COMPUTED_VALUE"""),"Quazi Faquid Ahbabul Haque Zareef")</f>
        <v>Quazi Faquid Ahbabul Haque Zareef</v>
      </c>
      <c r="C149" s="125" t="str">
        <f>IFERROR(__xludf.DUMMYFUNCTION("""COMPUTED_VALUE"""),"General Member")</f>
        <v>General Member</v>
      </c>
      <c r="D149" s="125" t="str">
        <f>IFERROR(__xludf.DUMMYFUNCTION("""COMPUTED_VALUE"""),"Ahbabul.haque.zareef@g.bracu.ac.bd")</f>
        <v>Ahbabul.haque.zareef@g.bracu.ac.bd</v>
      </c>
    </row>
    <row r="150" ht="22.5" customHeight="1">
      <c r="A150" s="125">
        <f>IFERROR(__xludf.DUMMYFUNCTION("""COMPUTED_VALUE"""),2.4101095E7)</f>
        <v>24101095</v>
      </c>
      <c r="B150" s="125" t="str">
        <f>IFERROR(__xludf.DUMMYFUNCTION("""COMPUTED_VALUE"""),"Sadia Ahmed Raisa")</f>
        <v>Sadia Ahmed Raisa</v>
      </c>
      <c r="C150" s="125" t="str">
        <f>IFERROR(__xludf.DUMMYFUNCTION("""COMPUTED_VALUE"""),"General Member")</f>
        <v>General Member</v>
      </c>
      <c r="D150" s="125" t="str">
        <f>IFERROR(__xludf.DUMMYFUNCTION("""COMPUTED_VALUE"""),"sadia.ahmed.raisa@g.bracu.ac.bd")</f>
        <v>sadia.ahmed.raisa@g.bracu.ac.bd</v>
      </c>
    </row>
    <row r="151" ht="22.5" customHeight="1">
      <c r="A151" s="125">
        <f>IFERROR(__xludf.DUMMYFUNCTION("""COMPUTED_VALUE"""),1.000057763E9)</f>
        <v>1000057763</v>
      </c>
      <c r="B151" s="125" t="str">
        <f>IFERROR(__xludf.DUMMYFUNCTION("""COMPUTED_VALUE"""),"MD Fahimul Hoque")</f>
        <v>MD Fahimul Hoque</v>
      </c>
      <c r="C151" s="125" t="str">
        <f>IFERROR(__xludf.DUMMYFUNCTION("""COMPUTED_VALUE"""),"General Member")</f>
        <v>General Member</v>
      </c>
      <c r="D151" s="125" t="str">
        <f>IFERROR(__xludf.DUMMYFUNCTION("""COMPUTED_VALUE"""),"md.fahimul.hoque@g.bracu.ac.bd")</f>
        <v>md.fahimul.hoque@g.bracu.ac.bd</v>
      </c>
    </row>
    <row r="152" ht="22.5" customHeight="1">
      <c r="A152" s="125">
        <f>IFERROR(__xludf.DUMMYFUNCTION("""COMPUTED_VALUE"""),1.000058804E9)</f>
        <v>1000058804</v>
      </c>
      <c r="B152" s="125" t="str">
        <f>IFERROR(__xludf.DUMMYFUNCTION("""COMPUTED_VALUE"""),"Md Adib Hassan")</f>
        <v>Md Adib Hassan</v>
      </c>
      <c r="C152" s="125" t="str">
        <f>IFERROR(__xludf.DUMMYFUNCTION("""COMPUTED_VALUE"""),"General Member")</f>
        <v>General Member</v>
      </c>
      <c r="D152" s="125" t="str">
        <f>IFERROR(__xludf.DUMMYFUNCTION("""COMPUTED_VALUE"""),"md.adib.hassan1@g.bracu.ac.bd")</f>
        <v>md.adib.hassan1@g.bracu.ac.bd</v>
      </c>
    </row>
    <row r="153" ht="22.5" customHeight="1">
      <c r="A153" s="125">
        <f>IFERROR(__xludf.DUMMYFUNCTION("""COMPUTED_VALUE"""),1.000056934E9)</f>
        <v>1000056934</v>
      </c>
      <c r="B153" s="125" t="str">
        <f>IFERROR(__xludf.DUMMYFUNCTION("""COMPUTED_VALUE"""),"Sadman Sabab")</f>
        <v>Sadman Sabab</v>
      </c>
      <c r="C153" s="125" t="str">
        <f>IFERROR(__xludf.DUMMYFUNCTION("""COMPUTED_VALUE"""),"General Member")</f>
        <v>General Member</v>
      </c>
      <c r="D153" s="125" t="str">
        <f>IFERROR(__xludf.DUMMYFUNCTION("""COMPUTED_VALUE"""),"sadman.sabab@g.bracu.ac.bd")</f>
        <v>sadman.sabab@g.bracu.ac.bd</v>
      </c>
    </row>
    <row r="154" ht="22.5" customHeight="1">
      <c r="A154" s="125"/>
      <c r="B154" s="125"/>
      <c r="C154" s="125"/>
      <c r="D154" s="125"/>
    </row>
    <row r="155" ht="22.5" customHeight="1">
      <c r="A155" s="125"/>
      <c r="B155" s="125"/>
      <c r="C155" s="125"/>
      <c r="D155" s="125"/>
    </row>
    <row r="156" ht="22.5" customHeight="1">
      <c r="A156" s="125"/>
      <c r="B156" s="125"/>
      <c r="C156" s="125"/>
      <c r="D156" s="125"/>
    </row>
    <row r="157" ht="22.5" customHeight="1">
      <c r="A157" s="125"/>
      <c r="B157" s="125"/>
      <c r="C157" s="125"/>
      <c r="D157" s="125"/>
    </row>
    <row r="158">
      <c r="A158" s="105"/>
      <c r="B158" s="105"/>
      <c r="C158" s="105"/>
      <c r="D158" s="105"/>
    </row>
    <row r="159">
      <c r="A159" s="105"/>
      <c r="B159" s="105"/>
      <c r="C159" s="105"/>
      <c r="D159" s="105"/>
    </row>
    <row r="160">
      <c r="A160" s="105"/>
      <c r="B160" s="105"/>
      <c r="C160" s="105"/>
      <c r="D160" s="105"/>
    </row>
    <row r="161">
      <c r="A161" s="105"/>
      <c r="B161" s="105"/>
      <c r="C161" s="105"/>
      <c r="D161" s="105"/>
    </row>
    <row r="162">
      <c r="A162" s="105"/>
      <c r="B162" s="105"/>
      <c r="C162" s="105"/>
      <c r="D162" s="105"/>
    </row>
    <row r="163">
      <c r="A163" s="105"/>
      <c r="B163" s="105"/>
      <c r="C163" s="105"/>
      <c r="D163" s="105"/>
    </row>
    <row r="164">
      <c r="A164" s="105"/>
      <c r="B164" s="105"/>
      <c r="C164" s="105"/>
      <c r="D164" s="105"/>
    </row>
    <row r="165">
      <c r="A165" s="105"/>
      <c r="B165" s="105"/>
      <c r="C165" s="105"/>
      <c r="D165" s="105"/>
    </row>
    <row r="166">
      <c r="A166" s="105"/>
      <c r="B166" s="105"/>
      <c r="C166" s="105"/>
      <c r="D166" s="105"/>
    </row>
    <row r="167">
      <c r="A167" s="105"/>
      <c r="B167" s="105"/>
      <c r="C167" s="105"/>
      <c r="D167" s="105"/>
    </row>
    <row r="168">
      <c r="A168" s="105"/>
      <c r="B168" s="105"/>
      <c r="C168" s="105"/>
      <c r="D168" s="105"/>
    </row>
    <row r="169">
      <c r="A169" s="105"/>
      <c r="B169" s="105"/>
      <c r="C169" s="105"/>
      <c r="D169" s="105"/>
    </row>
    <row r="170">
      <c r="A170" s="105"/>
      <c r="B170" s="105"/>
      <c r="C170" s="105"/>
      <c r="D170" s="105"/>
    </row>
    <row r="171">
      <c r="A171" s="105"/>
      <c r="B171" s="105"/>
      <c r="C171" s="105"/>
      <c r="D171" s="105"/>
    </row>
    <row r="172">
      <c r="A172" s="105"/>
      <c r="B172" s="105"/>
      <c r="C172" s="105"/>
      <c r="D172" s="105"/>
    </row>
    <row r="173">
      <c r="A173" s="105"/>
      <c r="B173" s="105"/>
      <c r="C173" s="105"/>
      <c r="D173" s="105"/>
    </row>
    <row r="174">
      <c r="A174" s="105"/>
      <c r="B174" s="105"/>
      <c r="C174" s="105"/>
      <c r="D174" s="105"/>
    </row>
    <row r="175">
      <c r="A175" s="105"/>
      <c r="B175" s="105"/>
      <c r="C175" s="105"/>
      <c r="D175" s="105"/>
    </row>
    <row r="176">
      <c r="A176" s="105"/>
      <c r="B176" s="105"/>
      <c r="C176" s="105"/>
      <c r="D176" s="105"/>
    </row>
    <row r="177">
      <c r="A177" s="105"/>
      <c r="B177" s="105"/>
      <c r="C177" s="105"/>
      <c r="D177" s="105"/>
    </row>
    <row r="178">
      <c r="A178" s="105"/>
      <c r="B178" s="105"/>
      <c r="C178" s="105"/>
      <c r="D178" s="105"/>
    </row>
    <row r="179">
      <c r="A179" s="105"/>
      <c r="B179" s="105"/>
      <c r="C179" s="105"/>
      <c r="D179" s="105"/>
    </row>
    <row r="180">
      <c r="A180" s="105"/>
      <c r="B180" s="105"/>
      <c r="C180" s="105"/>
      <c r="D180" s="105"/>
    </row>
    <row r="181">
      <c r="A181" s="105"/>
      <c r="B181" s="105"/>
      <c r="C181" s="105"/>
      <c r="D181" s="105"/>
    </row>
    <row r="182">
      <c r="A182" s="105"/>
      <c r="B182" s="105"/>
      <c r="C182" s="105"/>
      <c r="D182" s="105"/>
    </row>
    <row r="183">
      <c r="A183" s="105"/>
      <c r="B183" s="105"/>
      <c r="C183" s="105"/>
      <c r="D183" s="105"/>
    </row>
    <row r="184">
      <c r="A184" s="105"/>
      <c r="B184" s="105"/>
      <c r="C184" s="105"/>
      <c r="D184" s="105"/>
    </row>
    <row r="185">
      <c r="A185" s="105"/>
      <c r="B185" s="105"/>
      <c r="C185" s="105"/>
      <c r="D185" s="105"/>
    </row>
    <row r="186">
      <c r="A186" s="105"/>
      <c r="B186" s="105"/>
      <c r="C186" s="105"/>
      <c r="D186" s="105"/>
    </row>
    <row r="187">
      <c r="A187" s="105"/>
      <c r="B187" s="105"/>
      <c r="C187" s="105"/>
      <c r="D187" s="105"/>
    </row>
    <row r="188">
      <c r="A188" s="105"/>
      <c r="B188" s="105"/>
      <c r="C188" s="105"/>
      <c r="D188" s="105"/>
    </row>
    <row r="189">
      <c r="A189" s="105"/>
      <c r="B189" s="105"/>
      <c r="C189" s="105"/>
      <c r="D189" s="105"/>
    </row>
    <row r="190">
      <c r="A190" s="105"/>
      <c r="B190" s="105"/>
      <c r="C190" s="105"/>
      <c r="D190" s="105"/>
    </row>
    <row r="191">
      <c r="A191" s="105"/>
      <c r="B191" s="105"/>
      <c r="C191" s="105"/>
      <c r="D191" s="105"/>
    </row>
    <row r="192">
      <c r="A192" s="105"/>
      <c r="B192" s="105"/>
      <c r="C192" s="105"/>
      <c r="D192" s="105"/>
    </row>
    <row r="193">
      <c r="A193" s="105"/>
      <c r="B193" s="105"/>
      <c r="C193" s="105"/>
      <c r="D193" s="105"/>
    </row>
    <row r="194">
      <c r="A194" s="105"/>
      <c r="B194" s="105"/>
      <c r="C194" s="105"/>
      <c r="D194" s="105"/>
    </row>
    <row r="195">
      <c r="A195" s="105"/>
      <c r="B195" s="105"/>
      <c r="C195" s="105"/>
      <c r="D195" s="105"/>
    </row>
    <row r="196">
      <c r="A196" s="105"/>
      <c r="B196" s="105"/>
      <c r="C196" s="105"/>
      <c r="D196" s="105"/>
    </row>
    <row r="197">
      <c r="A197" s="105"/>
      <c r="B197" s="105"/>
      <c r="C197" s="105"/>
      <c r="D197" s="105"/>
    </row>
    <row r="198">
      <c r="A198" s="105"/>
      <c r="B198" s="105"/>
      <c r="C198" s="105"/>
      <c r="D198" s="105"/>
    </row>
    <row r="199">
      <c r="A199" s="105"/>
      <c r="B199" s="105"/>
      <c r="C199" s="105"/>
      <c r="D199" s="105"/>
    </row>
    <row r="200">
      <c r="A200" s="105"/>
      <c r="B200" s="105"/>
      <c r="C200" s="105"/>
      <c r="D200" s="105"/>
    </row>
    <row r="201">
      <c r="A201" s="105"/>
      <c r="B201" s="105"/>
      <c r="C201" s="105"/>
      <c r="D201" s="105"/>
    </row>
    <row r="202">
      <c r="A202" s="105"/>
      <c r="B202" s="105"/>
      <c r="C202" s="105"/>
      <c r="D202" s="105"/>
    </row>
    <row r="203">
      <c r="A203" s="105"/>
      <c r="B203" s="105"/>
      <c r="C203" s="105"/>
      <c r="D203" s="105"/>
    </row>
    <row r="204">
      <c r="A204" s="105"/>
      <c r="B204" s="105"/>
      <c r="C204" s="105"/>
      <c r="D204" s="105"/>
    </row>
    <row r="205">
      <c r="A205" s="105"/>
      <c r="B205" s="105"/>
      <c r="C205" s="105"/>
      <c r="D205" s="105"/>
    </row>
    <row r="206">
      <c r="A206" s="105"/>
      <c r="B206" s="105"/>
      <c r="C206" s="105"/>
      <c r="D206" s="105"/>
    </row>
    <row r="207">
      <c r="A207" s="105"/>
      <c r="B207" s="105"/>
      <c r="C207" s="105"/>
      <c r="D207" s="105"/>
    </row>
    <row r="208">
      <c r="A208" s="105"/>
      <c r="B208" s="105"/>
      <c r="C208" s="105"/>
      <c r="D208" s="105"/>
    </row>
    <row r="209">
      <c r="A209" s="105"/>
      <c r="B209" s="105"/>
      <c r="C209" s="105"/>
      <c r="D209" s="105"/>
    </row>
    <row r="210">
      <c r="A210" s="105"/>
      <c r="B210" s="105"/>
      <c r="C210" s="105"/>
      <c r="D210" s="105"/>
    </row>
    <row r="211">
      <c r="A211" s="105"/>
      <c r="B211" s="105"/>
      <c r="C211" s="105"/>
      <c r="D211" s="105"/>
    </row>
    <row r="212">
      <c r="A212" s="105"/>
      <c r="B212" s="105"/>
      <c r="C212" s="105"/>
      <c r="D212" s="105"/>
    </row>
    <row r="213">
      <c r="A213" s="105"/>
      <c r="B213" s="105"/>
      <c r="C213" s="105"/>
      <c r="D213" s="105"/>
    </row>
    <row r="214">
      <c r="A214" s="105"/>
      <c r="B214" s="105"/>
      <c r="C214" s="105"/>
      <c r="D214" s="105"/>
    </row>
    <row r="215">
      <c r="A215" s="105"/>
      <c r="B215" s="105"/>
      <c r="C215" s="105"/>
      <c r="D215" s="105"/>
    </row>
    <row r="216">
      <c r="A216" s="105"/>
      <c r="B216" s="105"/>
      <c r="C216" s="105"/>
      <c r="D216" s="105"/>
    </row>
    <row r="217">
      <c r="A217" s="105"/>
      <c r="B217" s="105"/>
      <c r="C217" s="105"/>
      <c r="D217" s="105"/>
    </row>
    <row r="218">
      <c r="A218" s="105"/>
      <c r="B218" s="105"/>
      <c r="C218" s="105"/>
      <c r="D218" s="105"/>
    </row>
    <row r="219">
      <c r="A219" s="105"/>
      <c r="B219" s="105"/>
      <c r="C219" s="105"/>
      <c r="D219" s="105"/>
    </row>
    <row r="220">
      <c r="A220" s="105"/>
      <c r="B220" s="105"/>
      <c r="C220" s="105"/>
      <c r="D220" s="105"/>
    </row>
    <row r="221">
      <c r="A221" s="105"/>
      <c r="B221" s="105"/>
      <c r="C221" s="105"/>
      <c r="D221" s="105"/>
    </row>
    <row r="222">
      <c r="A222" s="105"/>
      <c r="B222" s="105"/>
      <c r="C222" s="105"/>
      <c r="D222" s="105"/>
    </row>
    <row r="223">
      <c r="A223" s="105"/>
      <c r="B223" s="105"/>
      <c r="C223" s="105"/>
      <c r="D223" s="105"/>
    </row>
    <row r="224">
      <c r="A224" s="105"/>
      <c r="B224" s="105"/>
      <c r="C224" s="105"/>
      <c r="D224" s="105"/>
    </row>
    <row r="225">
      <c r="A225" s="105"/>
      <c r="B225" s="105"/>
      <c r="C225" s="105"/>
      <c r="D225" s="105"/>
    </row>
    <row r="226">
      <c r="A226" s="105"/>
      <c r="B226" s="105"/>
      <c r="C226" s="105"/>
      <c r="D226" s="105"/>
    </row>
    <row r="227">
      <c r="A227" s="105"/>
      <c r="B227" s="105"/>
      <c r="C227" s="105"/>
      <c r="D227" s="105"/>
    </row>
    <row r="228">
      <c r="A228" s="105"/>
      <c r="B228" s="105"/>
      <c r="C228" s="105"/>
      <c r="D228" s="105"/>
    </row>
    <row r="229">
      <c r="A229" s="105"/>
      <c r="B229" s="105"/>
      <c r="C229" s="105"/>
      <c r="D229" s="105"/>
    </row>
    <row r="230">
      <c r="A230" s="105"/>
      <c r="B230" s="105"/>
      <c r="C230" s="105"/>
      <c r="D230" s="105"/>
    </row>
    <row r="231">
      <c r="A231" s="105"/>
      <c r="B231" s="105"/>
      <c r="C231" s="105"/>
      <c r="D231" s="105"/>
    </row>
    <row r="232">
      <c r="A232" s="105"/>
      <c r="B232" s="105"/>
      <c r="C232" s="105"/>
      <c r="D232" s="105"/>
    </row>
    <row r="233">
      <c r="A233" s="105"/>
      <c r="B233" s="105"/>
      <c r="C233" s="105"/>
      <c r="D233" s="105"/>
    </row>
    <row r="234">
      <c r="A234" s="105"/>
      <c r="B234" s="105"/>
      <c r="C234" s="105"/>
      <c r="D234" s="105"/>
    </row>
    <row r="235">
      <c r="A235" s="105"/>
      <c r="B235" s="105"/>
      <c r="C235" s="105"/>
      <c r="D235" s="105"/>
    </row>
    <row r="236">
      <c r="A236" s="105"/>
      <c r="B236" s="105"/>
      <c r="C236" s="105"/>
      <c r="D236" s="105"/>
    </row>
    <row r="237">
      <c r="A237" s="105"/>
      <c r="B237" s="105"/>
      <c r="C237" s="105"/>
      <c r="D237" s="105"/>
    </row>
    <row r="238">
      <c r="A238" s="105"/>
      <c r="B238" s="105"/>
      <c r="C238" s="105"/>
      <c r="D238" s="105"/>
    </row>
    <row r="239">
      <c r="A239" s="105"/>
      <c r="B239" s="105"/>
      <c r="C239" s="105"/>
      <c r="D239" s="105"/>
    </row>
    <row r="240">
      <c r="A240" s="105"/>
      <c r="B240" s="105"/>
      <c r="C240" s="105"/>
      <c r="D240" s="105"/>
    </row>
    <row r="241">
      <c r="A241" s="105"/>
      <c r="B241" s="105"/>
      <c r="C241" s="105"/>
      <c r="D241" s="105"/>
    </row>
    <row r="242">
      <c r="A242" s="105"/>
      <c r="B242" s="105"/>
      <c r="C242" s="105"/>
      <c r="D242" s="105"/>
    </row>
    <row r="243">
      <c r="A243" s="105"/>
      <c r="B243" s="105"/>
      <c r="C243" s="105"/>
      <c r="D243" s="105"/>
    </row>
    <row r="244">
      <c r="A244" s="105"/>
      <c r="B244" s="105"/>
      <c r="C244" s="105"/>
      <c r="D244" s="105"/>
    </row>
    <row r="245">
      <c r="A245" s="105"/>
      <c r="B245" s="105"/>
      <c r="C245" s="105"/>
      <c r="D245" s="105"/>
    </row>
    <row r="246">
      <c r="A246" s="105"/>
      <c r="B246" s="105"/>
      <c r="C246" s="105"/>
      <c r="D246" s="105"/>
    </row>
    <row r="247">
      <c r="A247" s="105"/>
      <c r="B247" s="105"/>
      <c r="C247" s="105"/>
      <c r="D247" s="105"/>
    </row>
    <row r="248">
      <c r="A248" s="105"/>
      <c r="B248" s="105"/>
      <c r="C248" s="105"/>
      <c r="D248" s="105"/>
    </row>
    <row r="249">
      <c r="A249" s="105"/>
      <c r="B249" s="105"/>
      <c r="C249" s="105"/>
      <c r="D249" s="105"/>
    </row>
    <row r="250">
      <c r="A250" s="105"/>
      <c r="B250" s="105"/>
      <c r="C250" s="105"/>
      <c r="D250" s="105"/>
    </row>
    <row r="251">
      <c r="A251" s="105"/>
      <c r="B251" s="105"/>
      <c r="C251" s="105"/>
      <c r="D251" s="105"/>
    </row>
    <row r="252">
      <c r="A252" s="105"/>
      <c r="B252" s="105"/>
      <c r="C252" s="105"/>
      <c r="D252" s="105"/>
    </row>
    <row r="253">
      <c r="A253" s="105"/>
      <c r="B253" s="105"/>
      <c r="C253" s="105"/>
      <c r="D253" s="105"/>
    </row>
    <row r="254">
      <c r="A254" s="105"/>
      <c r="B254" s="105"/>
      <c r="C254" s="105"/>
      <c r="D254" s="105"/>
    </row>
    <row r="255">
      <c r="A255" s="105"/>
      <c r="B255" s="105"/>
      <c r="C255" s="105"/>
      <c r="D255" s="105"/>
    </row>
    <row r="256">
      <c r="A256" s="105"/>
      <c r="B256" s="105"/>
      <c r="C256" s="105"/>
      <c r="D256" s="105"/>
    </row>
    <row r="257">
      <c r="A257" s="105"/>
      <c r="B257" s="105"/>
      <c r="C257" s="105"/>
      <c r="D257" s="105"/>
    </row>
    <row r="258">
      <c r="A258" s="105"/>
      <c r="B258" s="105"/>
      <c r="C258" s="105"/>
      <c r="D258" s="105"/>
    </row>
    <row r="259">
      <c r="A259" s="105"/>
      <c r="B259" s="105"/>
      <c r="C259" s="105"/>
      <c r="D259" s="105"/>
    </row>
    <row r="260">
      <c r="A260" s="105"/>
      <c r="B260" s="105"/>
      <c r="C260" s="105"/>
      <c r="D260" s="105"/>
    </row>
    <row r="261">
      <c r="A261" s="105"/>
      <c r="B261" s="105"/>
      <c r="C261" s="105"/>
      <c r="D261" s="105"/>
    </row>
    <row r="262">
      <c r="A262" s="105"/>
      <c r="B262" s="105"/>
      <c r="C262" s="105"/>
      <c r="D262" s="105"/>
    </row>
    <row r="263">
      <c r="A263" s="105"/>
      <c r="B263" s="105"/>
      <c r="C263" s="105"/>
      <c r="D263" s="105"/>
    </row>
    <row r="264">
      <c r="A264" s="105"/>
      <c r="B264" s="105"/>
      <c r="C264" s="105"/>
      <c r="D264" s="105"/>
    </row>
    <row r="265">
      <c r="A265" s="105"/>
      <c r="B265" s="105"/>
      <c r="C265" s="105"/>
      <c r="D265" s="105"/>
    </row>
    <row r="266">
      <c r="A266" s="105"/>
      <c r="B266" s="105"/>
      <c r="C266" s="105"/>
      <c r="D266" s="105"/>
    </row>
    <row r="267">
      <c r="A267" s="105"/>
      <c r="B267" s="105"/>
      <c r="C267" s="105"/>
      <c r="D267" s="105"/>
    </row>
    <row r="268">
      <c r="A268" s="105"/>
      <c r="B268" s="105"/>
      <c r="C268" s="105"/>
      <c r="D268" s="105"/>
    </row>
    <row r="269">
      <c r="A269" s="105"/>
      <c r="B269" s="105"/>
      <c r="C269" s="105"/>
      <c r="D269" s="105"/>
    </row>
    <row r="270">
      <c r="A270" s="105"/>
      <c r="B270" s="105"/>
      <c r="C270" s="105"/>
      <c r="D270" s="105"/>
    </row>
    <row r="271">
      <c r="A271" s="105"/>
      <c r="B271" s="105"/>
      <c r="C271" s="105"/>
      <c r="D271" s="105"/>
    </row>
    <row r="272">
      <c r="A272" s="105"/>
      <c r="B272" s="105"/>
      <c r="C272" s="105"/>
      <c r="D272" s="105"/>
    </row>
    <row r="273">
      <c r="A273" s="105"/>
      <c r="B273" s="105"/>
      <c r="C273" s="105"/>
      <c r="D273" s="105"/>
    </row>
    <row r="274">
      <c r="A274" s="105"/>
      <c r="B274" s="105"/>
      <c r="C274" s="105"/>
      <c r="D274" s="105"/>
    </row>
    <row r="275">
      <c r="A275" s="105"/>
      <c r="B275" s="105"/>
      <c r="C275" s="105"/>
      <c r="D275" s="105"/>
    </row>
    <row r="276">
      <c r="A276" s="105"/>
      <c r="B276" s="105"/>
      <c r="C276" s="105"/>
      <c r="D276" s="105"/>
    </row>
    <row r="277">
      <c r="A277" s="105"/>
      <c r="B277" s="105"/>
      <c r="C277" s="105"/>
      <c r="D277" s="105"/>
    </row>
    <row r="278">
      <c r="A278" s="105"/>
      <c r="B278" s="105"/>
      <c r="C278" s="105"/>
      <c r="D278" s="105"/>
    </row>
    <row r="279">
      <c r="A279" s="105"/>
      <c r="B279" s="105"/>
      <c r="C279" s="105"/>
      <c r="D279" s="105"/>
    </row>
    <row r="280">
      <c r="A280" s="105"/>
      <c r="B280" s="105"/>
      <c r="C280" s="105"/>
      <c r="D280" s="105"/>
    </row>
    <row r="281">
      <c r="A281" s="105"/>
      <c r="B281" s="105"/>
      <c r="C281" s="105"/>
      <c r="D281" s="105"/>
    </row>
    <row r="282">
      <c r="A282" s="105"/>
      <c r="B282" s="105"/>
      <c r="C282" s="105"/>
      <c r="D282" s="105"/>
    </row>
    <row r="283">
      <c r="A283" s="105"/>
      <c r="B283" s="105"/>
      <c r="C283" s="105"/>
      <c r="D283" s="105"/>
    </row>
    <row r="284">
      <c r="A284" s="105"/>
      <c r="B284" s="105"/>
      <c r="C284" s="105"/>
      <c r="D284" s="105"/>
    </row>
    <row r="285">
      <c r="A285" s="105"/>
      <c r="B285" s="105"/>
      <c r="C285" s="105"/>
      <c r="D285" s="105"/>
    </row>
    <row r="286">
      <c r="A286" s="105"/>
      <c r="B286" s="105"/>
      <c r="C286" s="105"/>
      <c r="D286" s="105"/>
    </row>
    <row r="287">
      <c r="A287" s="105"/>
      <c r="B287" s="105"/>
      <c r="C287" s="105"/>
      <c r="D287" s="105"/>
    </row>
    <row r="288">
      <c r="A288" s="105"/>
      <c r="B288" s="105"/>
      <c r="C288" s="105"/>
      <c r="D288" s="105"/>
    </row>
    <row r="289">
      <c r="A289" s="105"/>
      <c r="B289" s="105"/>
      <c r="C289" s="105"/>
      <c r="D289" s="105"/>
    </row>
    <row r="290">
      <c r="A290" s="105"/>
      <c r="B290" s="105"/>
      <c r="C290" s="105"/>
      <c r="D290" s="105"/>
    </row>
    <row r="291">
      <c r="A291" s="105"/>
      <c r="B291" s="105"/>
      <c r="C291" s="105"/>
      <c r="D291" s="105"/>
    </row>
    <row r="292">
      <c r="A292" s="105"/>
      <c r="B292" s="105"/>
      <c r="C292" s="105"/>
      <c r="D292" s="105"/>
    </row>
    <row r="293">
      <c r="A293" s="105"/>
      <c r="B293" s="105"/>
      <c r="C293" s="105"/>
      <c r="D293" s="105"/>
    </row>
    <row r="294">
      <c r="A294" s="105"/>
      <c r="B294" s="105"/>
      <c r="C294" s="105"/>
      <c r="D294" s="105"/>
    </row>
    <row r="295">
      <c r="A295" s="105"/>
      <c r="B295" s="105"/>
      <c r="C295" s="105"/>
      <c r="D295" s="105"/>
    </row>
    <row r="296">
      <c r="A296" s="105"/>
      <c r="B296" s="105"/>
      <c r="C296" s="105"/>
      <c r="D296" s="105"/>
    </row>
    <row r="297">
      <c r="A297" s="105"/>
      <c r="B297" s="105"/>
      <c r="C297" s="105"/>
      <c r="D297" s="105"/>
    </row>
    <row r="298">
      <c r="A298" s="105"/>
      <c r="B298" s="105"/>
      <c r="C298" s="105"/>
      <c r="D298" s="105"/>
    </row>
    <row r="299">
      <c r="A299" s="105"/>
      <c r="B299" s="105"/>
      <c r="C299" s="105"/>
      <c r="D299" s="105"/>
    </row>
    <row r="300">
      <c r="A300" s="105"/>
      <c r="B300" s="105"/>
      <c r="C300" s="105"/>
      <c r="D300" s="105"/>
    </row>
    <row r="301">
      <c r="A301" s="105"/>
      <c r="B301" s="105"/>
      <c r="C301" s="105"/>
      <c r="D301" s="105"/>
    </row>
    <row r="302">
      <c r="A302" s="105"/>
      <c r="B302" s="105"/>
      <c r="C302" s="105"/>
      <c r="D302" s="105"/>
    </row>
    <row r="303">
      <c r="A303" s="105"/>
      <c r="B303" s="105"/>
      <c r="C303" s="105"/>
      <c r="D303" s="105"/>
    </row>
    <row r="304">
      <c r="A304" s="105"/>
      <c r="B304" s="105"/>
      <c r="C304" s="105"/>
      <c r="D304" s="105"/>
    </row>
    <row r="305">
      <c r="A305" s="105"/>
      <c r="B305" s="105"/>
      <c r="C305" s="105"/>
      <c r="D305" s="105"/>
    </row>
    <row r="306">
      <c r="A306" s="105"/>
      <c r="B306" s="105"/>
      <c r="C306" s="105"/>
      <c r="D306" s="105"/>
    </row>
    <row r="307">
      <c r="A307" s="105"/>
      <c r="B307" s="105"/>
      <c r="C307" s="105"/>
      <c r="D307" s="105"/>
    </row>
    <row r="308">
      <c r="A308" s="105"/>
      <c r="B308" s="105"/>
      <c r="C308" s="105"/>
      <c r="D308" s="105"/>
    </row>
    <row r="309">
      <c r="A309" s="105"/>
      <c r="B309" s="105"/>
      <c r="C309" s="105"/>
      <c r="D309" s="105"/>
    </row>
    <row r="310">
      <c r="A310" s="105"/>
      <c r="B310" s="105"/>
      <c r="C310" s="105"/>
      <c r="D310" s="105"/>
    </row>
    <row r="311">
      <c r="A311" s="105"/>
      <c r="B311" s="105"/>
      <c r="C311" s="105"/>
      <c r="D311" s="105"/>
    </row>
    <row r="312">
      <c r="A312" s="105"/>
      <c r="B312" s="105"/>
      <c r="C312" s="105"/>
      <c r="D312" s="105"/>
    </row>
    <row r="313">
      <c r="A313" s="105"/>
      <c r="B313" s="105"/>
      <c r="C313" s="105"/>
      <c r="D313" s="105"/>
    </row>
    <row r="314">
      <c r="A314" s="105"/>
      <c r="B314" s="105"/>
      <c r="C314" s="105"/>
      <c r="D314" s="105"/>
    </row>
    <row r="315">
      <c r="A315" s="105"/>
      <c r="B315" s="105"/>
      <c r="C315" s="105"/>
      <c r="D315" s="105"/>
    </row>
    <row r="316">
      <c r="A316" s="105"/>
      <c r="B316" s="105"/>
      <c r="C316" s="105"/>
      <c r="D316" s="105"/>
    </row>
    <row r="317">
      <c r="A317" s="105"/>
      <c r="B317" s="105"/>
      <c r="C317" s="105"/>
      <c r="D317" s="105"/>
    </row>
    <row r="318">
      <c r="A318" s="105"/>
      <c r="B318" s="105"/>
      <c r="C318" s="105"/>
      <c r="D318" s="105"/>
    </row>
    <row r="319">
      <c r="A319" s="105"/>
      <c r="B319" s="105"/>
      <c r="C319" s="105"/>
      <c r="D319" s="105"/>
    </row>
    <row r="320">
      <c r="A320" s="105"/>
      <c r="B320" s="105"/>
      <c r="C320" s="105"/>
      <c r="D320" s="105"/>
    </row>
    <row r="321">
      <c r="A321" s="105"/>
      <c r="B321" s="105"/>
      <c r="C321" s="105"/>
      <c r="D321" s="105"/>
    </row>
    <row r="322">
      <c r="A322" s="105"/>
      <c r="B322" s="105"/>
      <c r="C322" s="105"/>
      <c r="D322" s="105"/>
    </row>
    <row r="323">
      <c r="A323" s="105"/>
      <c r="B323" s="105"/>
      <c r="C323" s="105"/>
      <c r="D323" s="105"/>
    </row>
    <row r="324">
      <c r="A324" s="105"/>
      <c r="B324" s="105"/>
      <c r="C324" s="105"/>
      <c r="D324" s="105"/>
    </row>
    <row r="325">
      <c r="A325" s="105"/>
      <c r="B325" s="105"/>
      <c r="C325" s="105"/>
      <c r="D325" s="105"/>
    </row>
    <row r="326">
      <c r="A326" s="105"/>
      <c r="B326" s="105"/>
      <c r="C326" s="105"/>
      <c r="D326" s="105"/>
    </row>
    <row r="327">
      <c r="A327" s="105"/>
      <c r="B327" s="105"/>
      <c r="C327" s="105"/>
      <c r="D327" s="105"/>
    </row>
    <row r="328">
      <c r="A328" s="105"/>
      <c r="B328" s="105"/>
      <c r="C328" s="105"/>
      <c r="D328" s="105"/>
    </row>
    <row r="329">
      <c r="A329" s="105"/>
      <c r="B329" s="105"/>
      <c r="C329" s="105"/>
      <c r="D329" s="105"/>
    </row>
    <row r="330">
      <c r="A330" s="105"/>
      <c r="B330" s="105"/>
      <c r="C330" s="105"/>
      <c r="D330" s="105"/>
    </row>
    <row r="331">
      <c r="A331" s="105"/>
      <c r="B331" s="105"/>
      <c r="C331" s="105"/>
      <c r="D331" s="105"/>
    </row>
    <row r="332">
      <c r="A332" s="105"/>
      <c r="B332" s="105"/>
      <c r="C332" s="105"/>
      <c r="D332" s="105"/>
    </row>
    <row r="333">
      <c r="A333" s="105"/>
      <c r="B333" s="105"/>
      <c r="C333" s="105"/>
      <c r="D333" s="105"/>
    </row>
    <row r="334">
      <c r="A334" s="105"/>
      <c r="B334" s="105"/>
      <c r="C334" s="105"/>
      <c r="D334" s="105"/>
    </row>
    <row r="335">
      <c r="A335" s="105"/>
      <c r="B335" s="105"/>
      <c r="C335" s="105"/>
      <c r="D335" s="105"/>
    </row>
    <row r="336">
      <c r="A336" s="105"/>
      <c r="B336" s="105"/>
      <c r="C336" s="105"/>
      <c r="D336" s="105"/>
    </row>
    <row r="337">
      <c r="A337" s="105"/>
      <c r="B337" s="105"/>
      <c r="C337" s="105"/>
      <c r="D337" s="105"/>
    </row>
    <row r="338">
      <c r="A338" s="105"/>
      <c r="B338" s="105"/>
      <c r="C338" s="105"/>
      <c r="D338" s="105"/>
    </row>
    <row r="339">
      <c r="A339" s="105"/>
      <c r="B339" s="105"/>
      <c r="C339" s="105"/>
      <c r="D339" s="105"/>
    </row>
    <row r="340">
      <c r="A340" s="105"/>
      <c r="B340" s="105"/>
      <c r="C340" s="105"/>
      <c r="D340" s="105"/>
    </row>
    <row r="341">
      <c r="A341" s="105"/>
      <c r="B341" s="105"/>
      <c r="C341" s="105"/>
      <c r="D341" s="105"/>
    </row>
    <row r="342">
      <c r="A342" s="105"/>
      <c r="B342" s="105"/>
      <c r="C342" s="105"/>
      <c r="D342" s="105"/>
    </row>
    <row r="343">
      <c r="A343" s="105"/>
      <c r="B343" s="105"/>
      <c r="C343" s="105"/>
      <c r="D343" s="105"/>
    </row>
    <row r="344">
      <c r="A344" s="105"/>
      <c r="B344" s="105"/>
      <c r="C344" s="105"/>
      <c r="D344" s="105"/>
    </row>
    <row r="345">
      <c r="A345" s="105"/>
      <c r="B345" s="105"/>
      <c r="C345" s="105"/>
      <c r="D345" s="105"/>
    </row>
    <row r="346">
      <c r="A346" s="105"/>
      <c r="B346" s="105"/>
      <c r="C346" s="105"/>
      <c r="D346" s="105"/>
    </row>
    <row r="347">
      <c r="A347" s="105"/>
      <c r="B347" s="105"/>
      <c r="C347" s="105"/>
      <c r="D347" s="105"/>
    </row>
    <row r="348">
      <c r="A348" s="105"/>
      <c r="B348" s="105"/>
      <c r="C348" s="105"/>
      <c r="D348" s="105"/>
    </row>
    <row r="349">
      <c r="A349" s="105"/>
      <c r="B349" s="105"/>
      <c r="C349" s="105"/>
      <c r="D349" s="105"/>
    </row>
    <row r="350">
      <c r="A350" s="105"/>
      <c r="B350" s="105"/>
      <c r="C350" s="105"/>
      <c r="D350" s="105"/>
    </row>
    <row r="351">
      <c r="A351" s="105"/>
      <c r="B351" s="105"/>
      <c r="C351" s="105"/>
      <c r="D351" s="105"/>
    </row>
    <row r="352">
      <c r="A352" s="105"/>
      <c r="B352" s="105"/>
      <c r="C352" s="105"/>
      <c r="D352" s="105"/>
    </row>
    <row r="353">
      <c r="A353" s="105"/>
      <c r="B353" s="105"/>
      <c r="C353" s="105"/>
      <c r="D353" s="105"/>
    </row>
    <row r="354">
      <c r="A354" s="105"/>
      <c r="B354" s="105"/>
      <c r="C354" s="105"/>
      <c r="D354" s="105"/>
    </row>
    <row r="355">
      <c r="A355" s="105"/>
      <c r="B355" s="105"/>
      <c r="C355" s="105"/>
      <c r="D355" s="105"/>
    </row>
    <row r="356">
      <c r="A356" s="105"/>
      <c r="B356" s="105"/>
      <c r="C356" s="105"/>
      <c r="D356" s="105"/>
    </row>
    <row r="357">
      <c r="A357" s="105"/>
      <c r="B357" s="105"/>
      <c r="C357" s="105"/>
      <c r="D357" s="105"/>
    </row>
    <row r="358">
      <c r="A358" s="105"/>
      <c r="B358" s="105"/>
      <c r="C358" s="105"/>
      <c r="D358" s="105"/>
    </row>
    <row r="359">
      <c r="A359" s="105"/>
      <c r="B359" s="105"/>
      <c r="C359" s="105"/>
      <c r="D359" s="105"/>
    </row>
    <row r="360">
      <c r="A360" s="105"/>
      <c r="B360" s="105"/>
      <c r="C360" s="105"/>
      <c r="D360" s="105"/>
    </row>
    <row r="361">
      <c r="A361" s="105"/>
      <c r="B361" s="105"/>
      <c r="C361" s="105"/>
      <c r="D361" s="105"/>
    </row>
    <row r="362">
      <c r="A362" s="105"/>
      <c r="B362" s="105"/>
      <c r="C362" s="105"/>
      <c r="D362" s="105"/>
    </row>
    <row r="363">
      <c r="A363" s="105"/>
      <c r="B363" s="105"/>
      <c r="C363" s="105"/>
      <c r="D363" s="105"/>
    </row>
    <row r="364">
      <c r="A364" s="105"/>
      <c r="B364" s="105"/>
      <c r="C364" s="105"/>
      <c r="D364" s="105"/>
    </row>
    <row r="365">
      <c r="A365" s="105"/>
      <c r="B365" s="105"/>
      <c r="C365" s="105"/>
      <c r="D365" s="105"/>
    </row>
    <row r="366">
      <c r="A366" s="105"/>
      <c r="B366" s="105"/>
      <c r="C366" s="105"/>
      <c r="D366" s="105"/>
    </row>
    <row r="367">
      <c r="A367" s="105"/>
      <c r="B367" s="105"/>
      <c r="C367" s="105"/>
      <c r="D367" s="105"/>
    </row>
    <row r="368">
      <c r="A368" s="105"/>
      <c r="B368" s="105"/>
      <c r="C368" s="105"/>
      <c r="D368" s="105"/>
    </row>
    <row r="369">
      <c r="A369" s="105"/>
      <c r="B369" s="105"/>
      <c r="C369" s="105"/>
      <c r="D369" s="105"/>
    </row>
    <row r="370">
      <c r="A370" s="105"/>
      <c r="B370" s="105"/>
      <c r="C370" s="105"/>
      <c r="D370" s="105"/>
    </row>
    <row r="371">
      <c r="A371" s="105"/>
      <c r="B371" s="105"/>
      <c r="C371" s="105"/>
      <c r="D371" s="105"/>
    </row>
    <row r="372">
      <c r="A372" s="105"/>
      <c r="B372" s="105"/>
      <c r="C372" s="105"/>
      <c r="D372" s="105"/>
    </row>
    <row r="373">
      <c r="A373" s="105"/>
      <c r="B373" s="105"/>
      <c r="C373" s="105"/>
      <c r="D373" s="105"/>
    </row>
    <row r="374">
      <c r="A374" s="105"/>
      <c r="B374" s="105"/>
      <c r="C374" s="105"/>
      <c r="D374" s="105"/>
    </row>
    <row r="375">
      <c r="A375" s="105"/>
      <c r="B375" s="105"/>
      <c r="C375" s="105"/>
      <c r="D375" s="105"/>
    </row>
    <row r="376">
      <c r="A376" s="105"/>
      <c r="B376" s="105"/>
      <c r="C376" s="105"/>
      <c r="D376" s="105"/>
    </row>
    <row r="377">
      <c r="A377" s="105"/>
      <c r="B377" s="105"/>
      <c r="C377" s="105"/>
      <c r="D377" s="105"/>
    </row>
    <row r="378">
      <c r="A378" s="105"/>
      <c r="B378" s="105"/>
      <c r="C378" s="105"/>
      <c r="D378" s="105"/>
    </row>
    <row r="379">
      <c r="A379" s="105"/>
      <c r="B379" s="105"/>
      <c r="C379" s="105"/>
      <c r="D379" s="105"/>
    </row>
    <row r="380">
      <c r="A380" s="105"/>
      <c r="B380" s="105"/>
      <c r="C380" s="105"/>
      <c r="D380" s="105"/>
    </row>
    <row r="381">
      <c r="A381" s="105"/>
      <c r="B381" s="105"/>
      <c r="C381" s="105"/>
      <c r="D381" s="105"/>
    </row>
    <row r="382">
      <c r="A382" s="105"/>
      <c r="B382" s="105"/>
      <c r="C382" s="105"/>
      <c r="D382" s="105"/>
    </row>
    <row r="383">
      <c r="A383" s="105"/>
      <c r="B383" s="105"/>
      <c r="C383" s="105"/>
      <c r="D383" s="105"/>
    </row>
    <row r="384">
      <c r="A384" s="105"/>
      <c r="B384" s="105"/>
      <c r="C384" s="105"/>
      <c r="D384" s="105"/>
    </row>
    <row r="385">
      <c r="A385" s="105"/>
      <c r="B385" s="105"/>
      <c r="C385" s="105"/>
      <c r="D385" s="105"/>
    </row>
    <row r="386">
      <c r="A386" s="105"/>
      <c r="B386" s="105"/>
      <c r="C386" s="105"/>
      <c r="D386" s="105"/>
    </row>
    <row r="387">
      <c r="A387" s="105"/>
      <c r="B387" s="105"/>
      <c r="C387" s="105"/>
      <c r="D387" s="105"/>
    </row>
    <row r="388">
      <c r="A388" s="105"/>
      <c r="B388" s="105"/>
      <c r="C388" s="105"/>
      <c r="D388" s="105"/>
    </row>
    <row r="389">
      <c r="A389" s="105"/>
      <c r="B389" s="105"/>
      <c r="C389" s="105"/>
      <c r="D389" s="105"/>
    </row>
    <row r="390">
      <c r="A390" s="105"/>
      <c r="B390" s="105"/>
      <c r="C390" s="105"/>
      <c r="D390" s="105"/>
    </row>
    <row r="391">
      <c r="A391" s="105"/>
      <c r="B391" s="105"/>
      <c r="C391" s="105"/>
      <c r="D391" s="105"/>
    </row>
    <row r="392">
      <c r="A392" s="105"/>
      <c r="B392" s="105"/>
      <c r="C392" s="105"/>
      <c r="D392" s="105"/>
    </row>
    <row r="393">
      <c r="A393" s="105"/>
      <c r="B393" s="105"/>
      <c r="C393" s="105"/>
      <c r="D393" s="105"/>
    </row>
    <row r="394">
      <c r="A394" s="105"/>
      <c r="B394" s="105"/>
      <c r="C394" s="105"/>
      <c r="D394" s="105"/>
    </row>
    <row r="395">
      <c r="A395" s="105"/>
      <c r="B395" s="105"/>
      <c r="C395" s="105"/>
      <c r="D395" s="105"/>
    </row>
    <row r="396">
      <c r="A396" s="105"/>
      <c r="B396" s="105"/>
      <c r="C396" s="105"/>
      <c r="D396" s="105"/>
    </row>
    <row r="397">
      <c r="A397" s="105"/>
      <c r="B397" s="105"/>
      <c r="C397" s="105"/>
      <c r="D397" s="105"/>
    </row>
    <row r="398">
      <c r="A398" s="105"/>
      <c r="B398" s="105"/>
      <c r="C398" s="105"/>
      <c r="D398" s="105"/>
    </row>
    <row r="399">
      <c r="A399" s="105"/>
      <c r="B399" s="105"/>
      <c r="C399" s="105"/>
      <c r="D399" s="105"/>
    </row>
    <row r="400">
      <c r="A400" s="105"/>
      <c r="B400" s="105"/>
      <c r="C400" s="105"/>
      <c r="D400" s="105"/>
    </row>
    <row r="401">
      <c r="A401" s="105"/>
      <c r="B401" s="105"/>
      <c r="C401" s="105"/>
      <c r="D401" s="105"/>
    </row>
    <row r="402">
      <c r="A402" s="105"/>
      <c r="B402" s="105"/>
      <c r="C402" s="105"/>
      <c r="D402" s="105"/>
    </row>
    <row r="403">
      <c r="A403" s="105"/>
      <c r="B403" s="105"/>
      <c r="C403" s="105"/>
      <c r="D403" s="105"/>
    </row>
    <row r="404">
      <c r="A404" s="105"/>
      <c r="B404" s="105"/>
      <c r="C404" s="105"/>
      <c r="D404" s="105"/>
    </row>
    <row r="405">
      <c r="A405" s="105"/>
      <c r="B405" s="105"/>
      <c r="C405" s="105"/>
      <c r="D405" s="105"/>
    </row>
    <row r="406">
      <c r="A406" s="105"/>
      <c r="B406" s="105"/>
      <c r="C406" s="105"/>
      <c r="D406" s="105"/>
    </row>
    <row r="407">
      <c r="A407" s="105"/>
      <c r="B407" s="105"/>
      <c r="C407" s="105"/>
      <c r="D407" s="105"/>
    </row>
    <row r="408">
      <c r="A408" s="105"/>
      <c r="B408" s="105"/>
      <c r="C408" s="105"/>
      <c r="D408" s="105"/>
    </row>
    <row r="409">
      <c r="A409" s="105"/>
      <c r="B409" s="105"/>
      <c r="C409" s="105"/>
      <c r="D409" s="105"/>
    </row>
    <row r="410">
      <c r="A410" s="105"/>
      <c r="B410" s="105"/>
      <c r="C410" s="105"/>
      <c r="D410" s="105"/>
    </row>
    <row r="411">
      <c r="A411" s="105"/>
      <c r="B411" s="105"/>
      <c r="C411" s="105"/>
      <c r="D411" s="105"/>
    </row>
    <row r="412">
      <c r="A412" s="105"/>
      <c r="B412" s="105"/>
      <c r="C412" s="105"/>
      <c r="D412" s="105"/>
    </row>
    <row r="413">
      <c r="A413" s="105"/>
      <c r="B413" s="105"/>
      <c r="C413" s="105"/>
      <c r="D413" s="105"/>
    </row>
    <row r="414">
      <c r="A414" s="105"/>
      <c r="B414" s="105"/>
      <c r="C414" s="105"/>
      <c r="D414" s="105"/>
    </row>
    <row r="415">
      <c r="A415" s="105"/>
      <c r="B415" s="105"/>
      <c r="C415" s="105"/>
      <c r="D415" s="105"/>
    </row>
    <row r="416">
      <c r="A416" s="105"/>
      <c r="B416" s="105"/>
      <c r="C416" s="105"/>
      <c r="D416" s="105"/>
    </row>
    <row r="417">
      <c r="A417" s="105"/>
      <c r="B417" s="105"/>
      <c r="C417" s="105"/>
      <c r="D417" s="105"/>
    </row>
    <row r="418">
      <c r="A418" s="105"/>
      <c r="B418" s="105"/>
      <c r="C418" s="105"/>
      <c r="D418" s="105"/>
    </row>
    <row r="419">
      <c r="A419" s="105"/>
      <c r="B419" s="105"/>
      <c r="C419" s="105"/>
      <c r="D419" s="105"/>
    </row>
    <row r="420">
      <c r="A420" s="105"/>
      <c r="B420" s="105"/>
      <c r="C420" s="105"/>
      <c r="D420" s="105"/>
    </row>
    <row r="421">
      <c r="A421" s="105"/>
      <c r="B421" s="105"/>
      <c r="C421" s="105"/>
      <c r="D421" s="105"/>
    </row>
    <row r="422">
      <c r="A422" s="105"/>
      <c r="B422" s="105"/>
      <c r="C422" s="105"/>
      <c r="D422" s="105"/>
    </row>
    <row r="423">
      <c r="A423" s="105"/>
      <c r="B423" s="105"/>
      <c r="C423" s="105"/>
      <c r="D423" s="105"/>
    </row>
    <row r="424">
      <c r="A424" s="105"/>
      <c r="B424" s="105"/>
      <c r="C424" s="105"/>
      <c r="D424" s="105"/>
    </row>
    <row r="425">
      <c r="A425" s="105"/>
      <c r="B425" s="105"/>
      <c r="C425" s="105"/>
      <c r="D425" s="105"/>
    </row>
    <row r="426">
      <c r="A426" s="105"/>
      <c r="B426" s="105"/>
      <c r="C426" s="105"/>
      <c r="D426" s="105"/>
    </row>
    <row r="427">
      <c r="A427" s="105"/>
      <c r="B427" s="105"/>
      <c r="C427" s="105"/>
      <c r="D427" s="105"/>
    </row>
    <row r="428">
      <c r="A428" s="105"/>
      <c r="B428" s="105"/>
      <c r="C428" s="105"/>
      <c r="D428" s="105"/>
    </row>
    <row r="429">
      <c r="A429" s="105"/>
      <c r="B429" s="105"/>
      <c r="C429" s="105"/>
      <c r="D429" s="105"/>
    </row>
    <row r="430">
      <c r="A430" s="105"/>
      <c r="B430" s="105"/>
      <c r="C430" s="105"/>
      <c r="D430" s="105"/>
    </row>
    <row r="431">
      <c r="A431" s="105"/>
      <c r="B431" s="105"/>
      <c r="C431" s="105"/>
      <c r="D431" s="105"/>
    </row>
    <row r="432">
      <c r="A432" s="105"/>
      <c r="B432" s="105"/>
      <c r="C432" s="105"/>
      <c r="D432" s="105"/>
    </row>
    <row r="433">
      <c r="A433" s="105"/>
      <c r="B433" s="105"/>
      <c r="C433" s="105"/>
      <c r="D433" s="105"/>
    </row>
    <row r="434">
      <c r="A434" s="105"/>
      <c r="B434" s="105"/>
      <c r="C434" s="105"/>
      <c r="D434" s="105"/>
    </row>
    <row r="435">
      <c r="A435" s="105"/>
      <c r="B435" s="105"/>
      <c r="C435" s="105"/>
      <c r="D435" s="105"/>
    </row>
    <row r="436">
      <c r="A436" s="105"/>
      <c r="B436" s="105"/>
      <c r="C436" s="105"/>
      <c r="D436" s="105"/>
    </row>
    <row r="437">
      <c r="A437" s="105"/>
      <c r="B437" s="105"/>
      <c r="C437" s="105"/>
      <c r="D437" s="105"/>
    </row>
    <row r="438">
      <c r="A438" s="105"/>
      <c r="B438" s="105"/>
      <c r="C438" s="105"/>
      <c r="D438" s="105"/>
    </row>
    <row r="439">
      <c r="A439" s="105"/>
      <c r="B439" s="105"/>
      <c r="C439" s="105"/>
      <c r="D439" s="105"/>
    </row>
    <row r="440">
      <c r="A440" s="105"/>
      <c r="B440" s="105"/>
      <c r="C440" s="105"/>
      <c r="D440" s="105"/>
    </row>
    <row r="441">
      <c r="A441" s="105"/>
      <c r="B441" s="105"/>
      <c r="C441" s="105"/>
      <c r="D441" s="105"/>
    </row>
    <row r="442">
      <c r="A442" s="105"/>
      <c r="B442" s="105"/>
      <c r="C442" s="105"/>
      <c r="D442" s="105"/>
    </row>
    <row r="443">
      <c r="A443" s="105"/>
      <c r="B443" s="105"/>
      <c r="C443" s="105"/>
      <c r="D443" s="105"/>
    </row>
    <row r="444">
      <c r="A444" s="105"/>
      <c r="B444" s="105"/>
      <c r="C444" s="105"/>
      <c r="D444" s="105"/>
    </row>
    <row r="445">
      <c r="A445" s="105"/>
      <c r="B445" s="105"/>
      <c r="C445" s="105"/>
      <c r="D445" s="105"/>
    </row>
    <row r="446">
      <c r="A446" s="105"/>
      <c r="B446" s="105"/>
      <c r="C446" s="105"/>
      <c r="D446" s="105"/>
    </row>
    <row r="447">
      <c r="A447" s="105"/>
      <c r="B447" s="105"/>
      <c r="C447" s="105"/>
      <c r="D447" s="105"/>
    </row>
    <row r="448">
      <c r="A448" s="105"/>
      <c r="B448" s="105"/>
      <c r="C448" s="105"/>
      <c r="D448" s="105"/>
    </row>
    <row r="449">
      <c r="A449" s="105"/>
      <c r="B449" s="105"/>
      <c r="C449" s="105"/>
      <c r="D449" s="105"/>
    </row>
    <row r="450">
      <c r="A450" s="105"/>
      <c r="B450" s="105"/>
      <c r="C450" s="105"/>
      <c r="D450" s="105"/>
    </row>
    <row r="451">
      <c r="A451" s="105"/>
      <c r="B451" s="105"/>
      <c r="C451" s="105"/>
      <c r="D451" s="105"/>
    </row>
    <row r="452">
      <c r="A452" s="105"/>
      <c r="B452" s="105"/>
      <c r="C452" s="105"/>
      <c r="D452" s="105"/>
    </row>
    <row r="453">
      <c r="A453" s="105"/>
      <c r="B453" s="105"/>
      <c r="C453" s="105"/>
      <c r="D453" s="105"/>
    </row>
    <row r="454">
      <c r="A454" s="105"/>
      <c r="B454" s="105"/>
      <c r="C454" s="105"/>
      <c r="D454" s="105"/>
    </row>
    <row r="455">
      <c r="A455" s="105"/>
      <c r="B455" s="105"/>
      <c r="C455" s="105"/>
      <c r="D455" s="105"/>
    </row>
    <row r="456">
      <c r="A456" s="105"/>
      <c r="B456" s="105"/>
      <c r="C456" s="105"/>
      <c r="D456" s="105"/>
    </row>
    <row r="457">
      <c r="A457" s="105"/>
      <c r="B457" s="105"/>
      <c r="C457" s="105"/>
      <c r="D457" s="105"/>
    </row>
    <row r="458">
      <c r="A458" s="105"/>
      <c r="B458" s="105"/>
      <c r="C458" s="105"/>
      <c r="D458" s="105"/>
    </row>
    <row r="459">
      <c r="A459" s="105"/>
      <c r="B459" s="105"/>
      <c r="C459" s="105"/>
      <c r="D459" s="105"/>
    </row>
    <row r="460">
      <c r="A460" s="105"/>
      <c r="B460" s="105"/>
      <c r="C460" s="105"/>
      <c r="D460" s="105"/>
    </row>
    <row r="461">
      <c r="A461" s="105"/>
      <c r="B461" s="105"/>
      <c r="C461" s="105"/>
      <c r="D461" s="105"/>
    </row>
    <row r="462">
      <c r="A462" s="105"/>
      <c r="B462" s="105"/>
      <c r="C462" s="105"/>
      <c r="D462" s="105"/>
    </row>
    <row r="463">
      <c r="A463" s="105"/>
      <c r="B463" s="105"/>
      <c r="C463" s="105"/>
      <c r="D463" s="105"/>
    </row>
    <row r="464">
      <c r="A464" s="105"/>
      <c r="B464" s="105"/>
      <c r="C464" s="105"/>
      <c r="D464" s="105"/>
    </row>
    <row r="465">
      <c r="A465" s="105"/>
      <c r="B465" s="105"/>
      <c r="C465" s="105"/>
      <c r="D465" s="105"/>
    </row>
    <row r="466">
      <c r="A466" s="105"/>
      <c r="B466" s="105"/>
      <c r="C466" s="105"/>
      <c r="D466" s="105"/>
    </row>
    <row r="467">
      <c r="A467" s="105"/>
      <c r="B467" s="105"/>
      <c r="C467" s="105"/>
      <c r="D467" s="105"/>
    </row>
    <row r="468">
      <c r="A468" s="105"/>
      <c r="B468" s="105"/>
      <c r="C468" s="105"/>
      <c r="D468" s="105"/>
    </row>
    <row r="469">
      <c r="A469" s="105"/>
      <c r="B469" s="105"/>
      <c r="C469" s="105"/>
      <c r="D469" s="105"/>
    </row>
    <row r="470">
      <c r="A470" s="105"/>
      <c r="B470" s="105"/>
      <c r="C470" s="105"/>
      <c r="D470" s="105"/>
    </row>
    <row r="471">
      <c r="A471" s="105"/>
      <c r="B471" s="105"/>
      <c r="C471" s="105"/>
      <c r="D471" s="105"/>
    </row>
    <row r="472">
      <c r="A472" s="105"/>
      <c r="B472" s="105"/>
      <c r="C472" s="105"/>
      <c r="D472" s="105"/>
    </row>
    <row r="473">
      <c r="A473" s="105"/>
      <c r="B473" s="105"/>
      <c r="C473" s="105"/>
      <c r="D473" s="105"/>
    </row>
    <row r="474">
      <c r="A474" s="105"/>
      <c r="B474" s="105"/>
      <c r="C474" s="105"/>
      <c r="D474" s="105"/>
    </row>
    <row r="475">
      <c r="A475" s="105"/>
      <c r="B475" s="105"/>
      <c r="C475" s="105"/>
      <c r="D475" s="105"/>
    </row>
    <row r="476">
      <c r="A476" s="105"/>
      <c r="B476" s="105"/>
      <c r="C476" s="105"/>
      <c r="D476" s="105"/>
    </row>
    <row r="477">
      <c r="A477" s="105"/>
      <c r="B477" s="105"/>
      <c r="C477" s="105"/>
      <c r="D477" s="105"/>
    </row>
    <row r="478">
      <c r="A478" s="105"/>
      <c r="B478" s="105"/>
      <c r="C478" s="105"/>
      <c r="D478" s="105"/>
    </row>
    <row r="479">
      <c r="A479" s="105"/>
      <c r="B479" s="105"/>
      <c r="C479" s="105"/>
      <c r="D479" s="105"/>
    </row>
    <row r="480">
      <c r="A480" s="105"/>
      <c r="B480" s="105"/>
      <c r="C480" s="105"/>
      <c r="D480" s="105"/>
    </row>
    <row r="481">
      <c r="A481" s="105"/>
      <c r="B481" s="105"/>
      <c r="C481" s="105"/>
      <c r="D481" s="105"/>
    </row>
    <row r="482">
      <c r="A482" s="105"/>
      <c r="B482" s="105"/>
      <c r="C482" s="105"/>
      <c r="D482" s="105"/>
    </row>
    <row r="483">
      <c r="A483" s="105"/>
      <c r="B483" s="105"/>
      <c r="C483" s="105"/>
      <c r="D483" s="105"/>
    </row>
    <row r="484">
      <c r="A484" s="105"/>
      <c r="B484" s="105"/>
      <c r="C484" s="105"/>
      <c r="D484" s="105"/>
    </row>
    <row r="485">
      <c r="A485" s="105"/>
      <c r="B485" s="105"/>
      <c r="C485" s="105"/>
      <c r="D485" s="105"/>
    </row>
    <row r="486">
      <c r="A486" s="105"/>
      <c r="B486" s="105"/>
      <c r="C486" s="105"/>
      <c r="D486" s="105"/>
    </row>
    <row r="487">
      <c r="A487" s="105"/>
      <c r="B487" s="105"/>
      <c r="C487" s="105"/>
      <c r="D487" s="105"/>
    </row>
    <row r="488">
      <c r="A488" s="105"/>
      <c r="B488" s="105"/>
      <c r="C488" s="105"/>
      <c r="D488" s="105"/>
    </row>
    <row r="489">
      <c r="A489" s="105"/>
      <c r="B489" s="105"/>
      <c r="C489" s="105"/>
      <c r="D489" s="105"/>
    </row>
    <row r="490">
      <c r="A490" s="105"/>
      <c r="B490" s="105"/>
      <c r="C490" s="105"/>
      <c r="D490" s="105"/>
    </row>
    <row r="491">
      <c r="A491" s="105"/>
      <c r="B491" s="105"/>
      <c r="C491" s="105"/>
      <c r="D491" s="105"/>
    </row>
    <row r="492">
      <c r="A492" s="105"/>
      <c r="B492" s="105"/>
      <c r="C492" s="105"/>
      <c r="D492" s="105"/>
    </row>
    <row r="493">
      <c r="A493" s="105"/>
      <c r="B493" s="105"/>
      <c r="C493" s="105"/>
      <c r="D493" s="105"/>
    </row>
    <row r="494">
      <c r="A494" s="105"/>
      <c r="B494" s="105"/>
      <c r="C494" s="105"/>
      <c r="D494" s="105"/>
    </row>
    <row r="495">
      <c r="A495" s="105"/>
      <c r="B495" s="105"/>
      <c r="C495" s="105"/>
      <c r="D495" s="105"/>
    </row>
    <row r="496">
      <c r="A496" s="105"/>
      <c r="B496" s="105"/>
      <c r="C496" s="105"/>
      <c r="D496" s="105"/>
    </row>
    <row r="497">
      <c r="A497" s="105"/>
      <c r="B497" s="105"/>
      <c r="C497" s="105"/>
      <c r="D497" s="105"/>
    </row>
    <row r="498">
      <c r="A498" s="105"/>
      <c r="B498" s="105"/>
      <c r="C498" s="105"/>
      <c r="D498" s="105"/>
    </row>
    <row r="499">
      <c r="A499" s="105"/>
      <c r="B499" s="105"/>
      <c r="C499" s="105"/>
      <c r="D499" s="105"/>
    </row>
    <row r="500">
      <c r="A500" s="105"/>
      <c r="B500" s="105"/>
      <c r="C500" s="105"/>
      <c r="D500" s="105"/>
    </row>
    <row r="501">
      <c r="A501" s="105"/>
      <c r="B501" s="105"/>
      <c r="C501" s="105"/>
      <c r="D501" s="105"/>
    </row>
    <row r="502">
      <c r="A502" s="105"/>
      <c r="B502" s="105"/>
      <c r="C502" s="105"/>
      <c r="D502" s="105"/>
    </row>
    <row r="503">
      <c r="A503" s="105"/>
      <c r="B503" s="105"/>
      <c r="C503" s="105"/>
      <c r="D503" s="105"/>
    </row>
    <row r="504">
      <c r="A504" s="105"/>
      <c r="B504" s="105"/>
      <c r="C504" s="105"/>
      <c r="D504" s="105"/>
    </row>
    <row r="505">
      <c r="A505" s="105"/>
      <c r="B505" s="105"/>
      <c r="C505" s="105"/>
      <c r="D505" s="105"/>
    </row>
    <row r="506">
      <c r="A506" s="105"/>
      <c r="B506" s="105"/>
      <c r="C506" s="105"/>
      <c r="D506" s="105"/>
    </row>
    <row r="507">
      <c r="A507" s="105"/>
      <c r="B507" s="105"/>
      <c r="C507" s="105"/>
      <c r="D507" s="105"/>
    </row>
    <row r="508">
      <c r="A508" s="105"/>
      <c r="B508" s="105"/>
      <c r="C508" s="105"/>
      <c r="D508" s="105"/>
    </row>
    <row r="509">
      <c r="A509" s="105"/>
      <c r="B509" s="105"/>
      <c r="C509" s="105"/>
      <c r="D509" s="105"/>
    </row>
    <row r="510">
      <c r="A510" s="105"/>
      <c r="B510" s="105"/>
      <c r="C510" s="105"/>
      <c r="D510" s="105"/>
    </row>
    <row r="511">
      <c r="A511" s="105"/>
      <c r="B511" s="105"/>
      <c r="C511" s="105"/>
      <c r="D511" s="105"/>
    </row>
    <row r="512">
      <c r="A512" s="105"/>
      <c r="B512" s="105"/>
      <c r="C512" s="105"/>
      <c r="D512" s="105"/>
    </row>
    <row r="513">
      <c r="A513" s="105"/>
      <c r="B513" s="105"/>
      <c r="C513" s="105"/>
      <c r="D513" s="105"/>
    </row>
    <row r="514">
      <c r="A514" s="105"/>
      <c r="B514" s="105"/>
      <c r="C514" s="105"/>
      <c r="D514" s="105"/>
    </row>
    <row r="515">
      <c r="A515" s="105"/>
      <c r="B515" s="105"/>
      <c r="C515" s="105"/>
      <c r="D515" s="105"/>
    </row>
    <row r="516">
      <c r="A516" s="105"/>
      <c r="B516" s="105"/>
      <c r="C516" s="105"/>
      <c r="D516" s="105"/>
    </row>
    <row r="517">
      <c r="A517" s="105"/>
      <c r="B517" s="105"/>
      <c r="C517" s="105"/>
      <c r="D517" s="105"/>
    </row>
    <row r="518">
      <c r="A518" s="105"/>
      <c r="B518" s="105"/>
      <c r="C518" s="105"/>
      <c r="D518" s="105"/>
    </row>
    <row r="519">
      <c r="A519" s="105"/>
      <c r="B519" s="105"/>
      <c r="C519" s="105"/>
      <c r="D519" s="105"/>
    </row>
    <row r="520">
      <c r="A520" s="105"/>
      <c r="B520" s="105"/>
      <c r="C520" s="105"/>
      <c r="D520" s="105"/>
    </row>
    <row r="521">
      <c r="A521" s="105"/>
      <c r="B521" s="105"/>
      <c r="C521" s="105"/>
      <c r="D521" s="105"/>
    </row>
    <row r="522">
      <c r="A522" s="105"/>
      <c r="B522" s="105"/>
      <c r="C522" s="105"/>
      <c r="D522" s="105"/>
    </row>
    <row r="523">
      <c r="A523" s="105"/>
      <c r="B523" s="105"/>
      <c r="C523" s="105"/>
      <c r="D523" s="105"/>
    </row>
    <row r="524">
      <c r="A524" s="105"/>
      <c r="B524" s="105"/>
      <c r="C524" s="105"/>
      <c r="D524" s="105"/>
    </row>
    <row r="525">
      <c r="A525" s="105"/>
      <c r="B525" s="105"/>
      <c r="C525" s="105"/>
      <c r="D525" s="105"/>
    </row>
    <row r="526">
      <c r="A526" s="105"/>
      <c r="B526" s="105"/>
      <c r="C526" s="105"/>
      <c r="D526" s="105"/>
    </row>
    <row r="527">
      <c r="A527" s="105"/>
      <c r="B527" s="105"/>
      <c r="C527" s="105"/>
      <c r="D527" s="105"/>
    </row>
    <row r="528">
      <c r="A528" s="105"/>
      <c r="B528" s="105"/>
      <c r="C528" s="105"/>
      <c r="D528" s="105"/>
    </row>
    <row r="529">
      <c r="A529" s="105"/>
      <c r="B529" s="105"/>
      <c r="C529" s="105"/>
      <c r="D529" s="105"/>
    </row>
    <row r="530">
      <c r="A530" s="105"/>
      <c r="B530" s="105"/>
      <c r="C530" s="105"/>
      <c r="D530" s="105"/>
    </row>
    <row r="531">
      <c r="A531" s="105"/>
      <c r="B531" s="105"/>
      <c r="C531" s="105"/>
      <c r="D531" s="105"/>
    </row>
    <row r="532">
      <c r="A532" s="105"/>
      <c r="B532" s="105"/>
      <c r="C532" s="105"/>
      <c r="D532" s="105"/>
    </row>
    <row r="533">
      <c r="A533" s="105"/>
      <c r="B533" s="105"/>
      <c r="C533" s="105"/>
      <c r="D533" s="105"/>
    </row>
    <row r="534">
      <c r="A534" s="105"/>
      <c r="B534" s="105"/>
      <c r="C534" s="105"/>
      <c r="D534" s="105"/>
    </row>
    <row r="535">
      <c r="A535" s="105"/>
      <c r="B535" s="105"/>
      <c r="C535" s="105"/>
      <c r="D535" s="105"/>
    </row>
    <row r="536">
      <c r="A536" s="105"/>
      <c r="B536" s="105"/>
      <c r="C536" s="105"/>
      <c r="D536" s="105"/>
    </row>
    <row r="537">
      <c r="A537" s="105"/>
      <c r="B537" s="105"/>
      <c r="C537" s="105"/>
      <c r="D537" s="105"/>
    </row>
    <row r="538">
      <c r="A538" s="105"/>
      <c r="B538" s="105"/>
      <c r="C538" s="105"/>
      <c r="D538" s="105"/>
    </row>
    <row r="539">
      <c r="A539" s="105"/>
      <c r="B539" s="105"/>
      <c r="C539" s="105"/>
      <c r="D539" s="105"/>
    </row>
    <row r="540">
      <c r="A540" s="105"/>
      <c r="B540" s="105"/>
      <c r="C540" s="105"/>
      <c r="D540" s="105"/>
    </row>
    <row r="541">
      <c r="A541" s="105"/>
      <c r="B541" s="105"/>
      <c r="C541" s="105"/>
      <c r="D541" s="105"/>
    </row>
    <row r="542">
      <c r="A542" s="105"/>
      <c r="B542" s="105"/>
      <c r="C542" s="105"/>
      <c r="D542" s="105"/>
    </row>
    <row r="543">
      <c r="A543" s="105"/>
      <c r="B543" s="105"/>
      <c r="C543" s="105"/>
      <c r="D543" s="105"/>
    </row>
    <row r="544">
      <c r="A544" s="105"/>
      <c r="B544" s="105"/>
      <c r="C544" s="105"/>
      <c r="D544" s="105"/>
    </row>
    <row r="545">
      <c r="A545" s="105"/>
      <c r="B545" s="105"/>
      <c r="C545" s="105"/>
      <c r="D545" s="105"/>
    </row>
    <row r="546">
      <c r="A546" s="105"/>
      <c r="B546" s="105"/>
      <c r="C546" s="105"/>
      <c r="D546" s="105"/>
    </row>
    <row r="547">
      <c r="A547" s="105"/>
      <c r="B547" s="105"/>
      <c r="C547" s="105"/>
      <c r="D547" s="105"/>
    </row>
    <row r="548">
      <c r="A548" s="105"/>
      <c r="B548" s="105"/>
      <c r="C548" s="105"/>
      <c r="D548" s="105"/>
    </row>
    <row r="549">
      <c r="A549" s="105"/>
      <c r="B549" s="105"/>
      <c r="C549" s="105"/>
      <c r="D549" s="105"/>
    </row>
    <row r="550">
      <c r="A550" s="105"/>
      <c r="B550" s="105"/>
      <c r="C550" s="105"/>
      <c r="D550" s="105"/>
    </row>
    <row r="551">
      <c r="A551" s="105"/>
      <c r="B551" s="105"/>
      <c r="C551" s="105"/>
      <c r="D551" s="105"/>
    </row>
    <row r="552">
      <c r="A552" s="105"/>
      <c r="B552" s="105"/>
      <c r="C552" s="105"/>
      <c r="D552" s="105"/>
    </row>
    <row r="553">
      <c r="A553" s="105"/>
      <c r="B553" s="105"/>
      <c r="C553" s="105"/>
      <c r="D553" s="105"/>
    </row>
    <row r="554">
      <c r="A554" s="105"/>
      <c r="B554" s="105"/>
      <c r="C554" s="105"/>
      <c r="D554" s="105"/>
    </row>
    <row r="555">
      <c r="A555" s="105"/>
      <c r="B555" s="105"/>
      <c r="C555" s="105"/>
      <c r="D555" s="105"/>
    </row>
    <row r="556">
      <c r="A556" s="105"/>
      <c r="B556" s="105"/>
      <c r="C556" s="105"/>
      <c r="D556" s="105"/>
    </row>
    <row r="557">
      <c r="A557" s="105"/>
      <c r="B557" s="105"/>
      <c r="C557" s="105"/>
      <c r="D557" s="105"/>
    </row>
    <row r="558">
      <c r="A558" s="105"/>
      <c r="B558" s="105"/>
      <c r="C558" s="105"/>
      <c r="D558" s="105"/>
    </row>
    <row r="559">
      <c r="A559" s="105"/>
      <c r="B559" s="105"/>
      <c r="C559" s="105"/>
      <c r="D559" s="105"/>
    </row>
    <row r="560">
      <c r="A560" s="105"/>
      <c r="B560" s="105"/>
      <c r="C560" s="105"/>
      <c r="D560" s="105"/>
    </row>
    <row r="561">
      <c r="A561" s="105"/>
      <c r="B561" s="105"/>
      <c r="C561" s="105"/>
      <c r="D561" s="105"/>
    </row>
    <row r="562">
      <c r="A562" s="105"/>
      <c r="B562" s="105"/>
      <c r="C562" s="105"/>
      <c r="D562" s="105"/>
    </row>
    <row r="563">
      <c r="A563" s="105"/>
      <c r="B563" s="105"/>
      <c r="C563" s="105"/>
      <c r="D563" s="105"/>
    </row>
    <row r="564">
      <c r="A564" s="105"/>
      <c r="B564" s="105"/>
      <c r="C564" s="105"/>
      <c r="D564" s="105"/>
    </row>
    <row r="565">
      <c r="A565" s="105"/>
      <c r="B565" s="105"/>
      <c r="C565" s="105"/>
      <c r="D565" s="105"/>
    </row>
    <row r="566">
      <c r="A566" s="105"/>
      <c r="B566" s="105"/>
      <c r="C566" s="105"/>
      <c r="D566" s="105"/>
    </row>
    <row r="567">
      <c r="A567" s="105"/>
      <c r="B567" s="105"/>
      <c r="C567" s="105"/>
      <c r="D567" s="105"/>
    </row>
    <row r="568">
      <c r="A568" s="105"/>
      <c r="B568" s="105"/>
      <c r="C568" s="105"/>
      <c r="D568" s="105"/>
    </row>
    <row r="569">
      <c r="A569" s="105"/>
      <c r="B569" s="105"/>
      <c r="C569" s="105"/>
      <c r="D569" s="105"/>
    </row>
    <row r="570">
      <c r="A570" s="105"/>
      <c r="B570" s="105"/>
      <c r="C570" s="105"/>
      <c r="D570" s="105"/>
    </row>
    <row r="571">
      <c r="A571" s="105"/>
      <c r="B571" s="105"/>
      <c r="C571" s="105"/>
      <c r="D571" s="105"/>
    </row>
    <row r="572">
      <c r="A572" s="105"/>
      <c r="B572" s="105"/>
      <c r="C572" s="105"/>
      <c r="D572" s="105"/>
    </row>
    <row r="573">
      <c r="A573" s="105"/>
      <c r="B573" s="105"/>
      <c r="C573" s="105"/>
      <c r="D573" s="105"/>
    </row>
    <row r="574">
      <c r="A574" s="105"/>
      <c r="B574" s="105"/>
      <c r="C574" s="105"/>
      <c r="D574" s="105"/>
    </row>
    <row r="575">
      <c r="A575" s="105"/>
      <c r="B575" s="105"/>
      <c r="C575" s="105"/>
      <c r="D575" s="105"/>
    </row>
    <row r="576">
      <c r="A576" s="105"/>
      <c r="B576" s="105"/>
      <c r="C576" s="105"/>
      <c r="D576" s="105"/>
    </row>
    <row r="577">
      <c r="A577" s="105"/>
      <c r="B577" s="105"/>
      <c r="C577" s="105"/>
      <c r="D577" s="105"/>
    </row>
    <row r="578">
      <c r="A578" s="105"/>
      <c r="B578" s="105"/>
      <c r="C578" s="105"/>
      <c r="D578" s="105"/>
    </row>
    <row r="579">
      <c r="A579" s="105"/>
      <c r="B579" s="105"/>
      <c r="C579" s="105"/>
      <c r="D579" s="105"/>
    </row>
    <row r="580">
      <c r="A580" s="105"/>
      <c r="B580" s="105"/>
      <c r="C580" s="105"/>
      <c r="D580" s="105"/>
    </row>
    <row r="581">
      <c r="A581" s="105"/>
      <c r="B581" s="105"/>
      <c r="C581" s="105"/>
      <c r="D581" s="105"/>
    </row>
    <row r="582">
      <c r="A582" s="105"/>
      <c r="B582" s="105"/>
      <c r="C582" s="105"/>
      <c r="D582" s="105"/>
    </row>
    <row r="583">
      <c r="A583" s="105"/>
      <c r="B583" s="105"/>
      <c r="C583" s="105"/>
      <c r="D583" s="105"/>
    </row>
    <row r="584">
      <c r="A584" s="105"/>
      <c r="B584" s="105"/>
      <c r="C584" s="105"/>
      <c r="D584" s="105"/>
    </row>
    <row r="585">
      <c r="A585" s="105"/>
      <c r="B585" s="105"/>
      <c r="C585" s="105"/>
      <c r="D585" s="105"/>
    </row>
    <row r="586">
      <c r="A586" s="105"/>
      <c r="B586" s="105"/>
      <c r="C586" s="105"/>
      <c r="D586" s="105"/>
    </row>
    <row r="587">
      <c r="A587" s="105"/>
      <c r="B587" s="105"/>
      <c r="C587" s="105"/>
      <c r="D587" s="105"/>
    </row>
    <row r="588">
      <c r="A588" s="105"/>
      <c r="B588" s="105"/>
      <c r="C588" s="105"/>
      <c r="D588" s="105"/>
    </row>
    <row r="589">
      <c r="A589" s="105"/>
      <c r="B589" s="105"/>
      <c r="C589" s="105"/>
      <c r="D589" s="105"/>
    </row>
    <row r="590">
      <c r="A590" s="105"/>
      <c r="B590" s="105"/>
      <c r="C590" s="105"/>
      <c r="D590" s="105"/>
    </row>
    <row r="591">
      <c r="A591" s="105"/>
      <c r="B591" s="105"/>
      <c r="C591" s="105"/>
      <c r="D591" s="105"/>
    </row>
    <row r="592">
      <c r="A592" s="105"/>
      <c r="B592" s="105"/>
      <c r="C592" s="105"/>
      <c r="D592" s="105"/>
    </row>
    <row r="593">
      <c r="A593" s="105"/>
      <c r="B593" s="105"/>
      <c r="C593" s="105"/>
      <c r="D593" s="105"/>
    </row>
    <row r="594">
      <c r="A594" s="105"/>
      <c r="B594" s="105"/>
      <c r="C594" s="105"/>
      <c r="D594" s="105"/>
    </row>
    <row r="595">
      <c r="A595" s="105"/>
      <c r="B595" s="105"/>
      <c r="C595" s="105"/>
      <c r="D595" s="105"/>
    </row>
    <row r="596">
      <c r="A596" s="105"/>
      <c r="B596" s="105"/>
      <c r="C596" s="105"/>
      <c r="D596" s="105"/>
    </row>
    <row r="597">
      <c r="A597" s="105"/>
      <c r="B597" s="105"/>
      <c r="C597" s="105"/>
      <c r="D597" s="105"/>
    </row>
    <row r="598">
      <c r="A598" s="105"/>
      <c r="B598" s="105"/>
      <c r="C598" s="105"/>
      <c r="D598" s="105"/>
    </row>
    <row r="599">
      <c r="A599" s="105"/>
      <c r="B599" s="105"/>
      <c r="C599" s="105"/>
      <c r="D599" s="105"/>
    </row>
    <row r="600">
      <c r="A600" s="105"/>
      <c r="B600" s="105"/>
      <c r="C600" s="105"/>
      <c r="D600" s="105"/>
    </row>
    <row r="601">
      <c r="A601" s="105"/>
      <c r="B601" s="105"/>
      <c r="C601" s="105"/>
      <c r="D601" s="105"/>
    </row>
    <row r="602">
      <c r="A602" s="105"/>
      <c r="B602" s="105"/>
      <c r="C602" s="105"/>
      <c r="D602" s="105"/>
    </row>
    <row r="603">
      <c r="A603" s="105"/>
      <c r="B603" s="105"/>
      <c r="C603" s="105"/>
      <c r="D603" s="105"/>
    </row>
    <row r="604">
      <c r="A604" s="105"/>
      <c r="B604" s="105"/>
      <c r="C604" s="105"/>
      <c r="D604" s="105"/>
    </row>
    <row r="605">
      <c r="A605" s="105"/>
      <c r="B605" s="105"/>
      <c r="C605" s="105"/>
      <c r="D605" s="105"/>
    </row>
    <row r="606">
      <c r="A606" s="105"/>
      <c r="B606" s="105"/>
      <c r="C606" s="105"/>
      <c r="D606" s="105"/>
    </row>
    <row r="607">
      <c r="A607" s="105"/>
      <c r="B607" s="105"/>
      <c r="C607" s="105"/>
      <c r="D607" s="105"/>
    </row>
    <row r="608">
      <c r="A608" s="105"/>
      <c r="B608" s="105"/>
      <c r="C608" s="105"/>
      <c r="D608" s="105"/>
    </row>
    <row r="609">
      <c r="A609" s="105"/>
      <c r="B609" s="105"/>
      <c r="C609" s="105"/>
      <c r="D609" s="105"/>
    </row>
    <row r="610">
      <c r="A610" s="105"/>
      <c r="B610" s="105"/>
      <c r="C610" s="105"/>
      <c r="D610" s="105"/>
    </row>
    <row r="611">
      <c r="A611" s="105"/>
      <c r="B611" s="105"/>
      <c r="C611" s="105"/>
      <c r="D611" s="105"/>
    </row>
    <row r="612">
      <c r="A612" s="105"/>
      <c r="B612" s="105"/>
      <c r="C612" s="105"/>
      <c r="D612" s="105"/>
    </row>
    <row r="613">
      <c r="A613" s="105"/>
      <c r="B613" s="105"/>
      <c r="C613" s="105"/>
      <c r="D613" s="105"/>
    </row>
    <row r="614">
      <c r="A614" s="105"/>
      <c r="B614" s="105"/>
      <c r="C614" s="105"/>
      <c r="D614" s="105"/>
    </row>
    <row r="615">
      <c r="A615" s="105"/>
      <c r="B615" s="105"/>
      <c r="C615" s="105"/>
      <c r="D615" s="105"/>
    </row>
    <row r="616">
      <c r="A616" s="105"/>
      <c r="B616" s="105"/>
      <c r="C616" s="105"/>
      <c r="D616" s="105"/>
    </row>
    <row r="617">
      <c r="A617" s="105"/>
      <c r="B617" s="105"/>
      <c r="C617" s="105"/>
      <c r="D617" s="105"/>
    </row>
    <row r="618">
      <c r="A618" s="105"/>
      <c r="B618" s="105"/>
      <c r="C618" s="105"/>
      <c r="D618" s="105"/>
    </row>
    <row r="619">
      <c r="A619" s="105"/>
      <c r="B619" s="105"/>
      <c r="C619" s="105"/>
      <c r="D619" s="105"/>
    </row>
    <row r="620">
      <c r="A620" s="105"/>
      <c r="B620" s="105"/>
      <c r="C620" s="105"/>
      <c r="D620" s="105"/>
    </row>
    <row r="621">
      <c r="A621" s="105"/>
      <c r="B621" s="105"/>
      <c r="C621" s="105"/>
      <c r="D621" s="105"/>
    </row>
    <row r="622">
      <c r="A622" s="105"/>
      <c r="B622" s="105"/>
      <c r="C622" s="105"/>
      <c r="D622" s="105"/>
    </row>
    <row r="623">
      <c r="A623" s="105"/>
      <c r="B623" s="105"/>
      <c r="C623" s="105"/>
      <c r="D623" s="105"/>
    </row>
    <row r="624">
      <c r="A624" s="105"/>
      <c r="B624" s="105"/>
      <c r="C624" s="105"/>
      <c r="D624" s="105"/>
    </row>
    <row r="625">
      <c r="A625" s="105"/>
      <c r="B625" s="105"/>
      <c r="C625" s="105"/>
      <c r="D625" s="105"/>
    </row>
    <row r="626">
      <c r="A626" s="105"/>
      <c r="B626" s="105"/>
      <c r="C626" s="105"/>
      <c r="D626" s="105"/>
    </row>
    <row r="627">
      <c r="A627" s="105"/>
      <c r="B627" s="105"/>
      <c r="C627" s="105"/>
      <c r="D627" s="105"/>
    </row>
    <row r="628">
      <c r="A628" s="105"/>
      <c r="B628" s="105"/>
      <c r="C628" s="105"/>
      <c r="D628" s="105"/>
    </row>
    <row r="629">
      <c r="A629" s="105"/>
      <c r="B629" s="105"/>
      <c r="C629" s="105"/>
      <c r="D629" s="105"/>
    </row>
    <row r="630">
      <c r="A630" s="105"/>
      <c r="B630" s="105"/>
      <c r="C630" s="105"/>
      <c r="D630" s="105"/>
    </row>
    <row r="631">
      <c r="A631" s="105"/>
      <c r="B631" s="105"/>
      <c r="C631" s="105"/>
      <c r="D631" s="105"/>
    </row>
    <row r="632">
      <c r="A632" s="105"/>
      <c r="B632" s="105"/>
      <c r="C632" s="105"/>
      <c r="D632" s="105"/>
    </row>
    <row r="633">
      <c r="A633" s="105"/>
      <c r="B633" s="105"/>
      <c r="C633" s="105"/>
      <c r="D633" s="105"/>
    </row>
    <row r="634">
      <c r="A634" s="105"/>
      <c r="B634" s="105"/>
      <c r="C634" s="105"/>
      <c r="D634" s="105"/>
    </row>
    <row r="635">
      <c r="A635" s="105"/>
      <c r="B635" s="105"/>
      <c r="C635" s="105"/>
      <c r="D635" s="105"/>
    </row>
    <row r="636">
      <c r="A636" s="105"/>
      <c r="B636" s="105"/>
      <c r="C636" s="105"/>
      <c r="D636" s="105"/>
    </row>
    <row r="637">
      <c r="A637" s="105"/>
      <c r="B637" s="105"/>
      <c r="C637" s="105"/>
      <c r="D637" s="105"/>
    </row>
    <row r="638">
      <c r="A638" s="105"/>
      <c r="B638" s="105"/>
      <c r="C638" s="105"/>
      <c r="D638" s="105"/>
    </row>
    <row r="639">
      <c r="A639" s="105"/>
      <c r="B639" s="105"/>
      <c r="C639" s="105"/>
      <c r="D639" s="105"/>
    </row>
    <row r="640">
      <c r="A640" s="105"/>
      <c r="B640" s="105"/>
      <c r="C640" s="105"/>
      <c r="D640" s="105"/>
    </row>
    <row r="641">
      <c r="A641" s="105"/>
      <c r="B641" s="105"/>
      <c r="C641" s="105"/>
      <c r="D641" s="105"/>
    </row>
    <row r="642">
      <c r="A642" s="105"/>
      <c r="B642" s="105"/>
      <c r="C642" s="105"/>
      <c r="D642" s="105"/>
    </row>
    <row r="643">
      <c r="A643" s="105"/>
      <c r="B643" s="105"/>
      <c r="C643" s="105"/>
      <c r="D643" s="105"/>
    </row>
    <row r="644">
      <c r="A644" s="105"/>
      <c r="B644" s="105"/>
      <c r="C644" s="105"/>
      <c r="D644" s="105"/>
    </row>
    <row r="645">
      <c r="A645" s="105"/>
      <c r="B645" s="105"/>
      <c r="C645" s="105"/>
      <c r="D645" s="105"/>
    </row>
    <row r="646">
      <c r="A646" s="105"/>
      <c r="B646" s="105"/>
      <c r="C646" s="105"/>
      <c r="D646" s="105"/>
    </row>
    <row r="647">
      <c r="A647" s="105"/>
      <c r="B647" s="105"/>
      <c r="C647" s="105"/>
      <c r="D647" s="105"/>
    </row>
    <row r="648">
      <c r="A648" s="105"/>
      <c r="B648" s="105"/>
      <c r="C648" s="105"/>
      <c r="D648" s="105"/>
    </row>
    <row r="649">
      <c r="A649" s="105"/>
      <c r="B649" s="105"/>
      <c r="C649" s="105"/>
      <c r="D649" s="105"/>
    </row>
    <row r="650">
      <c r="A650" s="105"/>
      <c r="B650" s="105"/>
      <c r="C650" s="105"/>
      <c r="D650" s="105"/>
    </row>
    <row r="651">
      <c r="A651" s="105"/>
      <c r="B651" s="105"/>
      <c r="C651" s="105"/>
      <c r="D651" s="105"/>
    </row>
    <row r="652">
      <c r="A652" s="105"/>
      <c r="B652" s="105"/>
      <c r="C652" s="105"/>
      <c r="D652" s="105"/>
    </row>
    <row r="653">
      <c r="A653" s="105"/>
      <c r="B653" s="105"/>
      <c r="C653" s="105"/>
      <c r="D653" s="105"/>
    </row>
    <row r="654">
      <c r="A654" s="105"/>
      <c r="B654" s="105"/>
      <c r="C654" s="105"/>
      <c r="D654" s="105"/>
    </row>
    <row r="655">
      <c r="A655" s="105"/>
      <c r="B655" s="105"/>
      <c r="C655" s="105"/>
      <c r="D655" s="105"/>
    </row>
    <row r="656">
      <c r="A656" s="105"/>
      <c r="B656" s="105"/>
      <c r="C656" s="105"/>
      <c r="D656" s="105"/>
    </row>
    <row r="657">
      <c r="A657" s="105"/>
      <c r="B657" s="105"/>
      <c r="C657" s="105"/>
      <c r="D657" s="105"/>
    </row>
    <row r="658">
      <c r="A658" s="105"/>
      <c r="B658" s="105"/>
      <c r="C658" s="105"/>
      <c r="D658" s="105"/>
    </row>
    <row r="659">
      <c r="A659" s="105"/>
      <c r="B659" s="105"/>
      <c r="C659" s="105"/>
      <c r="D659" s="105"/>
    </row>
    <row r="660">
      <c r="A660" s="105"/>
      <c r="B660" s="105"/>
      <c r="C660" s="105"/>
      <c r="D660" s="105"/>
    </row>
    <row r="661">
      <c r="A661" s="105"/>
      <c r="B661" s="105"/>
      <c r="C661" s="105"/>
      <c r="D661" s="105"/>
    </row>
    <row r="662">
      <c r="A662" s="105"/>
      <c r="B662" s="105"/>
      <c r="C662" s="105"/>
      <c r="D662" s="105"/>
    </row>
    <row r="663">
      <c r="A663" s="105"/>
      <c r="B663" s="105"/>
      <c r="C663" s="105"/>
      <c r="D663" s="105"/>
    </row>
    <row r="664">
      <c r="A664" s="105"/>
      <c r="B664" s="105"/>
      <c r="C664" s="105"/>
      <c r="D664" s="105"/>
    </row>
    <row r="665">
      <c r="A665" s="105"/>
      <c r="B665" s="105"/>
      <c r="C665" s="105"/>
      <c r="D665" s="105"/>
    </row>
    <row r="666">
      <c r="A666" s="105"/>
      <c r="B666" s="105"/>
      <c r="C666" s="105"/>
      <c r="D666" s="105"/>
    </row>
    <row r="667">
      <c r="A667" s="105"/>
      <c r="B667" s="105"/>
      <c r="C667" s="105"/>
      <c r="D667" s="105"/>
    </row>
    <row r="668">
      <c r="A668" s="105"/>
      <c r="B668" s="105"/>
      <c r="C668" s="105"/>
      <c r="D668" s="105"/>
    </row>
    <row r="669">
      <c r="A669" s="105"/>
      <c r="B669" s="105"/>
      <c r="C669" s="105"/>
      <c r="D669" s="105"/>
    </row>
    <row r="670">
      <c r="A670" s="105"/>
      <c r="B670" s="105"/>
      <c r="C670" s="105"/>
      <c r="D670" s="105"/>
    </row>
    <row r="671">
      <c r="A671" s="105"/>
      <c r="B671" s="105"/>
      <c r="C671" s="105"/>
      <c r="D671" s="105"/>
    </row>
    <row r="672">
      <c r="A672" s="105"/>
      <c r="B672" s="105"/>
      <c r="C672" s="105"/>
      <c r="D672" s="105"/>
    </row>
    <row r="673">
      <c r="A673" s="105"/>
      <c r="B673" s="105"/>
      <c r="C673" s="105"/>
      <c r="D673" s="105"/>
    </row>
    <row r="674">
      <c r="A674" s="105"/>
      <c r="B674" s="105"/>
      <c r="C674" s="105"/>
      <c r="D674" s="105"/>
    </row>
    <row r="675">
      <c r="A675" s="105"/>
      <c r="B675" s="105"/>
      <c r="C675" s="105"/>
      <c r="D675" s="105"/>
    </row>
    <row r="676">
      <c r="A676" s="105"/>
      <c r="B676" s="105"/>
      <c r="C676" s="105"/>
      <c r="D676" s="105"/>
    </row>
    <row r="677">
      <c r="A677" s="105"/>
      <c r="B677" s="105"/>
      <c r="C677" s="105"/>
      <c r="D677" s="105"/>
    </row>
    <row r="678">
      <c r="A678" s="105"/>
      <c r="B678" s="105"/>
      <c r="C678" s="105"/>
      <c r="D678" s="105"/>
    </row>
    <row r="679">
      <c r="A679" s="105"/>
      <c r="B679" s="105"/>
      <c r="C679" s="105"/>
      <c r="D679" s="105"/>
    </row>
    <row r="680">
      <c r="A680" s="105"/>
      <c r="B680" s="105"/>
      <c r="C680" s="105"/>
      <c r="D680" s="105"/>
    </row>
    <row r="681">
      <c r="A681" s="105"/>
      <c r="B681" s="105"/>
      <c r="C681" s="105"/>
      <c r="D681" s="105"/>
    </row>
    <row r="682">
      <c r="A682" s="105"/>
      <c r="B682" s="105"/>
      <c r="C682" s="105"/>
      <c r="D682" s="105"/>
    </row>
    <row r="683">
      <c r="A683" s="105"/>
      <c r="B683" s="105"/>
      <c r="C683" s="105"/>
      <c r="D683" s="105"/>
    </row>
    <row r="684">
      <c r="A684" s="105"/>
      <c r="B684" s="105"/>
      <c r="C684" s="105"/>
      <c r="D684" s="105"/>
    </row>
    <row r="685">
      <c r="A685" s="105"/>
      <c r="B685" s="105"/>
      <c r="C685" s="105"/>
      <c r="D685" s="105"/>
    </row>
    <row r="686">
      <c r="A686" s="105"/>
      <c r="B686" s="105"/>
      <c r="C686" s="105"/>
      <c r="D686" s="105"/>
    </row>
    <row r="687">
      <c r="A687" s="105"/>
      <c r="B687" s="105"/>
      <c r="C687" s="105"/>
      <c r="D687" s="105"/>
    </row>
    <row r="688">
      <c r="A688" s="105"/>
      <c r="B688" s="105"/>
      <c r="C688" s="105"/>
      <c r="D688" s="105"/>
    </row>
    <row r="689">
      <c r="A689" s="105"/>
      <c r="B689" s="105"/>
      <c r="C689" s="105"/>
      <c r="D689" s="105"/>
    </row>
    <row r="690">
      <c r="A690" s="105"/>
      <c r="B690" s="105"/>
      <c r="C690" s="105"/>
      <c r="D690" s="105"/>
    </row>
    <row r="691">
      <c r="A691" s="105"/>
      <c r="B691" s="105"/>
      <c r="C691" s="105"/>
      <c r="D691" s="105"/>
    </row>
    <row r="692">
      <c r="A692" s="105"/>
      <c r="B692" s="105"/>
      <c r="C692" s="105"/>
      <c r="D692" s="105"/>
    </row>
    <row r="693">
      <c r="A693" s="105"/>
      <c r="B693" s="105"/>
      <c r="C693" s="105"/>
      <c r="D693" s="105"/>
    </row>
    <row r="694">
      <c r="A694" s="105"/>
      <c r="B694" s="105"/>
      <c r="C694" s="105"/>
      <c r="D694" s="105"/>
    </row>
    <row r="695">
      <c r="A695" s="105"/>
      <c r="B695" s="105"/>
      <c r="C695" s="105"/>
      <c r="D695" s="105"/>
    </row>
    <row r="696">
      <c r="A696" s="105"/>
      <c r="B696" s="105"/>
      <c r="C696" s="105"/>
      <c r="D696" s="105"/>
    </row>
    <row r="697">
      <c r="A697" s="105"/>
      <c r="B697" s="105"/>
      <c r="C697" s="105"/>
      <c r="D697" s="105"/>
    </row>
    <row r="698">
      <c r="A698" s="105"/>
      <c r="B698" s="105"/>
      <c r="C698" s="105"/>
      <c r="D698" s="105"/>
    </row>
    <row r="699">
      <c r="A699" s="105"/>
      <c r="B699" s="105"/>
      <c r="C699" s="105"/>
      <c r="D699" s="105"/>
    </row>
    <row r="700">
      <c r="A700" s="105"/>
      <c r="B700" s="105"/>
      <c r="C700" s="105"/>
      <c r="D700" s="105"/>
    </row>
    <row r="701">
      <c r="A701" s="105"/>
      <c r="B701" s="105"/>
      <c r="C701" s="105"/>
      <c r="D701" s="105"/>
    </row>
    <row r="702">
      <c r="A702" s="105"/>
      <c r="B702" s="105"/>
      <c r="C702" s="105"/>
      <c r="D702" s="105"/>
    </row>
    <row r="703">
      <c r="A703" s="105"/>
      <c r="B703" s="105"/>
      <c r="C703" s="105"/>
      <c r="D703" s="105"/>
    </row>
    <row r="704">
      <c r="A704" s="105"/>
      <c r="B704" s="105"/>
      <c r="C704" s="105"/>
      <c r="D704" s="105"/>
    </row>
    <row r="705">
      <c r="A705" s="105"/>
      <c r="B705" s="105"/>
      <c r="C705" s="105"/>
      <c r="D705" s="105"/>
    </row>
    <row r="706">
      <c r="A706" s="105"/>
      <c r="B706" s="105"/>
      <c r="C706" s="105"/>
      <c r="D706" s="105"/>
    </row>
    <row r="707">
      <c r="A707" s="105"/>
      <c r="B707" s="105"/>
      <c r="C707" s="105"/>
      <c r="D707" s="105"/>
    </row>
    <row r="708">
      <c r="A708" s="105"/>
      <c r="B708" s="105"/>
      <c r="C708" s="105"/>
      <c r="D708" s="105"/>
    </row>
    <row r="709">
      <c r="A709" s="105"/>
      <c r="B709" s="105"/>
      <c r="C709" s="105"/>
      <c r="D709" s="105"/>
    </row>
    <row r="710">
      <c r="A710" s="105"/>
      <c r="B710" s="105"/>
      <c r="C710" s="105"/>
      <c r="D710" s="105"/>
    </row>
    <row r="711">
      <c r="A711" s="105"/>
      <c r="B711" s="105"/>
      <c r="C711" s="105"/>
      <c r="D711" s="105"/>
    </row>
    <row r="712">
      <c r="A712" s="105"/>
      <c r="B712" s="105"/>
      <c r="C712" s="105"/>
      <c r="D712" s="105"/>
    </row>
    <row r="713">
      <c r="A713" s="105"/>
      <c r="B713" s="105"/>
      <c r="C713" s="105"/>
      <c r="D713" s="105"/>
    </row>
    <row r="714">
      <c r="A714" s="105"/>
      <c r="B714" s="105"/>
      <c r="C714" s="105"/>
      <c r="D714" s="105"/>
    </row>
    <row r="715">
      <c r="A715" s="105"/>
      <c r="B715" s="105"/>
      <c r="C715" s="105"/>
      <c r="D715" s="105"/>
    </row>
    <row r="716">
      <c r="A716" s="105"/>
      <c r="B716" s="105"/>
      <c r="C716" s="105"/>
      <c r="D716" s="105"/>
    </row>
    <row r="717">
      <c r="A717" s="105"/>
      <c r="B717" s="105"/>
      <c r="C717" s="105"/>
      <c r="D717" s="105"/>
    </row>
    <row r="718">
      <c r="A718" s="105"/>
      <c r="B718" s="105"/>
      <c r="C718" s="105"/>
      <c r="D718" s="105"/>
    </row>
    <row r="719">
      <c r="A719" s="105"/>
      <c r="B719" s="105"/>
      <c r="C719" s="105"/>
      <c r="D719" s="105"/>
    </row>
    <row r="720">
      <c r="A720" s="105"/>
      <c r="B720" s="105"/>
      <c r="C720" s="105"/>
      <c r="D720" s="105"/>
    </row>
    <row r="721">
      <c r="A721" s="105"/>
      <c r="B721" s="105"/>
      <c r="C721" s="105"/>
      <c r="D721" s="105"/>
    </row>
    <row r="722">
      <c r="A722" s="105"/>
      <c r="B722" s="105"/>
      <c r="C722" s="105"/>
      <c r="D722" s="105"/>
    </row>
    <row r="723">
      <c r="A723" s="105"/>
      <c r="B723" s="105"/>
      <c r="C723" s="105"/>
      <c r="D723" s="105"/>
    </row>
    <row r="724">
      <c r="A724" s="105"/>
      <c r="B724" s="105"/>
      <c r="C724" s="105"/>
      <c r="D724" s="105"/>
    </row>
    <row r="725">
      <c r="A725" s="105"/>
      <c r="B725" s="105"/>
      <c r="C725" s="105"/>
      <c r="D725" s="105"/>
    </row>
    <row r="726">
      <c r="A726" s="105"/>
      <c r="B726" s="105"/>
      <c r="C726" s="105"/>
      <c r="D726" s="105"/>
    </row>
    <row r="727">
      <c r="A727" s="105"/>
      <c r="B727" s="105"/>
      <c r="C727" s="105"/>
      <c r="D727" s="105"/>
    </row>
    <row r="728">
      <c r="A728" s="105"/>
      <c r="B728" s="105"/>
      <c r="C728" s="105"/>
      <c r="D728" s="105"/>
    </row>
    <row r="729">
      <c r="A729" s="105"/>
      <c r="B729" s="105"/>
      <c r="C729" s="105"/>
      <c r="D729" s="105"/>
    </row>
    <row r="730">
      <c r="A730" s="105"/>
      <c r="B730" s="105"/>
      <c r="C730" s="105"/>
      <c r="D730" s="105"/>
    </row>
    <row r="731">
      <c r="A731" s="105"/>
      <c r="B731" s="105"/>
      <c r="C731" s="105"/>
      <c r="D731" s="105"/>
    </row>
    <row r="732">
      <c r="A732" s="105"/>
      <c r="B732" s="105"/>
      <c r="C732" s="105"/>
      <c r="D732" s="105"/>
    </row>
    <row r="733">
      <c r="A733" s="105"/>
      <c r="B733" s="105"/>
      <c r="C733" s="105"/>
      <c r="D733" s="105"/>
    </row>
    <row r="734">
      <c r="A734" s="105"/>
      <c r="B734" s="105"/>
      <c r="C734" s="105"/>
      <c r="D734" s="105"/>
    </row>
    <row r="735">
      <c r="A735" s="105"/>
      <c r="B735" s="105"/>
      <c r="C735" s="105"/>
      <c r="D735" s="105"/>
    </row>
    <row r="736">
      <c r="A736" s="105"/>
      <c r="B736" s="105"/>
      <c r="C736" s="105"/>
      <c r="D736" s="105"/>
    </row>
    <row r="737">
      <c r="A737" s="105"/>
      <c r="B737" s="105"/>
      <c r="C737" s="105"/>
      <c r="D737" s="105"/>
    </row>
    <row r="738">
      <c r="A738" s="105"/>
      <c r="B738" s="105"/>
      <c r="C738" s="105"/>
      <c r="D738" s="105"/>
    </row>
    <row r="739">
      <c r="A739" s="105"/>
      <c r="B739" s="105"/>
      <c r="C739" s="105"/>
      <c r="D739" s="105"/>
    </row>
    <row r="740">
      <c r="A740" s="105"/>
      <c r="B740" s="105"/>
      <c r="C740" s="105"/>
      <c r="D740" s="105"/>
    </row>
    <row r="741">
      <c r="A741" s="105"/>
      <c r="B741" s="105"/>
      <c r="C741" s="105"/>
      <c r="D741" s="105"/>
    </row>
    <row r="742">
      <c r="A742" s="105"/>
      <c r="B742" s="105"/>
      <c r="C742" s="105"/>
      <c r="D742" s="105"/>
    </row>
    <row r="743">
      <c r="A743" s="105"/>
      <c r="B743" s="105"/>
      <c r="C743" s="105"/>
      <c r="D743" s="105"/>
    </row>
    <row r="744">
      <c r="A744" s="105"/>
      <c r="B744" s="105"/>
      <c r="C744" s="105"/>
      <c r="D744" s="105"/>
    </row>
    <row r="745">
      <c r="A745" s="105"/>
      <c r="B745" s="105"/>
      <c r="C745" s="105"/>
      <c r="D745" s="105"/>
    </row>
    <row r="746">
      <c r="A746" s="105"/>
      <c r="B746" s="105"/>
      <c r="C746" s="105"/>
      <c r="D746" s="105"/>
    </row>
    <row r="747">
      <c r="A747" s="105"/>
      <c r="B747" s="105"/>
      <c r="C747" s="105"/>
      <c r="D747" s="105"/>
    </row>
    <row r="748">
      <c r="A748" s="105"/>
      <c r="B748" s="105"/>
      <c r="C748" s="105"/>
      <c r="D748" s="105"/>
    </row>
    <row r="749">
      <c r="A749" s="105"/>
      <c r="B749" s="105"/>
      <c r="C749" s="105"/>
      <c r="D749" s="105"/>
    </row>
    <row r="750">
      <c r="A750" s="105"/>
      <c r="B750" s="105"/>
      <c r="C750" s="105"/>
      <c r="D750" s="105"/>
    </row>
    <row r="751">
      <c r="A751" s="105"/>
      <c r="B751" s="105"/>
      <c r="C751" s="105"/>
      <c r="D751" s="105"/>
    </row>
    <row r="752">
      <c r="A752" s="105"/>
      <c r="B752" s="105"/>
      <c r="C752" s="105"/>
      <c r="D752" s="105"/>
    </row>
    <row r="753">
      <c r="A753" s="105"/>
      <c r="B753" s="105"/>
      <c r="C753" s="105"/>
      <c r="D753" s="105"/>
    </row>
    <row r="754">
      <c r="A754" s="105"/>
      <c r="B754" s="105"/>
      <c r="C754" s="105"/>
      <c r="D754" s="105"/>
    </row>
    <row r="755">
      <c r="A755" s="105"/>
      <c r="B755" s="105"/>
      <c r="C755" s="105"/>
      <c r="D755" s="105"/>
    </row>
    <row r="756">
      <c r="A756" s="105"/>
      <c r="B756" s="105"/>
      <c r="C756" s="105"/>
      <c r="D756" s="105"/>
    </row>
    <row r="757">
      <c r="A757" s="105"/>
      <c r="B757" s="105"/>
      <c r="C757" s="105"/>
      <c r="D757" s="105"/>
    </row>
    <row r="758">
      <c r="A758" s="105"/>
      <c r="B758" s="105"/>
      <c r="C758" s="105"/>
      <c r="D758" s="105"/>
    </row>
    <row r="759">
      <c r="A759" s="105"/>
      <c r="B759" s="105"/>
      <c r="C759" s="105"/>
      <c r="D759" s="105"/>
    </row>
    <row r="760">
      <c r="A760" s="105"/>
      <c r="B760" s="105"/>
      <c r="C760" s="105"/>
      <c r="D760" s="105"/>
    </row>
    <row r="761">
      <c r="A761" s="105"/>
      <c r="B761" s="105"/>
      <c r="C761" s="105"/>
      <c r="D761" s="105"/>
    </row>
    <row r="762">
      <c r="A762" s="105"/>
      <c r="B762" s="105"/>
      <c r="C762" s="105"/>
      <c r="D762" s="105"/>
    </row>
    <row r="763">
      <c r="A763" s="105"/>
      <c r="B763" s="105"/>
      <c r="C763" s="105"/>
      <c r="D763" s="105"/>
    </row>
    <row r="764">
      <c r="A764" s="105"/>
      <c r="B764" s="105"/>
      <c r="C764" s="105"/>
      <c r="D764" s="105"/>
    </row>
    <row r="765">
      <c r="A765" s="105"/>
      <c r="B765" s="105"/>
      <c r="C765" s="105"/>
      <c r="D765" s="105"/>
    </row>
    <row r="766">
      <c r="A766" s="105"/>
      <c r="B766" s="105"/>
      <c r="C766" s="105"/>
      <c r="D766" s="105"/>
    </row>
    <row r="767">
      <c r="A767" s="105"/>
      <c r="B767" s="105"/>
      <c r="C767" s="105"/>
      <c r="D767" s="105"/>
    </row>
    <row r="768">
      <c r="A768" s="105"/>
      <c r="B768" s="105"/>
      <c r="C768" s="105"/>
      <c r="D768" s="105"/>
    </row>
    <row r="769">
      <c r="A769" s="105"/>
      <c r="B769" s="105"/>
      <c r="C769" s="105"/>
      <c r="D769" s="105"/>
    </row>
    <row r="770">
      <c r="A770" s="105"/>
      <c r="B770" s="105"/>
      <c r="C770" s="105"/>
      <c r="D770" s="105"/>
    </row>
    <row r="771">
      <c r="A771" s="105"/>
      <c r="B771" s="105"/>
      <c r="C771" s="105"/>
      <c r="D771" s="105"/>
    </row>
    <row r="772">
      <c r="A772" s="105"/>
      <c r="B772" s="105"/>
      <c r="C772" s="105"/>
      <c r="D772" s="105"/>
    </row>
    <row r="773">
      <c r="A773" s="105"/>
      <c r="B773" s="105"/>
      <c r="C773" s="105"/>
      <c r="D773" s="105"/>
    </row>
    <row r="774">
      <c r="A774" s="105"/>
      <c r="B774" s="105"/>
      <c r="C774" s="105"/>
      <c r="D774" s="105"/>
    </row>
    <row r="775">
      <c r="A775" s="105"/>
      <c r="B775" s="105"/>
      <c r="C775" s="105"/>
      <c r="D775" s="105"/>
    </row>
    <row r="776">
      <c r="A776" s="105"/>
      <c r="B776" s="105"/>
      <c r="C776" s="105"/>
      <c r="D776" s="105"/>
    </row>
    <row r="777">
      <c r="A777" s="105"/>
      <c r="B777" s="105"/>
      <c r="C777" s="105"/>
      <c r="D777" s="105"/>
    </row>
    <row r="778">
      <c r="A778" s="105"/>
      <c r="B778" s="105"/>
      <c r="C778" s="105"/>
      <c r="D778" s="105"/>
    </row>
    <row r="779">
      <c r="A779" s="105"/>
      <c r="B779" s="105"/>
      <c r="C779" s="105"/>
      <c r="D779" s="105"/>
    </row>
    <row r="780">
      <c r="A780" s="105"/>
      <c r="B780" s="105"/>
      <c r="C780" s="105"/>
      <c r="D780" s="105"/>
    </row>
    <row r="781">
      <c r="A781" s="105"/>
      <c r="B781" s="105"/>
      <c r="C781" s="105"/>
      <c r="D781" s="105"/>
    </row>
    <row r="782">
      <c r="A782" s="105"/>
      <c r="B782" s="105"/>
      <c r="C782" s="105"/>
      <c r="D782" s="105"/>
    </row>
    <row r="783">
      <c r="A783" s="105"/>
      <c r="B783" s="105"/>
      <c r="C783" s="105"/>
      <c r="D783" s="105"/>
    </row>
    <row r="784">
      <c r="A784" s="105"/>
      <c r="B784" s="105"/>
      <c r="C784" s="105"/>
      <c r="D784" s="105"/>
    </row>
    <row r="785">
      <c r="A785" s="105"/>
      <c r="B785" s="105"/>
      <c r="C785" s="105"/>
      <c r="D785" s="105"/>
    </row>
    <row r="786">
      <c r="A786" s="105"/>
      <c r="B786" s="105"/>
      <c r="C786" s="105"/>
      <c r="D786" s="105"/>
    </row>
    <row r="787">
      <c r="A787" s="105"/>
      <c r="B787" s="105"/>
      <c r="C787" s="105"/>
      <c r="D787" s="105"/>
    </row>
    <row r="788">
      <c r="A788" s="105"/>
      <c r="B788" s="105"/>
      <c r="C788" s="105"/>
      <c r="D788" s="105"/>
    </row>
    <row r="789">
      <c r="A789" s="105"/>
      <c r="B789" s="105"/>
      <c r="C789" s="105"/>
      <c r="D789" s="105"/>
    </row>
    <row r="790">
      <c r="A790" s="105"/>
      <c r="B790" s="105"/>
      <c r="C790" s="105"/>
      <c r="D790" s="105"/>
    </row>
    <row r="791">
      <c r="A791" s="105"/>
      <c r="B791" s="105"/>
      <c r="C791" s="105"/>
      <c r="D791" s="105"/>
    </row>
    <row r="792">
      <c r="A792" s="105"/>
      <c r="B792" s="105"/>
      <c r="C792" s="105"/>
      <c r="D792" s="105"/>
    </row>
    <row r="793">
      <c r="A793" s="105"/>
      <c r="B793" s="105"/>
      <c r="C793" s="105"/>
      <c r="D793" s="105"/>
    </row>
    <row r="794">
      <c r="A794" s="105"/>
      <c r="B794" s="105"/>
      <c r="C794" s="105"/>
      <c r="D794" s="105"/>
    </row>
    <row r="795">
      <c r="A795" s="105"/>
      <c r="B795" s="105"/>
      <c r="C795" s="105"/>
      <c r="D795" s="105"/>
    </row>
    <row r="796">
      <c r="A796" s="105"/>
      <c r="B796" s="105"/>
      <c r="C796" s="105"/>
      <c r="D796" s="105"/>
    </row>
    <row r="797">
      <c r="A797" s="105"/>
      <c r="B797" s="105"/>
      <c r="C797" s="105"/>
      <c r="D797" s="105"/>
    </row>
    <row r="798">
      <c r="A798" s="105"/>
      <c r="B798" s="105"/>
      <c r="C798" s="105"/>
      <c r="D798" s="105"/>
    </row>
    <row r="799">
      <c r="A799" s="105"/>
      <c r="B799" s="105"/>
      <c r="C799" s="105"/>
      <c r="D799" s="105"/>
    </row>
    <row r="800">
      <c r="A800" s="105"/>
      <c r="B800" s="105"/>
      <c r="C800" s="105"/>
      <c r="D800" s="105"/>
    </row>
    <row r="801">
      <c r="A801" s="105"/>
      <c r="B801" s="105"/>
      <c r="C801" s="105"/>
      <c r="D801" s="105"/>
    </row>
    <row r="802">
      <c r="A802" s="105"/>
      <c r="B802" s="105"/>
      <c r="C802" s="105"/>
      <c r="D802" s="105"/>
    </row>
    <row r="803">
      <c r="A803" s="105"/>
      <c r="B803" s="105"/>
      <c r="C803" s="105"/>
      <c r="D803" s="105"/>
    </row>
    <row r="804">
      <c r="A804" s="105"/>
      <c r="B804" s="105"/>
      <c r="C804" s="105"/>
      <c r="D804" s="105"/>
    </row>
    <row r="805">
      <c r="A805" s="105"/>
      <c r="B805" s="105"/>
      <c r="C805" s="105"/>
      <c r="D805" s="105"/>
    </row>
    <row r="806">
      <c r="A806" s="105"/>
      <c r="B806" s="105"/>
      <c r="C806" s="105"/>
      <c r="D806" s="105"/>
    </row>
    <row r="807">
      <c r="A807" s="105"/>
      <c r="B807" s="105"/>
      <c r="C807" s="105"/>
      <c r="D807" s="105"/>
    </row>
    <row r="808">
      <c r="A808" s="105"/>
      <c r="B808" s="105"/>
      <c r="C808" s="105"/>
      <c r="D808" s="105"/>
    </row>
    <row r="809">
      <c r="A809" s="105"/>
      <c r="B809" s="105"/>
      <c r="C809" s="105"/>
      <c r="D809" s="105"/>
    </row>
    <row r="810">
      <c r="A810" s="105"/>
      <c r="B810" s="105"/>
      <c r="C810" s="105"/>
      <c r="D810" s="105"/>
    </row>
    <row r="811">
      <c r="A811" s="105"/>
      <c r="B811" s="105"/>
      <c r="C811" s="105"/>
      <c r="D811" s="105"/>
    </row>
    <row r="812">
      <c r="A812" s="105"/>
      <c r="B812" s="105"/>
      <c r="C812" s="105"/>
      <c r="D812" s="105"/>
    </row>
    <row r="813">
      <c r="A813" s="105"/>
      <c r="B813" s="105"/>
      <c r="C813" s="105"/>
      <c r="D813" s="105"/>
    </row>
    <row r="814">
      <c r="A814" s="105"/>
      <c r="B814" s="105"/>
      <c r="C814" s="105"/>
      <c r="D814" s="105"/>
    </row>
    <row r="815">
      <c r="A815" s="105"/>
      <c r="B815" s="105"/>
      <c r="C815" s="105"/>
      <c r="D815" s="105"/>
    </row>
    <row r="816">
      <c r="A816" s="105"/>
      <c r="B816" s="105"/>
      <c r="C816" s="105"/>
      <c r="D816" s="105"/>
    </row>
    <row r="817">
      <c r="A817" s="105"/>
      <c r="B817" s="105"/>
      <c r="C817" s="105"/>
      <c r="D817" s="105"/>
    </row>
    <row r="818">
      <c r="A818" s="105"/>
      <c r="B818" s="105"/>
      <c r="C818" s="105"/>
      <c r="D818" s="105"/>
    </row>
    <row r="819">
      <c r="A819" s="105"/>
      <c r="B819" s="105"/>
      <c r="C819" s="105"/>
      <c r="D819" s="105"/>
    </row>
    <row r="820">
      <c r="A820" s="105"/>
      <c r="B820" s="105"/>
      <c r="C820" s="105"/>
      <c r="D820" s="105"/>
    </row>
    <row r="821">
      <c r="A821" s="105"/>
      <c r="B821" s="105"/>
      <c r="C821" s="105"/>
      <c r="D821" s="105"/>
    </row>
    <row r="822">
      <c r="A822" s="105"/>
      <c r="B822" s="105"/>
      <c r="C822" s="105"/>
      <c r="D822" s="105"/>
    </row>
    <row r="823">
      <c r="A823" s="105"/>
      <c r="B823" s="105"/>
      <c r="C823" s="105"/>
      <c r="D823" s="105"/>
    </row>
    <row r="824">
      <c r="A824" s="105"/>
      <c r="B824" s="105"/>
      <c r="C824" s="105"/>
      <c r="D824" s="105"/>
    </row>
    <row r="825">
      <c r="A825" s="105"/>
      <c r="B825" s="105"/>
      <c r="C825" s="105"/>
      <c r="D825" s="105"/>
    </row>
    <row r="826">
      <c r="A826" s="105"/>
      <c r="B826" s="105"/>
      <c r="C826" s="105"/>
      <c r="D826" s="105"/>
    </row>
    <row r="827">
      <c r="A827" s="105"/>
      <c r="B827" s="105"/>
      <c r="C827" s="105"/>
      <c r="D827" s="105"/>
    </row>
    <row r="828">
      <c r="A828" s="105"/>
      <c r="B828" s="105"/>
      <c r="C828" s="105"/>
      <c r="D828" s="105"/>
    </row>
    <row r="829">
      <c r="A829" s="105"/>
      <c r="B829" s="105"/>
      <c r="C829" s="105"/>
      <c r="D829" s="105"/>
    </row>
    <row r="830">
      <c r="A830" s="105"/>
      <c r="B830" s="105"/>
      <c r="C830" s="105"/>
      <c r="D830" s="105"/>
    </row>
    <row r="831">
      <c r="A831" s="105"/>
      <c r="B831" s="105"/>
      <c r="C831" s="105"/>
      <c r="D831" s="105"/>
    </row>
    <row r="832">
      <c r="A832" s="105"/>
      <c r="B832" s="105"/>
      <c r="C832" s="105"/>
      <c r="D832" s="105"/>
    </row>
    <row r="833">
      <c r="A833" s="105"/>
      <c r="B833" s="105"/>
      <c r="C833" s="105"/>
      <c r="D833" s="105"/>
    </row>
    <row r="834">
      <c r="A834" s="105"/>
      <c r="B834" s="105"/>
      <c r="C834" s="105"/>
      <c r="D834" s="105"/>
    </row>
    <row r="835">
      <c r="A835" s="105"/>
      <c r="B835" s="105"/>
      <c r="C835" s="105"/>
      <c r="D835" s="105"/>
    </row>
    <row r="836">
      <c r="A836" s="105"/>
      <c r="B836" s="105"/>
      <c r="C836" s="105"/>
      <c r="D836" s="105"/>
    </row>
    <row r="837">
      <c r="A837" s="105"/>
      <c r="B837" s="105"/>
      <c r="C837" s="105"/>
      <c r="D837" s="105"/>
    </row>
    <row r="838">
      <c r="A838" s="105"/>
      <c r="B838" s="105"/>
      <c r="C838" s="105"/>
      <c r="D838" s="105"/>
    </row>
    <row r="839">
      <c r="A839" s="105"/>
      <c r="B839" s="105"/>
      <c r="C839" s="105"/>
      <c r="D839" s="105"/>
    </row>
    <row r="840">
      <c r="A840" s="105"/>
      <c r="B840" s="105"/>
      <c r="C840" s="105"/>
      <c r="D840" s="105"/>
    </row>
    <row r="841">
      <c r="A841" s="105"/>
      <c r="B841" s="105"/>
      <c r="C841" s="105"/>
      <c r="D841" s="105"/>
    </row>
    <row r="842">
      <c r="A842" s="105"/>
      <c r="B842" s="105"/>
      <c r="C842" s="105"/>
      <c r="D842" s="105"/>
    </row>
    <row r="843">
      <c r="A843" s="105"/>
      <c r="B843" s="105"/>
      <c r="C843" s="105"/>
      <c r="D843" s="105"/>
    </row>
    <row r="844">
      <c r="A844" s="105"/>
      <c r="B844" s="105"/>
      <c r="C844" s="105"/>
      <c r="D844" s="105"/>
    </row>
    <row r="845">
      <c r="A845" s="105"/>
      <c r="B845" s="105"/>
      <c r="C845" s="105"/>
      <c r="D845" s="105"/>
    </row>
    <row r="846">
      <c r="A846" s="105"/>
      <c r="B846" s="105"/>
      <c r="C846" s="105"/>
      <c r="D846" s="105"/>
    </row>
    <row r="847">
      <c r="A847" s="105"/>
      <c r="B847" s="105"/>
      <c r="C847" s="105"/>
      <c r="D847" s="105"/>
    </row>
    <row r="848">
      <c r="A848" s="105"/>
      <c r="B848" s="105"/>
      <c r="C848" s="105"/>
      <c r="D848" s="105"/>
    </row>
    <row r="849">
      <c r="A849" s="105"/>
      <c r="B849" s="105"/>
      <c r="C849" s="105"/>
      <c r="D849" s="105"/>
    </row>
    <row r="850">
      <c r="A850" s="105"/>
      <c r="B850" s="105"/>
      <c r="C850" s="105"/>
      <c r="D850" s="105"/>
    </row>
    <row r="851">
      <c r="A851" s="105"/>
      <c r="B851" s="105"/>
      <c r="C851" s="105"/>
      <c r="D851" s="105"/>
    </row>
    <row r="852">
      <c r="A852" s="105"/>
      <c r="B852" s="105"/>
      <c r="C852" s="105"/>
      <c r="D852" s="105"/>
    </row>
    <row r="853">
      <c r="A853" s="105"/>
      <c r="B853" s="105"/>
      <c r="C853" s="105"/>
      <c r="D853" s="105"/>
    </row>
    <row r="854">
      <c r="A854" s="105"/>
      <c r="B854" s="105"/>
      <c r="C854" s="105"/>
      <c r="D854" s="105"/>
    </row>
    <row r="855">
      <c r="A855" s="105"/>
      <c r="B855" s="105"/>
      <c r="C855" s="105"/>
      <c r="D855" s="105"/>
    </row>
    <row r="856">
      <c r="A856" s="105"/>
      <c r="B856" s="105"/>
      <c r="C856" s="105"/>
      <c r="D856" s="105"/>
    </row>
    <row r="857">
      <c r="A857" s="105"/>
      <c r="B857" s="105"/>
      <c r="C857" s="105"/>
      <c r="D857" s="105"/>
    </row>
    <row r="858">
      <c r="A858" s="105"/>
      <c r="B858" s="105"/>
      <c r="C858" s="105"/>
      <c r="D858" s="105"/>
    </row>
    <row r="859">
      <c r="A859" s="105"/>
      <c r="B859" s="105"/>
      <c r="C859" s="105"/>
      <c r="D859" s="105"/>
    </row>
    <row r="860">
      <c r="A860" s="105"/>
      <c r="B860" s="105"/>
      <c r="C860" s="105"/>
      <c r="D860" s="105"/>
    </row>
    <row r="861">
      <c r="A861" s="105"/>
      <c r="B861" s="105"/>
      <c r="C861" s="105"/>
      <c r="D861" s="105"/>
    </row>
    <row r="862">
      <c r="A862" s="105"/>
      <c r="B862" s="105"/>
      <c r="C862" s="105"/>
      <c r="D862" s="105"/>
    </row>
    <row r="863">
      <c r="A863" s="105"/>
      <c r="B863" s="105"/>
      <c r="C863" s="105"/>
      <c r="D863" s="105"/>
    </row>
    <row r="864">
      <c r="A864" s="105"/>
      <c r="B864" s="105"/>
      <c r="C864" s="105"/>
      <c r="D864" s="105"/>
    </row>
    <row r="865">
      <c r="A865" s="105"/>
      <c r="B865" s="105"/>
      <c r="C865" s="105"/>
      <c r="D865" s="105"/>
    </row>
    <row r="866">
      <c r="A866" s="105"/>
      <c r="B866" s="105"/>
      <c r="C866" s="105"/>
      <c r="D866" s="105"/>
    </row>
    <row r="867">
      <c r="A867" s="105"/>
      <c r="B867" s="105"/>
      <c r="C867" s="105"/>
      <c r="D867" s="105"/>
    </row>
    <row r="868">
      <c r="A868" s="105"/>
      <c r="B868" s="105"/>
      <c r="C868" s="105"/>
      <c r="D868" s="105"/>
    </row>
    <row r="869">
      <c r="A869" s="105"/>
      <c r="B869" s="105"/>
      <c r="C869" s="105"/>
      <c r="D869" s="105"/>
    </row>
    <row r="870">
      <c r="A870" s="105"/>
      <c r="B870" s="105"/>
      <c r="C870" s="105"/>
      <c r="D870" s="105"/>
    </row>
    <row r="871">
      <c r="A871" s="105"/>
      <c r="B871" s="105"/>
      <c r="C871" s="105"/>
      <c r="D871" s="105"/>
    </row>
    <row r="872">
      <c r="A872" s="105"/>
      <c r="B872" s="105"/>
      <c r="C872" s="105"/>
      <c r="D872" s="105"/>
    </row>
    <row r="873">
      <c r="A873" s="105"/>
      <c r="B873" s="105"/>
      <c r="C873" s="105"/>
      <c r="D873" s="105"/>
    </row>
    <row r="874">
      <c r="A874" s="105"/>
      <c r="B874" s="105"/>
      <c r="C874" s="105"/>
      <c r="D874" s="105"/>
    </row>
    <row r="875">
      <c r="A875" s="105"/>
      <c r="B875" s="105"/>
      <c r="C875" s="105"/>
      <c r="D875" s="105"/>
    </row>
    <row r="876">
      <c r="A876" s="105"/>
      <c r="B876" s="105"/>
      <c r="C876" s="105"/>
      <c r="D876" s="105"/>
    </row>
    <row r="877">
      <c r="A877" s="105"/>
      <c r="B877" s="105"/>
      <c r="C877" s="105"/>
      <c r="D877" s="105"/>
    </row>
    <row r="878">
      <c r="A878" s="105"/>
      <c r="B878" s="105"/>
      <c r="C878" s="105"/>
      <c r="D878" s="105"/>
    </row>
    <row r="879">
      <c r="A879" s="105"/>
      <c r="B879" s="105"/>
      <c r="C879" s="105"/>
      <c r="D879" s="105"/>
    </row>
    <row r="880">
      <c r="A880" s="105"/>
      <c r="B880" s="105"/>
      <c r="C880" s="105"/>
      <c r="D880" s="105"/>
    </row>
    <row r="881">
      <c r="A881" s="105"/>
      <c r="B881" s="105"/>
      <c r="C881" s="105"/>
      <c r="D881" s="105"/>
    </row>
    <row r="882">
      <c r="A882" s="105"/>
      <c r="B882" s="105"/>
      <c r="C882" s="105"/>
      <c r="D882" s="105"/>
    </row>
    <row r="883">
      <c r="A883" s="105"/>
      <c r="B883" s="105"/>
      <c r="C883" s="105"/>
      <c r="D883" s="105"/>
    </row>
    <row r="884">
      <c r="A884" s="105"/>
      <c r="B884" s="105"/>
      <c r="C884" s="105"/>
      <c r="D884" s="105"/>
    </row>
    <row r="885">
      <c r="A885" s="105"/>
      <c r="B885" s="105"/>
      <c r="C885" s="105"/>
      <c r="D885" s="105"/>
    </row>
    <row r="886">
      <c r="A886" s="105"/>
      <c r="B886" s="105"/>
      <c r="C886" s="105"/>
      <c r="D886" s="105"/>
    </row>
    <row r="887">
      <c r="A887" s="105"/>
      <c r="B887" s="105"/>
      <c r="C887" s="105"/>
      <c r="D887" s="105"/>
    </row>
    <row r="888">
      <c r="A888" s="105"/>
      <c r="B888" s="105"/>
      <c r="C888" s="105"/>
      <c r="D888" s="105"/>
    </row>
    <row r="889">
      <c r="A889" s="105"/>
      <c r="B889" s="105"/>
      <c r="C889" s="105"/>
      <c r="D889" s="105"/>
    </row>
    <row r="890">
      <c r="A890" s="105"/>
      <c r="B890" s="105"/>
      <c r="C890" s="105"/>
      <c r="D890" s="105"/>
    </row>
    <row r="891">
      <c r="A891" s="105"/>
      <c r="B891" s="105"/>
      <c r="C891" s="105"/>
      <c r="D891" s="105"/>
    </row>
    <row r="892">
      <c r="A892" s="105"/>
      <c r="B892" s="105"/>
      <c r="C892" s="105"/>
      <c r="D892" s="105"/>
    </row>
    <row r="893">
      <c r="A893" s="105"/>
      <c r="B893" s="105"/>
      <c r="C893" s="105"/>
      <c r="D893" s="105"/>
    </row>
    <row r="894">
      <c r="A894" s="105"/>
      <c r="B894" s="105"/>
      <c r="C894" s="105"/>
      <c r="D894" s="105"/>
    </row>
    <row r="895">
      <c r="A895" s="105"/>
      <c r="B895" s="105"/>
      <c r="C895" s="105"/>
      <c r="D895" s="105"/>
    </row>
    <row r="896">
      <c r="A896" s="105"/>
      <c r="B896" s="105"/>
      <c r="C896" s="105"/>
      <c r="D896" s="105"/>
    </row>
    <row r="897">
      <c r="A897" s="105"/>
      <c r="B897" s="105"/>
      <c r="C897" s="105"/>
      <c r="D897" s="105"/>
    </row>
    <row r="898">
      <c r="A898" s="105"/>
      <c r="B898" s="105"/>
      <c r="C898" s="105"/>
      <c r="D898" s="105"/>
    </row>
    <row r="899">
      <c r="A899" s="105"/>
      <c r="B899" s="105"/>
      <c r="C899" s="105"/>
      <c r="D899" s="105"/>
    </row>
    <row r="900">
      <c r="A900" s="105"/>
      <c r="B900" s="105"/>
      <c r="C900" s="105"/>
      <c r="D900" s="105"/>
    </row>
    <row r="901">
      <c r="A901" s="105"/>
      <c r="B901" s="105"/>
      <c r="C901" s="105"/>
      <c r="D901" s="105"/>
    </row>
    <row r="902">
      <c r="A902" s="105"/>
      <c r="B902" s="105"/>
      <c r="C902" s="105"/>
      <c r="D902" s="105"/>
    </row>
    <row r="903">
      <c r="A903" s="105"/>
      <c r="B903" s="105"/>
      <c r="C903" s="105"/>
      <c r="D903" s="105"/>
    </row>
    <row r="904">
      <c r="A904" s="105"/>
      <c r="B904" s="105"/>
      <c r="C904" s="105"/>
      <c r="D904" s="105"/>
    </row>
    <row r="905">
      <c r="A905" s="105"/>
      <c r="B905" s="105"/>
      <c r="C905" s="105"/>
      <c r="D905" s="105"/>
    </row>
    <row r="906">
      <c r="A906" s="105"/>
      <c r="B906" s="105"/>
      <c r="C906" s="105"/>
      <c r="D906" s="105"/>
    </row>
    <row r="907">
      <c r="A907" s="105"/>
      <c r="B907" s="105"/>
      <c r="C907" s="105"/>
      <c r="D907" s="105"/>
    </row>
    <row r="908">
      <c r="A908" s="105"/>
      <c r="B908" s="105"/>
      <c r="C908" s="105"/>
      <c r="D908" s="105"/>
    </row>
    <row r="909">
      <c r="A909" s="105"/>
      <c r="B909" s="105"/>
      <c r="C909" s="105"/>
      <c r="D909" s="105"/>
    </row>
    <row r="910">
      <c r="A910" s="105"/>
      <c r="B910" s="105"/>
      <c r="C910" s="105"/>
      <c r="D910" s="105"/>
    </row>
    <row r="911">
      <c r="A911" s="105"/>
      <c r="B911" s="105"/>
      <c r="C911" s="105"/>
      <c r="D911" s="105"/>
    </row>
    <row r="912">
      <c r="A912" s="105"/>
      <c r="B912" s="105"/>
      <c r="C912" s="105"/>
      <c r="D912" s="105"/>
    </row>
    <row r="913">
      <c r="A913" s="105"/>
      <c r="B913" s="105"/>
      <c r="C913" s="105"/>
      <c r="D913" s="105"/>
    </row>
    <row r="914">
      <c r="A914" s="105"/>
      <c r="B914" s="105"/>
      <c r="C914" s="105"/>
      <c r="D914" s="105"/>
    </row>
    <row r="915">
      <c r="A915" s="105"/>
      <c r="B915" s="105"/>
      <c r="C915" s="105"/>
      <c r="D915" s="105"/>
    </row>
    <row r="916">
      <c r="A916" s="105"/>
      <c r="B916" s="105"/>
      <c r="C916" s="105"/>
      <c r="D916" s="105"/>
    </row>
    <row r="917">
      <c r="A917" s="105"/>
      <c r="B917" s="105"/>
      <c r="C917" s="105"/>
      <c r="D917" s="105"/>
    </row>
    <row r="918">
      <c r="A918" s="105"/>
      <c r="B918" s="105"/>
      <c r="C918" s="105"/>
      <c r="D918" s="105"/>
    </row>
    <row r="919">
      <c r="A919" s="105"/>
      <c r="B919" s="105"/>
      <c r="C919" s="105"/>
      <c r="D919" s="105"/>
    </row>
    <row r="920">
      <c r="A920" s="105"/>
      <c r="B920" s="105"/>
      <c r="C920" s="105"/>
      <c r="D920" s="105"/>
    </row>
    <row r="921">
      <c r="A921" s="105"/>
      <c r="B921" s="105"/>
      <c r="C921" s="105"/>
      <c r="D921" s="105"/>
    </row>
    <row r="922">
      <c r="A922" s="105"/>
      <c r="B922" s="105"/>
      <c r="C922" s="105"/>
      <c r="D922" s="105"/>
    </row>
    <row r="923">
      <c r="A923" s="105"/>
      <c r="B923" s="105"/>
      <c r="C923" s="105"/>
      <c r="D923" s="105"/>
    </row>
    <row r="924">
      <c r="A924" s="105"/>
      <c r="B924" s="105"/>
      <c r="C924" s="105"/>
      <c r="D924" s="105"/>
    </row>
    <row r="925">
      <c r="A925" s="105"/>
      <c r="B925" s="105"/>
      <c r="C925" s="105"/>
      <c r="D925" s="105"/>
    </row>
    <row r="926">
      <c r="A926" s="105"/>
      <c r="B926" s="105"/>
      <c r="C926" s="105"/>
      <c r="D926" s="105"/>
    </row>
    <row r="927">
      <c r="A927" s="105"/>
      <c r="B927" s="105"/>
      <c r="C927" s="105"/>
      <c r="D927" s="105"/>
    </row>
    <row r="928">
      <c r="A928" s="105"/>
      <c r="B928" s="105"/>
      <c r="C928" s="105"/>
      <c r="D928" s="105"/>
    </row>
    <row r="929">
      <c r="A929" s="105"/>
      <c r="B929" s="105"/>
      <c r="C929" s="105"/>
      <c r="D929" s="105"/>
    </row>
    <row r="930">
      <c r="A930" s="105"/>
      <c r="B930" s="105"/>
      <c r="C930" s="105"/>
      <c r="D930" s="105"/>
    </row>
    <row r="931">
      <c r="A931" s="105"/>
      <c r="B931" s="105"/>
      <c r="C931" s="105"/>
      <c r="D931" s="105"/>
    </row>
    <row r="932">
      <c r="A932" s="105"/>
      <c r="B932" s="105"/>
      <c r="C932" s="105"/>
      <c r="D932" s="105"/>
    </row>
    <row r="933">
      <c r="A933" s="105"/>
      <c r="B933" s="105"/>
      <c r="C933" s="105"/>
      <c r="D933" s="105"/>
    </row>
    <row r="934">
      <c r="A934" s="105"/>
      <c r="B934" s="105"/>
      <c r="C934" s="105"/>
      <c r="D934" s="105"/>
    </row>
    <row r="935">
      <c r="A935" s="105"/>
      <c r="B935" s="105"/>
      <c r="C935" s="105"/>
      <c r="D935" s="105"/>
    </row>
    <row r="936">
      <c r="A936" s="105"/>
      <c r="B936" s="105"/>
      <c r="C936" s="105"/>
      <c r="D936" s="105"/>
    </row>
    <row r="937">
      <c r="A937" s="105"/>
      <c r="B937" s="105"/>
      <c r="C937" s="105"/>
      <c r="D937" s="105"/>
    </row>
    <row r="938">
      <c r="A938" s="105"/>
      <c r="B938" s="105"/>
      <c r="C938" s="105"/>
      <c r="D938" s="105"/>
    </row>
    <row r="939">
      <c r="A939" s="105"/>
      <c r="B939" s="105"/>
      <c r="C939" s="105"/>
      <c r="D939" s="105"/>
    </row>
    <row r="940">
      <c r="A940" s="105"/>
      <c r="B940" s="105"/>
      <c r="C940" s="105"/>
      <c r="D940" s="105"/>
    </row>
    <row r="941">
      <c r="A941" s="105"/>
      <c r="B941" s="105"/>
      <c r="C941" s="105"/>
      <c r="D941" s="105"/>
    </row>
    <row r="942">
      <c r="A942" s="105"/>
      <c r="B942" s="105"/>
      <c r="C942" s="105"/>
      <c r="D942" s="105"/>
    </row>
    <row r="943">
      <c r="A943" s="105"/>
      <c r="B943" s="105"/>
      <c r="C943" s="105"/>
      <c r="D943" s="105"/>
    </row>
    <row r="944">
      <c r="A944" s="105"/>
      <c r="B944" s="105"/>
      <c r="C944" s="105"/>
      <c r="D944" s="105"/>
    </row>
    <row r="945">
      <c r="A945" s="105"/>
      <c r="B945" s="105"/>
      <c r="C945" s="105"/>
      <c r="D945" s="105"/>
    </row>
    <row r="946">
      <c r="A946" s="105"/>
      <c r="B946" s="105"/>
      <c r="C946" s="105"/>
      <c r="D946" s="105"/>
    </row>
    <row r="947">
      <c r="A947" s="105"/>
      <c r="B947" s="105"/>
      <c r="C947" s="105"/>
      <c r="D947" s="105"/>
    </row>
    <row r="948">
      <c r="A948" s="105"/>
      <c r="B948" s="105"/>
      <c r="C948" s="105"/>
      <c r="D948" s="105"/>
    </row>
    <row r="949">
      <c r="A949" s="105"/>
      <c r="B949" s="105"/>
      <c r="C949" s="105"/>
      <c r="D949" s="105"/>
    </row>
    <row r="950">
      <c r="A950" s="105"/>
      <c r="B950" s="105"/>
      <c r="C950" s="105"/>
      <c r="D950" s="105"/>
    </row>
    <row r="951">
      <c r="A951" s="105"/>
      <c r="B951" s="105"/>
      <c r="C951" s="105"/>
      <c r="D951" s="105"/>
    </row>
    <row r="952">
      <c r="A952" s="105"/>
      <c r="B952" s="105"/>
      <c r="C952" s="105"/>
      <c r="D952" s="105"/>
    </row>
    <row r="953">
      <c r="A953" s="105"/>
      <c r="B953" s="105"/>
      <c r="C953" s="105"/>
      <c r="D953" s="105"/>
    </row>
    <row r="954">
      <c r="A954" s="105"/>
      <c r="B954" s="105"/>
      <c r="C954" s="105"/>
      <c r="D954" s="105"/>
    </row>
    <row r="955">
      <c r="A955" s="105"/>
      <c r="B955" s="105"/>
      <c r="C955" s="105"/>
      <c r="D955" s="105"/>
    </row>
    <row r="956">
      <c r="A956" s="105"/>
      <c r="B956" s="105"/>
      <c r="C956" s="105"/>
      <c r="D956" s="105"/>
    </row>
    <row r="957">
      <c r="A957" s="105"/>
      <c r="B957" s="105"/>
      <c r="C957" s="105"/>
      <c r="D957" s="105"/>
    </row>
    <row r="958">
      <c r="A958" s="105"/>
      <c r="B958" s="105"/>
      <c r="C958" s="105"/>
      <c r="D958" s="105"/>
    </row>
    <row r="959">
      <c r="A959" s="105"/>
      <c r="B959" s="105"/>
      <c r="C959" s="105"/>
      <c r="D959" s="105"/>
    </row>
    <row r="960">
      <c r="A960" s="105"/>
      <c r="B960" s="105"/>
      <c r="C960" s="105"/>
      <c r="D960" s="105"/>
    </row>
    <row r="961">
      <c r="A961" s="105"/>
      <c r="B961" s="105"/>
      <c r="C961" s="105"/>
      <c r="D961" s="105"/>
    </row>
    <row r="962">
      <c r="A962" s="105"/>
      <c r="B962" s="105"/>
      <c r="C962" s="105"/>
      <c r="D962" s="105"/>
    </row>
    <row r="963">
      <c r="A963" s="105"/>
      <c r="B963" s="105"/>
      <c r="C963" s="105"/>
      <c r="D963" s="105"/>
    </row>
    <row r="964">
      <c r="A964" s="105"/>
      <c r="B964" s="105"/>
      <c r="C964" s="105"/>
      <c r="D964" s="105"/>
    </row>
    <row r="965">
      <c r="A965" s="105"/>
      <c r="B965" s="105"/>
      <c r="C965" s="105"/>
      <c r="D965" s="105"/>
    </row>
    <row r="966">
      <c r="A966" s="105"/>
      <c r="B966" s="105"/>
      <c r="C966" s="105"/>
      <c r="D966" s="105"/>
    </row>
    <row r="967">
      <c r="A967" s="105"/>
      <c r="B967" s="105"/>
      <c r="C967" s="105"/>
      <c r="D967" s="105"/>
    </row>
    <row r="968">
      <c r="A968" s="105"/>
      <c r="B968" s="105"/>
      <c r="C968" s="105"/>
      <c r="D968" s="105"/>
    </row>
    <row r="969">
      <c r="A969" s="105"/>
      <c r="B969" s="105"/>
      <c r="C969" s="105"/>
      <c r="D969" s="105"/>
    </row>
    <row r="970">
      <c r="A970" s="105"/>
      <c r="B970" s="105"/>
      <c r="C970" s="105"/>
      <c r="D970" s="105"/>
    </row>
    <row r="971">
      <c r="A971" s="105"/>
      <c r="B971" s="105"/>
      <c r="C971" s="105"/>
      <c r="D971" s="105"/>
    </row>
    <row r="972">
      <c r="A972" s="105"/>
      <c r="B972" s="105"/>
      <c r="C972" s="105"/>
      <c r="D972" s="105"/>
    </row>
    <row r="973">
      <c r="A973" s="105"/>
      <c r="B973" s="105"/>
      <c r="C973" s="105"/>
      <c r="D973" s="105"/>
    </row>
    <row r="974">
      <c r="A974" s="105"/>
      <c r="B974" s="105"/>
      <c r="C974" s="105"/>
      <c r="D974" s="105"/>
    </row>
    <row r="975">
      <c r="A975" s="105"/>
      <c r="B975" s="105"/>
      <c r="C975" s="105"/>
      <c r="D975" s="105"/>
    </row>
    <row r="976">
      <c r="A976" s="105"/>
      <c r="B976" s="105"/>
      <c r="C976" s="105"/>
      <c r="D976" s="105"/>
    </row>
    <row r="977">
      <c r="A977" s="105"/>
      <c r="B977" s="105"/>
      <c r="C977" s="105"/>
      <c r="D977" s="105"/>
    </row>
    <row r="978">
      <c r="A978" s="105"/>
      <c r="B978" s="105"/>
      <c r="C978" s="105"/>
      <c r="D978" s="105"/>
    </row>
    <row r="979">
      <c r="A979" s="105"/>
      <c r="B979" s="105"/>
      <c r="C979" s="105"/>
      <c r="D979" s="105"/>
    </row>
    <row r="980">
      <c r="A980" s="105"/>
      <c r="B980" s="105"/>
      <c r="C980" s="105"/>
      <c r="D980" s="105"/>
    </row>
    <row r="981">
      <c r="A981" s="105"/>
      <c r="B981" s="105"/>
      <c r="C981" s="105"/>
      <c r="D981" s="105"/>
    </row>
    <row r="982">
      <c r="A982" s="105"/>
      <c r="B982" s="105"/>
      <c r="C982" s="105"/>
      <c r="D982" s="105"/>
    </row>
    <row r="983">
      <c r="A983" s="105"/>
      <c r="B983" s="105"/>
      <c r="C983" s="105"/>
      <c r="D983" s="105"/>
    </row>
    <row r="984">
      <c r="A984" s="105"/>
      <c r="B984" s="105"/>
      <c r="C984" s="105"/>
      <c r="D984" s="105"/>
    </row>
    <row r="985">
      <c r="A985" s="105"/>
      <c r="B985" s="105"/>
      <c r="C985" s="105"/>
      <c r="D985" s="105"/>
    </row>
    <row r="986">
      <c r="A986" s="105"/>
      <c r="B986" s="105"/>
      <c r="C986" s="105"/>
      <c r="D986" s="105"/>
    </row>
    <row r="987">
      <c r="A987" s="105"/>
      <c r="B987" s="105"/>
      <c r="C987" s="105"/>
      <c r="D987" s="105"/>
    </row>
    <row r="988">
      <c r="A988" s="105"/>
      <c r="B988" s="105"/>
      <c r="C988" s="105"/>
      <c r="D988" s="105"/>
    </row>
    <row r="989">
      <c r="A989" s="105"/>
      <c r="B989" s="105"/>
      <c r="C989" s="105"/>
      <c r="D989" s="105"/>
    </row>
    <row r="990">
      <c r="A990" s="105"/>
      <c r="B990" s="105"/>
      <c r="C990" s="105"/>
      <c r="D990" s="105"/>
    </row>
    <row r="991">
      <c r="A991" s="105"/>
      <c r="B991" s="105"/>
      <c r="C991" s="105"/>
      <c r="D991" s="105"/>
    </row>
    <row r="992">
      <c r="A992" s="105"/>
      <c r="B992" s="105"/>
      <c r="C992" s="105"/>
      <c r="D992" s="105"/>
    </row>
    <row r="993">
      <c r="A993" s="105"/>
      <c r="B993" s="105"/>
      <c r="C993" s="105"/>
      <c r="D993" s="105"/>
    </row>
    <row r="994">
      <c r="A994" s="105"/>
      <c r="B994" s="105"/>
      <c r="C994" s="105"/>
      <c r="D994" s="105"/>
    </row>
    <row r="995">
      <c r="A995" s="105"/>
      <c r="B995" s="105"/>
      <c r="C995" s="105"/>
      <c r="D995" s="105"/>
    </row>
    <row r="996">
      <c r="A996" s="105"/>
      <c r="B996" s="105"/>
      <c r="C996" s="105"/>
      <c r="D996" s="105"/>
    </row>
    <row r="997">
      <c r="A997" s="105"/>
      <c r="B997" s="105"/>
      <c r="C997" s="105"/>
      <c r="D997" s="105"/>
    </row>
    <row r="998">
      <c r="A998" s="105"/>
      <c r="B998" s="105"/>
      <c r="C998" s="105"/>
      <c r="D998" s="105"/>
    </row>
    <row r="999">
      <c r="A999" s="105"/>
      <c r="B999" s="105"/>
      <c r="C999" s="105"/>
      <c r="D999" s="105"/>
    </row>
    <row r="1000">
      <c r="A1000" s="105"/>
      <c r="B1000" s="105"/>
      <c r="C1000" s="105"/>
      <c r="D1000" s="105"/>
    </row>
    <row r="1001">
      <c r="A1001" s="105"/>
      <c r="B1001" s="105"/>
      <c r="C1001" s="105"/>
      <c r="D1001" s="10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29.25"/>
    <col customWidth="1" min="3" max="3" width="15.5"/>
    <col customWidth="1" min="4" max="4" width="33.75"/>
  </cols>
  <sheetData>
    <row r="1" ht="22.5" customHeight="1">
      <c r="A1" s="126" t="s">
        <v>2976</v>
      </c>
      <c r="B1" s="126" t="s">
        <v>1</v>
      </c>
      <c r="C1" s="126" t="s">
        <v>3</v>
      </c>
      <c r="D1" s="126" t="s">
        <v>5</v>
      </c>
    </row>
    <row r="2" ht="22.5" customHeight="1">
      <c r="A2" s="127">
        <f>IFERROR(__xludf.DUMMYFUNCTION("FILTER({All_Members!A2:A3556, All_Members!B2:B3556, All_Members!D2:D3556, All_Members!F2:F3556}, All_Members!C2:C3556 = ""Creative"")"),2.3201482E7)</f>
        <v>23201482</v>
      </c>
      <c r="B2" s="127" t="str">
        <f>IFERROR(__xludf.DUMMYFUNCTION("""COMPUTED_VALUE"""),"Maroof Abdullah")</f>
        <v>Maroof Abdullah</v>
      </c>
      <c r="C2" s="128" t="str">
        <f>IFERROR(__xludf.DUMMYFUNCTION("""COMPUTED_VALUE"""),"Director")</f>
        <v>Director</v>
      </c>
      <c r="D2" s="127" t="str">
        <f>IFERROR(__xludf.DUMMYFUNCTION("""COMPUTED_VALUE"""),"maroof.abdullah@g.bracu.ac.bd")</f>
        <v>maroof.abdullah@g.bracu.ac.bd</v>
      </c>
    </row>
    <row r="3" ht="22.5" customHeight="1">
      <c r="A3" s="127">
        <f>IFERROR(__xludf.DUMMYFUNCTION("""COMPUTED_VALUE"""),2.4101298E7)</f>
        <v>24101298</v>
      </c>
      <c r="B3" s="127" t="str">
        <f>IFERROR(__xludf.DUMMYFUNCTION("""COMPUTED_VALUE"""),"Rifa Tasnia Hridi")</f>
        <v>Rifa Tasnia Hridi</v>
      </c>
      <c r="C3" s="128" t="str">
        <f>IFERROR(__xludf.DUMMYFUNCTION("""COMPUTED_VALUE"""),"Director")</f>
        <v>Director</v>
      </c>
      <c r="D3" s="127" t="str">
        <f>IFERROR(__xludf.DUMMYFUNCTION("""COMPUTED_VALUE"""),"rifa.tasnia.hridi@g.bracu.ac.bd")</f>
        <v>rifa.tasnia.hridi@g.bracu.ac.bd</v>
      </c>
    </row>
    <row r="4" ht="22.5" customHeight="1">
      <c r="A4" s="127">
        <f>IFERROR(__xludf.DUMMYFUNCTION("""COMPUTED_VALUE"""),2.4341145E7)</f>
        <v>24341145</v>
      </c>
      <c r="B4" s="127" t="str">
        <f>IFERROR(__xludf.DUMMYFUNCTION("""COMPUTED_VALUE"""),"Tahmeed Ferdous")</f>
        <v>Tahmeed Ferdous</v>
      </c>
      <c r="C4" s="128" t="str">
        <f>IFERROR(__xludf.DUMMYFUNCTION("""COMPUTED_VALUE"""),"Assistant Director")</f>
        <v>Assistant Director</v>
      </c>
      <c r="D4" s="127" t="str">
        <f>IFERROR(__xludf.DUMMYFUNCTION("""COMPUTED_VALUE"""),"tahmeed.ferdous@g.bracu.ac.bd")</f>
        <v>tahmeed.ferdous@g.bracu.ac.bd</v>
      </c>
    </row>
    <row r="5" ht="22.5" customHeight="1">
      <c r="A5" s="127">
        <f>IFERROR(__xludf.DUMMYFUNCTION("""COMPUTED_VALUE"""),2.3301038E7)</f>
        <v>23301038</v>
      </c>
      <c r="B5" s="127" t="str">
        <f>IFERROR(__xludf.DUMMYFUNCTION("""COMPUTED_VALUE"""),"Luban Latif")</f>
        <v>Luban Latif</v>
      </c>
      <c r="C5" s="128" t="str">
        <f>IFERROR(__xludf.DUMMYFUNCTION("""COMPUTED_VALUE"""),"Assistant Director")</f>
        <v>Assistant Director</v>
      </c>
      <c r="D5" s="127" t="str">
        <f>IFERROR(__xludf.DUMMYFUNCTION("""COMPUTED_VALUE"""),"luban.latif@g.bracu.ac.bd")</f>
        <v>luban.latif@g.bracu.ac.bd</v>
      </c>
    </row>
    <row r="6" ht="22.5" customHeight="1">
      <c r="A6" s="127">
        <f>IFERROR(__xludf.DUMMYFUNCTION("""COMPUTED_VALUE"""),2.3301191E7)</f>
        <v>23301191</v>
      </c>
      <c r="B6" s="127" t="str">
        <f>IFERROR(__xludf.DUMMYFUNCTION("""COMPUTED_VALUE"""),"Sanjana Tahsin")</f>
        <v>Sanjana Tahsin</v>
      </c>
      <c r="C6" s="128" t="str">
        <f>IFERROR(__xludf.DUMMYFUNCTION("""COMPUTED_VALUE"""),"Assistant Director")</f>
        <v>Assistant Director</v>
      </c>
      <c r="D6" s="127" t="str">
        <f>IFERROR(__xludf.DUMMYFUNCTION("""COMPUTED_VALUE"""),"sanjana.tahsin@g.bracu.ac.bd")</f>
        <v>sanjana.tahsin@g.bracu.ac.bd</v>
      </c>
    </row>
    <row r="7" ht="22.5" customHeight="1">
      <c r="A7" s="127">
        <f>IFERROR(__xludf.DUMMYFUNCTION("""COMPUTED_VALUE"""),2.2101767E7)</f>
        <v>22101767</v>
      </c>
      <c r="B7" s="127" t="str">
        <f>IFERROR(__xludf.DUMMYFUNCTION("""COMPUTED_VALUE"""),"Sajib Sarker")</f>
        <v>Sajib Sarker</v>
      </c>
      <c r="C7" s="128" t="str">
        <f>IFERROR(__xludf.DUMMYFUNCTION("""COMPUTED_VALUE"""),"Senior Executive")</f>
        <v>Senior Executive</v>
      </c>
      <c r="D7" s="127" t="str">
        <f>IFERROR(__xludf.DUMMYFUNCTION("""COMPUTED_VALUE"""),"sajib.sarker@g.bracu.ac.bd")</f>
        <v>sajib.sarker@g.bracu.ac.bd</v>
      </c>
    </row>
    <row r="8" ht="22.5" customHeight="1">
      <c r="A8" s="127">
        <f>IFERROR(__xludf.DUMMYFUNCTION("""COMPUTED_VALUE"""),2.2301532E7)</f>
        <v>22301532</v>
      </c>
      <c r="B8" s="127" t="str">
        <f>IFERROR(__xludf.DUMMYFUNCTION("""COMPUTED_VALUE"""),"Md Ridwanur Rahman")</f>
        <v>Md Ridwanur Rahman</v>
      </c>
      <c r="C8" s="128" t="str">
        <f>IFERROR(__xludf.DUMMYFUNCTION("""COMPUTED_VALUE"""),"Senior Executive")</f>
        <v>Senior Executive</v>
      </c>
      <c r="D8" s="127" t="str">
        <f>IFERROR(__xludf.DUMMYFUNCTION("""COMPUTED_VALUE"""),"md.ridwanur.rahman@g.bracu.ac.bd")</f>
        <v>md.ridwanur.rahman@g.bracu.ac.bd</v>
      </c>
    </row>
    <row r="9" ht="22.5" customHeight="1">
      <c r="A9" s="127">
        <f>IFERROR(__xludf.DUMMYFUNCTION("""COMPUTED_VALUE"""),2.220149E7)</f>
        <v>22201490</v>
      </c>
      <c r="B9" s="127" t="str">
        <f>IFERROR(__xludf.DUMMYFUNCTION("""COMPUTED_VALUE"""),"Sadia Afrin")</f>
        <v>Sadia Afrin</v>
      </c>
      <c r="C9" s="128" t="str">
        <f>IFERROR(__xludf.DUMMYFUNCTION("""COMPUTED_VALUE"""),"Senior Executive")</f>
        <v>Senior Executive</v>
      </c>
      <c r="D9" s="127" t="str">
        <f>IFERROR(__xludf.DUMMYFUNCTION("""COMPUTED_VALUE"""),"sadia.afrin17@g.bracu.ac.bd")</f>
        <v>sadia.afrin17@g.bracu.ac.bd</v>
      </c>
    </row>
    <row r="10" ht="22.5" customHeight="1">
      <c r="A10" s="127">
        <f>IFERROR(__xludf.DUMMYFUNCTION("""COMPUTED_VALUE"""),2.4101168E7)</f>
        <v>24101168</v>
      </c>
      <c r="B10" s="127" t="str">
        <f>IFERROR(__xludf.DUMMYFUNCTION("""COMPUTED_VALUE"""),"Md. Misbahul Islam")</f>
        <v>Md. Misbahul Islam</v>
      </c>
      <c r="C10" s="128" t="str">
        <f>IFERROR(__xludf.DUMMYFUNCTION("""COMPUTED_VALUE"""),"Senior Executive")</f>
        <v>Senior Executive</v>
      </c>
      <c r="D10" s="127" t="str">
        <f>IFERROR(__xludf.DUMMYFUNCTION("""COMPUTED_VALUE"""),"md.misbahul.islam@g.bracu.ac.bd")</f>
        <v>md.misbahul.islam@g.bracu.ac.bd</v>
      </c>
    </row>
    <row r="11" ht="22.5" customHeight="1">
      <c r="A11" s="127">
        <f>IFERROR(__xludf.DUMMYFUNCTION("""COMPUTED_VALUE"""),2.4101349E7)</f>
        <v>24101349</v>
      </c>
      <c r="B11" s="127" t="str">
        <f>IFERROR(__xludf.DUMMYFUNCTION("""COMPUTED_VALUE"""),"Md. Rakibul Islam Nayan")</f>
        <v>Md. Rakibul Islam Nayan</v>
      </c>
      <c r="C11" s="128" t="str">
        <f>IFERROR(__xludf.DUMMYFUNCTION("""COMPUTED_VALUE"""),"Senior Executive")</f>
        <v>Senior Executive</v>
      </c>
      <c r="D11" s="127" t="str">
        <f>IFERROR(__xludf.DUMMYFUNCTION("""COMPUTED_VALUE"""),"rakibul.islam.nayan@g.bracu.ac.bd")</f>
        <v>rakibul.islam.nayan@g.bracu.ac.bd</v>
      </c>
    </row>
    <row r="12" ht="22.5" customHeight="1">
      <c r="A12" s="127">
        <f>IFERROR(__xludf.DUMMYFUNCTION("""COMPUTED_VALUE"""),2.4321015E7)</f>
        <v>24321015</v>
      </c>
      <c r="B12" s="127" t="str">
        <f>IFERROR(__xludf.DUMMYFUNCTION("""COMPUTED_VALUE"""),"Asiful Islam Ayranna")</f>
        <v>Asiful Islam Ayranna</v>
      </c>
      <c r="C12" s="128" t="str">
        <f>IFERROR(__xludf.DUMMYFUNCTION("""COMPUTED_VALUE"""),"Senior Executive")</f>
        <v>Senior Executive</v>
      </c>
      <c r="D12" s="127" t="str">
        <f>IFERROR(__xludf.DUMMYFUNCTION("""COMPUTED_VALUE"""),"asiful.islam.ayranna@g.bracu.ac.bd")</f>
        <v>asiful.islam.ayranna@g.bracu.ac.bd</v>
      </c>
    </row>
    <row r="13" ht="22.5" customHeight="1">
      <c r="A13" s="127">
        <f>IFERROR(__xludf.DUMMYFUNCTION("""COMPUTED_VALUE"""),2.3201552E7)</f>
        <v>23201552</v>
      </c>
      <c r="B13" s="127" t="str">
        <f>IFERROR(__xludf.DUMMYFUNCTION("""COMPUTED_VALUE"""),"Tahera Toor")</f>
        <v>Tahera Toor</v>
      </c>
      <c r="C13" s="128" t="str">
        <f>IFERROR(__xludf.DUMMYFUNCTION("""COMPUTED_VALUE"""),"Senior Executive")</f>
        <v>Senior Executive</v>
      </c>
      <c r="D13" s="129" t="str">
        <f>IFERROR(__xludf.DUMMYFUNCTION("""COMPUTED_VALUE"""),"tahera.toor@g.bracu.ac.bd")</f>
        <v>tahera.toor@g.bracu.ac.bd</v>
      </c>
    </row>
    <row r="14" ht="22.5" customHeight="1">
      <c r="A14" s="127">
        <f>IFERROR(__xludf.DUMMYFUNCTION("""COMPUTED_VALUE"""),2.3201397E7)</f>
        <v>23201397</v>
      </c>
      <c r="B14" s="127" t="str">
        <f>IFERROR(__xludf.DUMMYFUNCTION("""COMPUTED_VALUE"""),"Jaber Hasan")</f>
        <v>Jaber Hasan</v>
      </c>
      <c r="C14" s="128" t="str">
        <f>IFERROR(__xludf.DUMMYFUNCTION("""COMPUTED_VALUE"""),"Senior Executive")</f>
        <v>Senior Executive</v>
      </c>
      <c r="D14" s="127" t="str">
        <f>IFERROR(__xludf.DUMMYFUNCTION("""COMPUTED_VALUE"""),"md.jabar.hasan@g.bracu.ac.bd")</f>
        <v>md.jabar.hasan@g.bracu.ac.bd</v>
      </c>
    </row>
    <row r="15" ht="22.5" customHeight="1">
      <c r="A15" s="127">
        <f>IFERROR(__xludf.DUMMYFUNCTION("""COMPUTED_VALUE"""),2.4101328E7)</f>
        <v>24101328</v>
      </c>
      <c r="B15" s="127" t="str">
        <f>IFERROR(__xludf.DUMMYFUNCTION("""COMPUTED_VALUE"""),"Oyshi Sarker Nishita")</f>
        <v>Oyshi Sarker Nishita</v>
      </c>
      <c r="C15" s="128" t="str">
        <f>IFERROR(__xludf.DUMMYFUNCTION("""COMPUTED_VALUE"""),"Senior Executive")</f>
        <v>Senior Executive</v>
      </c>
      <c r="D15" s="127" t="str">
        <f>IFERROR(__xludf.DUMMYFUNCTION("""COMPUTED_VALUE"""),"oyshi.sarker.nishita@g.bracu.ac.bd")</f>
        <v>oyshi.sarker.nishita@g.bracu.ac.bd</v>
      </c>
    </row>
    <row r="16" ht="22.5" customHeight="1">
      <c r="A16" s="127">
        <f>IFERROR(__xludf.DUMMYFUNCTION("""COMPUTED_VALUE"""),2.3301545E7)</f>
        <v>23301545</v>
      </c>
      <c r="B16" s="127" t="str">
        <f>IFERROR(__xludf.DUMMYFUNCTION("""COMPUTED_VALUE"""),"Jahra Binte Mamoon")</f>
        <v>Jahra Binte Mamoon</v>
      </c>
      <c r="C16" s="128" t="str">
        <f>IFERROR(__xludf.DUMMYFUNCTION("""COMPUTED_VALUE"""),"Senior Executive")</f>
        <v>Senior Executive</v>
      </c>
      <c r="D16" s="127" t="str">
        <f>IFERROR(__xludf.DUMMYFUNCTION("""COMPUTED_VALUE"""),"jahra.binte.mamoon@g.bracu.ac.bd")</f>
        <v>jahra.binte.mamoon@g.bracu.ac.bd</v>
      </c>
    </row>
    <row r="17" ht="22.5" customHeight="1">
      <c r="A17" s="127">
        <f>IFERROR(__xludf.DUMMYFUNCTION("""COMPUTED_VALUE"""),2.3201557E7)</f>
        <v>23201557</v>
      </c>
      <c r="B17" s="127" t="str">
        <f>IFERROR(__xludf.DUMMYFUNCTION("""COMPUTED_VALUE"""),"Abidur Islam Kiron")</f>
        <v>Abidur Islam Kiron</v>
      </c>
      <c r="C17" s="128" t="str">
        <f>IFERROR(__xludf.DUMMYFUNCTION("""COMPUTED_VALUE"""),"Senior Executive")</f>
        <v>Senior Executive</v>
      </c>
      <c r="D17" s="127" t="str">
        <f>IFERROR(__xludf.DUMMYFUNCTION("""COMPUTED_VALUE"""),"abidur.islam.kiron@g.bracu.ac.bd")</f>
        <v>abidur.islam.kiron@g.bracu.ac.bd</v>
      </c>
    </row>
    <row r="18" ht="22.5" customHeight="1">
      <c r="A18" s="127">
        <f>IFERROR(__xludf.DUMMYFUNCTION("""COMPUTED_VALUE"""),2.3201471E7)</f>
        <v>23201471</v>
      </c>
      <c r="B18" s="127" t="str">
        <f>IFERROR(__xludf.DUMMYFUNCTION("""COMPUTED_VALUE"""),"Md. Mushfiqur Rahman")</f>
        <v>Md. Mushfiqur Rahman</v>
      </c>
      <c r="C18" s="128" t="str">
        <f>IFERROR(__xludf.DUMMYFUNCTION("""COMPUTED_VALUE"""),"Senior Executive")</f>
        <v>Senior Executive</v>
      </c>
      <c r="D18" s="127" t="str">
        <f>IFERROR(__xludf.DUMMYFUNCTION("""COMPUTED_VALUE"""),"md.mushfiqur.rahman@g.bracu.ac.bd")</f>
        <v>md.mushfiqur.rahman@g.bracu.ac.bd</v>
      </c>
    </row>
    <row r="19" ht="22.5" customHeight="1">
      <c r="A19" s="127">
        <f>IFERROR(__xludf.DUMMYFUNCTION("""COMPUTED_VALUE"""),2.3103061E7)</f>
        <v>23103061</v>
      </c>
      <c r="B19" s="127" t="str">
        <f>IFERROR(__xludf.DUMMYFUNCTION("""COMPUTED_VALUE"""),"Md. Tanaz Zafri")</f>
        <v>Md. Tanaz Zafri</v>
      </c>
      <c r="C19" s="128" t="str">
        <f>IFERROR(__xludf.DUMMYFUNCTION("""COMPUTED_VALUE"""),"Executive")</f>
        <v>Executive</v>
      </c>
      <c r="D19" s="127" t="str">
        <f>IFERROR(__xludf.DUMMYFUNCTION("""COMPUTED_VALUE"""),"md.tanaz.zafri@g.bracu.ac.bd")</f>
        <v>md.tanaz.zafri@g.bracu.ac.bd</v>
      </c>
    </row>
    <row r="20" ht="22.5" customHeight="1">
      <c r="A20" s="127">
        <f>IFERROR(__xludf.DUMMYFUNCTION("""COMPUTED_VALUE"""),2.3101183E7)</f>
        <v>23101183</v>
      </c>
      <c r="B20" s="127" t="str">
        <f>IFERROR(__xludf.DUMMYFUNCTION("""COMPUTED_VALUE"""),"Md. Tawfiq Islam")</f>
        <v>Md. Tawfiq Islam</v>
      </c>
      <c r="C20" s="128" t="str">
        <f>IFERROR(__xludf.DUMMYFUNCTION("""COMPUTED_VALUE"""),"Executive")</f>
        <v>Executive</v>
      </c>
      <c r="D20" s="127" t="str">
        <f>IFERROR(__xludf.DUMMYFUNCTION("""COMPUTED_VALUE"""),"md.tawfiq.islam@g.bracu.ac.bd")</f>
        <v>md.tawfiq.islam@g.bracu.ac.bd</v>
      </c>
    </row>
    <row r="21" ht="22.5" customHeight="1">
      <c r="A21" s="127">
        <f>IFERROR(__xludf.DUMMYFUNCTION("""COMPUTED_VALUE"""),2.3101111E7)</f>
        <v>23101111</v>
      </c>
      <c r="B21" s="127" t="str">
        <f>IFERROR(__xludf.DUMMYFUNCTION("""COMPUTED_VALUE"""),"Zahra Morshed")</f>
        <v>Zahra Morshed</v>
      </c>
      <c r="C21" s="128" t="str">
        <f>IFERROR(__xludf.DUMMYFUNCTION("""COMPUTED_VALUE"""),"Executive")</f>
        <v>Executive</v>
      </c>
      <c r="D21" s="127" t="str">
        <f>IFERROR(__xludf.DUMMYFUNCTION("""COMPUTED_VALUE"""),"zahra.morshed@g.bracu.ac.bd")</f>
        <v>zahra.morshed@g.bracu.ac.bd</v>
      </c>
    </row>
    <row r="22" ht="22.5" customHeight="1">
      <c r="A22" s="127">
        <f>IFERROR(__xludf.DUMMYFUNCTION("""COMPUTED_VALUE"""),2.3101109E7)</f>
        <v>23101109</v>
      </c>
      <c r="B22" s="127" t="str">
        <f>IFERROR(__xludf.DUMMYFUNCTION("""COMPUTED_VALUE"""),"Shafin Mahamud")</f>
        <v>Shafin Mahamud</v>
      </c>
      <c r="C22" s="128" t="str">
        <f>IFERROR(__xludf.DUMMYFUNCTION("""COMPUTED_VALUE"""),"Executive")</f>
        <v>Executive</v>
      </c>
      <c r="D22" s="127" t="str">
        <f>IFERROR(__xludf.DUMMYFUNCTION("""COMPUTED_VALUE"""),"shafin.mahamud@g.bracu.ac.bd")</f>
        <v>shafin.mahamud@g.bracu.ac.bd</v>
      </c>
    </row>
    <row r="23" ht="22.5" customHeight="1">
      <c r="A23" s="127">
        <f>IFERROR(__xludf.DUMMYFUNCTION("""COMPUTED_VALUE"""),2.2241113E7)</f>
        <v>22241113</v>
      </c>
      <c r="B23" s="127" t="str">
        <f>IFERROR(__xludf.DUMMYFUNCTION("""COMPUTED_VALUE"""),"Aishwarja Ghosh")</f>
        <v>Aishwarja Ghosh</v>
      </c>
      <c r="C23" s="128" t="str">
        <f>IFERROR(__xludf.DUMMYFUNCTION("""COMPUTED_VALUE"""),"Executive")</f>
        <v>Executive</v>
      </c>
      <c r="D23" s="127" t="str">
        <f>IFERROR(__xludf.DUMMYFUNCTION("""COMPUTED_VALUE"""),"aishwarja.ghosh@g.bracu.ac.bd")</f>
        <v>aishwarja.ghosh@g.bracu.ac.bd</v>
      </c>
    </row>
    <row r="24" ht="22.5" customHeight="1">
      <c r="A24" s="127">
        <f>IFERROR(__xludf.DUMMYFUNCTION("""COMPUTED_VALUE"""),2.2101879E7)</f>
        <v>22101879</v>
      </c>
      <c r="B24" s="127" t="str">
        <f>IFERROR(__xludf.DUMMYFUNCTION("""COMPUTED_VALUE"""),"Md Rakib Hossain Ontu")</f>
        <v>Md Rakib Hossain Ontu</v>
      </c>
      <c r="C24" s="128" t="str">
        <f>IFERROR(__xludf.DUMMYFUNCTION("""COMPUTED_VALUE"""),"Executive")</f>
        <v>Executive</v>
      </c>
      <c r="D24" s="127" t="str">
        <f>IFERROR(__xludf.DUMMYFUNCTION("""COMPUTED_VALUE"""),"rakib.hossain.ontu@g.bracu.ac.bd")</f>
        <v>rakib.hossain.ontu@g.bracu.ac.bd</v>
      </c>
    </row>
    <row r="25" ht="22.5" customHeight="1">
      <c r="A25" s="127">
        <f>IFERROR(__xludf.DUMMYFUNCTION("""COMPUTED_VALUE"""),2.2101863E7)</f>
        <v>22101863</v>
      </c>
      <c r="B25" s="127" t="str">
        <f>IFERROR(__xludf.DUMMYFUNCTION("""COMPUTED_VALUE"""),"Md. Nazmus Sakib Prantik")</f>
        <v>Md. Nazmus Sakib Prantik</v>
      </c>
      <c r="C25" s="128" t="str">
        <f>IFERROR(__xludf.DUMMYFUNCTION("""COMPUTED_VALUE"""),"Executive")</f>
        <v>Executive</v>
      </c>
      <c r="D25" s="127" t="str">
        <f>IFERROR(__xludf.DUMMYFUNCTION("""COMPUTED_VALUE"""),"nazmus.sakib.prantik@g.bracu.ac.bd")</f>
        <v>nazmus.sakib.prantik@g.bracu.ac.bd</v>
      </c>
    </row>
    <row r="26" ht="22.5" customHeight="1">
      <c r="A26" s="127">
        <f>IFERROR(__xludf.DUMMYFUNCTION("""COMPUTED_VALUE"""),2.2101202E7)</f>
        <v>22101202</v>
      </c>
      <c r="B26" s="127" t="str">
        <f>IFERROR(__xludf.DUMMYFUNCTION("""COMPUTED_VALUE"""),"Turjo Muhammad Sajid")</f>
        <v>Turjo Muhammad Sajid</v>
      </c>
      <c r="C26" s="128" t="str">
        <f>IFERROR(__xludf.DUMMYFUNCTION("""COMPUTED_VALUE"""),"Executive")</f>
        <v>Executive</v>
      </c>
      <c r="D26" s="127" t="str">
        <f>IFERROR(__xludf.DUMMYFUNCTION("""COMPUTED_VALUE"""),"turjo.muhammad.sajid@g.bracu.ac.bd")</f>
        <v>turjo.muhammad.sajid@g.bracu.ac.bd</v>
      </c>
    </row>
    <row r="27" ht="22.5" customHeight="1">
      <c r="A27" s="127">
        <f>IFERROR(__xludf.DUMMYFUNCTION("""COMPUTED_VALUE"""),2.2201358E7)</f>
        <v>22201358</v>
      </c>
      <c r="B27" s="127" t="str">
        <f>IFERROR(__xludf.DUMMYFUNCTION("""COMPUTED_VALUE"""),"Wasi Farabi")</f>
        <v>Wasi Farabi</v>
      </c>
      <c r="C27" s="128" t="str">
        <f>IFERROR(__xludf.DUMMYFUNCTION("""COMPUTED_VALUE"""),"Executive")</f>
        <v>Executive</v>
      </c>
      <c r="D27" s="127" t="str">
        <f>IFERROR(__xludf.DUMMYFUNCTION("""COMPUTED_VALUE"""),"wasi.farabi@g.bracu.ac.bd")</f>
        <v>wasi.farabi@g.bracu.ac.bd</v>
      </c>
    </row>
    <row r="28" ht="22.5" customHeight="1">
      <c r="A28" s="127">
        <f>IFERROR(__xludf.DUMMYFUNCTION("""COMPUTED_VALUE"""),2.3201132E7)</f>
        <v>23201132</v>
      </c>
      <c r="B28" s="127" t="str">
        <f>IFERROR(__xludf.DUMMYFUNCTION("""COMPUTED_VALUE"""),"Nafis Fuyad")</f>
        <v>Nafis Fuyad</v>
      </c>
      <c r="C28" s="128" t="str">
        <f>IFERROR(__xludf.DUMMYFUNCTION("""COMPUTED_VALUE"""),"Executive")</f>
        <v>Executive</v>
      </c>
      <c r="D28" s="127" t="str">
        <f>IFERROR(__xludf.DUMMYFUNCTION("""COMPUTED_VALUE"""),"nafis.fuyad@g.bracu.ac.bd")</f>
        <v>nafis.fuyad@g.bracu.ac.bd</v>
      </c>
    </row>
    <row r="29" ht="22.5" customHeight="1">
      <c r="A29" s="127">
        <f>IFERROR(__xludf.DUMMYFUNCTION("""COMPUTED_VALUE"""),2.2201033E7)</f>
        <v>22201033</v>
      </c>
      <c r="B29" s="127" t="str">
        <f>IFERROR(__xludf.DUMMYFUNCTION("""COMPUTED_VALUE"""),"Anika Kabir")</f>
        <v>Anika Kabir</v>
      </c>
      <c r="C29" s="128" t="str">
        <f>IFERROR(__xludf.DUMMYFUNCTION("""COMPUTED_VALUE"""),"Executive")</f>
        <v>Executive</v>
      </c>
      <c r="D29" s="127" t="str">
        <f>IFERROR(__xludf.DUMMYFUNCTION("""COMPUTED_VALUE"""),"anika.kabir1@g.bracu.ac.bd")</f>
        <v>anika.kabir1@g.bracu.ac.bd</v>
      </c>
    </row>
    <row r="30" ht="22.5" customHeight="1">
      <c r="A30" s="127">
        <f>IFERROR(__xludf.DUMMYFUNCTION("""COMPUTED_VALUE"""),2.2101113E7)</f>
        <v>22101113</v>
      </c>
      <c r="B30" s="127" t="str">
        <f>IFERROR(__xludf.DUMMYFUNCTION("""COMPUTED_VALUE"""),"Tasnia Tabassum Reety")</f>
        <v>Tasnia Tabassum Reety</v>
      </c>
      <c r="C30" s="128" t="str">
        <f>IFERROR(__xludf.DUMMYFUNCTION("""COMPUTED_VALUE"""),"Executive")</f>
        <v>Executive</v>
      </c>
      <c r="D30" s="127" t="str">
        <f>IFERROR(__xludf.DUMMYFUNCTION("""COMPUTED_VALUE"""),"tasnia.tabassum.reety@g.bracu.ac.bd")</f>
        <v>tasnia.tabassum.reety@g.bracu.ac.bd</v>
      </c>
    </row>
    <row r="31" ht="22.5" customHeight="1">
      <c r="A31" s="127">
        <f>IFERROR(__xludf.DUMMYFUNCTION("""COMPUTED_VALUE"""),2.4301267E7)</f>
        <v>24301267</v>
      </c>
      <c r="B31" s="127" t="str">
        <f>IFERROR(__xludf.DUMMYFUNCTION("""COMPUTED_VALUE"""),"Supratim saha")</f>
        <v>Supratim saha</v>
      </c>
      <c r="C31" s="128" t="str">
        <f>IFERROR(__xludf.DUMMYFUNCTION("""COMPUTED_VALUE"""),"Executive")</f>
        <v>Executive</v>
      </c>
      <c r="D31" s="127" t="str">
        <f>IFERROR(__xludf.DUMMYFUNCTION("""COMPUTED_VALUE"""),"supratim.saha@g.bracu.ac.bd")</f>
        <v>supratim.saha@g.bracu.ac.bd</v>
      </c>
    </row>
    <row r="32" ht="22.5" customHeight="1">
      <c r="A32" s="127">
        <f>IFERROR(__xludf.DUMMYFUNCTION("""COMPUTED_VALUE"""),2.230105E7)</f>
        <v>22301050</v>
      </c>
      <c r="B32" s="127" t="str">
        <f>IFERROR(__xludf.DUMMYFUNCTION("""COMPUTED_VALUE"""),"Anita Haque Sushma")</f>
        <v>Anita Haque Sushma</v>
      </c>
      <c r="C32" s="128" t="str">
        <f>IFERROR(__xludf.DUMMYFUNCTION("""COMPUTED_VALUE"""),"Executive")</f>
        <v>Executive</v>
      </c>
      <c r="D32" s="127" t="str">
        <f>IFERROR(__xludf.DUMMYFUNCTION("""COMPUTED_VALUE"""),"anita.haque.sushma@g.bracu.ac.bd")</f>
        <v>anita.haque.sushma@g.bracu.ac.bd</v>
      </c>
    </row>
    <row r="33" ht="22.5" customHeight="1">
      <c r="A33" s="127">
        <f>IFERROR(__xludf.DUMMYFUNCTION("""COMPUTED_VALUE"""),2.3301657E7)</f>
        <v>23301657</v>
      </c>
      <c r="B33" s="127" t="str">
        <f>IFERROR(__xludf.DUMMYFUNCTION("""COMPUTED_VALUE"""),"Nazifa Tasnim")</f>
        <v>Nazifa Tasnim</v>
      </c>
      <c r="C33" s="128" t="str">
        <f>IFERROR(__xludf.DUMMYFUNCTION("""COMPUTED_VALUE"""),"Executive")</f>
        <v>Executive</v>
      </c>
      <c r="D33" s="127" t="str">
        <f>IFERROR(__xludf.DUMMYFUNCTION("""COMPUTED_VALUE"""),"nazifa.tasnim1@g.bracu.ac.bd")</f>
        <v>nazifa.tasnim1@g.bracu.ac.bd</v>
      </c>
    </row>
    <row r="34" ht="22.5" customHeight="1">
      <c r="A34" s="127">
        <f>IFERROR(__xludf.DUMMYFUNCTION("""COMPUTED_VALUE"""),2.3216006E7)</f>
        <v>23216006</v>
      </c>
      <c r="B34" s="127" t="str">
        <f>IFERROR(__xludf.DUMMYFUNCTION("""COMPUTED_VALUE"""),"Md.Maknun Nehal")</f>
        <v>Md.Maknun Nehal</v>
      </c>
      <c r="C34" s="128" t="str">
        <f>IFERROR(__xludf.DUMMYFUNCTION("""COMPUTED_VALUE"""),"Executive")</f>
        <v>Executive</v>
      </c>
      <c r="D34" s="127" t="str">
        <f>IFERROR(__xludf.DUMMYFUNCTION("""COMPUTED_VALUE"""),"md.maknun.nehal@g.bracu.ac.bd")</f>
        <v>md.maknun.nehal@g.bracu.ac.bd</v>
      </c>
    </row>
    <row r="35" ht="22.5" customHeight="1">
      <c r="A35" s="127">
        <f>IFERROR(__xludf.DUMMYFUNCTION("""COMPUTED_VALUE"""),2.3201493E7)</f>
        <v>23201493</v>
      </c>
      <c r="B35" s="127" t="str">
        <f>IFERROR(__xludf.DUMMYFUNCTION("""COMPUTED_VALUE"""),"Fabiha Tarannum")</f>
        <v>Fabiha Tarannum</v>
      </c>
      <c r="C35" s="128" t="str">
        <f>IFERROR(__xludf.DUMMYFUNCTION("""COMPUTED_VALUE"""),"Executive")</f>
        <v>Executive</v>
      </c>
      <c r="D35" s="127" t="str">
        <f>IFERROR(__xludf.DUMMYFUNCTION("""COMPUTED_VALUE"""),"fabiha.tarannum@g.bracu.ac.bd")</f>
        <v>fabiha.tarannum@g.bracu.ac.bd</v>
      </c>
    </row>
    <row r="36" ht="22.5" customHeight="1">
      <c r="A36" s="127">
        <f>IFERROR(__xludf.DUMMYFUNCTION("""COMPUTED_VALUE"""),2.3201263E7)</f>
        <v>23201263</v>
      </c>
      <c r="B36" s="127" t="str">
        <f>IFERROR(__xludf.DUMMYFUNCTION("""COMPUTED_VALUE"""),"Nuzhat Tabassum Nora")</f>
        <v>Nuzhat Tabassum Nora</v>
      </c>
      <c r="C36" s="128" t="str">
        <f>IFERROR(__xludf.DUMMYFUNCTION("""COMPUTED_VALUE"""),"Executive")</f>
        <v>Executive</v>
      </c>
      <c r="D36" s="127" t="str">
        <f>IFERROR(__xludf.DUMMYFUNCTION("""COMPUTED_VALUE"""),"nuzhat.tabassum.nora@g.bracu.ac.bd")</f>
        <v>nuzhat.tabassum.nora@g.bracu.ac.bd</v>
      </c>
    </row>
    <row r="37" ht="22.5" customHeight="1">
      <c r="A37" s="127">
        <f>IFERROR(__xludf.DUMMYFUNCTION("""COMPUTED_VALUE"""),2.3201364E7)</f>
        <v>23201364</v>
      </c>
      <c r="B37" s="127" t="str">
        <f>IFERROR(__xludf.DUMMYFUNCTION("""COMPUTED_VALUE"""),"Zarin Tasnim")</f>
        <v>Zarin Tasnim</v>
      </c>
      <c r="C37" s="128" t="str">
        <f>IFERROR(__xludf.DUMMYFUNCTION("""COMPUTED_VALUE"""),"Executive")</f>
        <v>Executive</v>
      </c>
      <c r="D37" s="127" t="str">
        <f>IFERROR(__xludf.DUMMYFUNCTION("""COMPUTED_VALUE"""),"zarin.tasnim30@g.bracu.ac.bd")</f>
        <v>zarin.tasnim30@g.bracu.ac.bd</v>
      </c>
    </row>
    <row r="38" ht="22.5" customHeight="1">
      <c r="A38" s="127">
        <f>IFERROR(__xludf.DUMMYFUNCTION("""COMPUTED_VALUE"""),2.4301239E7)</f>
        <v>24301239</v>
      </c>
      <c r="B38" s="127" t="str">
        <f>IFERROR(__xludf.DUMMYFUNCTION("""COMPUTED_VALUE"""),"Md. Razin Salehin")</f>
        <v>Md. Razin Salehin</v>
      </c>
      <c r="C38" s="128" t="str">
        <f>IFERROR(__xludf.DUMMYFUNCTION("""COMPUTED_VALUE"""),"Executive")</f>
        <v>Executive</v>
      </c>
      <c r="D38" s="127" t="str">
        <f>IFERROR(__xludf.DUMMYFUNCTION("""COMPUTED_VALUE"""),"md.razin.salehin@g.bracu.ac.bd")</f>
        <v>md.razin.salehin@g.bracu.ac.bd</v>
      </c>
    </row>
    <row r="39" ht="22.5" customHeight="1">
      <c r="A39" s="127">
        <f>IFERROR(__xludf.DUMMYFUNCTION("""COMPUTED_VALUE"""),2.4241034E7)</f>
        <v>24241034</v>
      </c>
      <c r="B39" s="127" t="str">
        <f>IFERROR(__xludf.DUMMYFUNCTION("""COMPUTED_VALUE"""),"Al Anood Momenur Rahman")</f>
        <v>Al Anood Momenur Rahman</v>
      </c>
      <c r="C39" s="128" t="str">
        <f>IFERROR(__xludf.DUMMYFUNCTION("""COMPUTED_VALUE"""),"Executive")</f>
        <v>Executive</v>
      </c>
      <c r="D39" s="127" t="str">
        <f>IFERROR(__xludf.DUMMYFUNCTION("""COMPUTED_VALUE"""),"alanood.momenur.rahman@g.bracu.ac.bd")</f>
        <v>alanood.momenur.rahman@g.bracu.ac.bd</v>
      </c>
    </row>
    <row r="40" ht="22.5" customHeight="1">
      <c r="A40" s="127">
        <f>IFERROR(__xludf.DUMMYFUNCTION("""COMPUTED_VALUE"""),2.4301166E7)</f>
        <v>24301166</v>
      </c>
      <c r="B40" s="127" t="str">
        <f>IFERROR(__xludf.DUMMYFUNCTION("""COMPUTED_VALUE"""),"Rifah Tasnia Annzim")</f>
        <v>Rifah Tasnia Annzim</v>
      </c>
      <c r="C40" s="128" t="str">
        <f>IFERROR(__xludf.DUMMYFUNCTION("""COMPUTED_VALUE"""),"Executive")</f>
        <v>Executive</v>
      </c>
      <c r="D40" s="127" t="str">
        <f>IFERROR(__xludf.DUMMYFUNCTION("""COMPUTED_VALUE"""),"rifah.tasnia.annzim@g.bracu.ac.bd")</f>
        <v>rifah.tasnia.annzim@g.bracu.ac.bd</v>
      </c>
    </row>
    <row r="41" ht="22.5" customHeight="1">
      <c r="A41" s="127">
        <f>IFERROR(__xludf.DUMMYFUNCTION("""COMPUTED_VALUE"""),2.3301639E7)</f>
        <v>23301639</v>
      </c>
      <c r="B41" s="127" t="str">
        <f>IFERROR(__xludf.DUMMYFUNCTION("""COMPUTED_VALUE"""),"Faiaz Ahmed Bhuiyan")</f>
        <v>Faiaz Ahmed Bhuiyan</v>
      </c>
      <c r="C41" s="128" t="str">
        <f>IFERROR(__xludf.DUMMYFUNCTION("""COMPUTED_VALUE"""),"Executive")</f>
        <v>Executive</v>
      </c>
      <c r="D41" s="127" t="str">
        <f>IFERROR(__xludf.DUMMYFUNCTION("""COMPUTED_VALUE"""),"faiaz.ahmed.bhuiyan@g.bracu.ac.bd")</f>
        <v>faiaz.ahmed.bhuiyan@g.bracu.ac.bd</v>
      </c>
    </row>
    <row r="42" ht="22.5" customHeight="1">
      <c r="A42" s="127">
        <f>IFERROR(__xludf.DUMMYFUNCTION("""COMPUTED_VALUE"""),1.000054022E9)</f>
        <v>1000054022</v>
      </c>
      <c r="B42" s="127" t="str">
        <f>IFERROR(__xludf.DUMMYFUNCTION("""COMPUTED_VALUE"""),"Khan Abdullah")</f>
        <v>Khan Abdullah</v>
      </c>
      <c r="C42" s="128" t="str">
        <f>IFERROR(__xludf.DUMMYFUNCTION("""COMPUTED_VALUE"""),"Executive")</f>
        <v>Executive</v>
      </c>
      <c r="D42" s="127" t="str">
        <f>IFERROR(__xludf.DUMMYFUNCTION("""COMPUTED_VALUE"""),"khan.abdullah@g.bracu.ac.bd")</f>
        <v>khan.abdullah@g.bracu.ac.bd</v>
      </c>
    </row>
    <row r="43" ht="22.5" customHeight="1">
      <c r="A43" s="127">
        <f>IFERROR(__xludf.DUMMYFUNCTION("""COMPUTED_VALUE"""),2.2299255E7)</f>
        <v>22299255</v>
      </c>
      <c r="B43" s="127" t="str">
        <f>IFERROR(__xludf.DUMMYFUNCTION("""COMPUTED_VALUE"""),"Tasmia Tasnim")</f>
        <v>Tasmia Tasnim</v>
      </c>
      <c r="C43" s="128" t="str">
        <f>IFERROR(__xludf.DUMMYFUNCTION("""COMPUTED_VALUE"""),"Executive")</f>
        <v>Executive</v>
      </c>
      <c r="D43" s="127" t="str">
        <f>IFERROR(__xludf.DUMMYFUNCTION("""COMPUTED_VALUE"""),"tasmia.tasnim@g.bracu.ac.bd")</f>
        <v>tasmia.tasnim@g.bracu.ac.bd</v>
      </c>
    </row>
    <row r="44" ht="22.5" customHeight="1">
      <c r="A44" s="127">
        <f>IFERROR(__xludf.DUMMYFUNCTION("""COMPUTED_VALUE"""),2.3201517E7)</f>
        <v>23201517</v>
      </c>
      <c r="B44" s="127" t="str">
        <f>IFERROR(__xludf.DUMMYFUNCTION("""COMPUTED_VALUE"""),"Tasmiah Ahmed")</f>
        <v>Tasmiah Ahmed</v>
      </c>
      <c r="C44" s="128" t="str">
        <f>IFERROR(__xludf.DUMMYFUNCTION("""COMPUTED_VALUE"""),"Executive")</f>
        <v>Executive</v>
      </c>
      <c r="D44" s="127" t="str">
        <f>IFERROR(__xludf.DUMMYFUNCTION("""COMPUTED_VALUE"""),"tasmiah.ahmed@g.bracu.ac.bd")</f>
        <v>tasmiah.ahmed@g.bracu.ac.bd</v>
      </c>
    </row>
    <row r="45" ht="22.5" customHeight="1">
      <c r="A45" s="127">
        <f>IFERROR(__xludf.DUMMYFUNCTION("""COMPUTED_VALUE"""),1.000055688E9)</f>
        <v>1000055688</v>
      </c>
      <c r="B45" s="127" t="str">
        <f>IFERROR(__xludf.DUMMYFUNCTION("""COMPUTED_VALUE"""),"Saptak Das Argha")</f>
        <v>Saptak Das Argha</v>
      </c>
      <c r="C45" s="128" t="str">
        <f>IFERROR(__xludf.DUMMYFUNCTION("""COMPUTED_VALUE"""),"Executive")</f>
        <v>Executive</v>
      </c>
      <c r="D45" s="127" t="str">
        <f>IFERROR(__xludf.DUMMYFUNCTION("""COMPUTED_VALUE"""),"saptak.das.argha@g.bracu.ac.bd")</f>
        <v>saptak.das.argha@g.bracu.ac.bd</v>
      </c>
    </row>
    <row r="46" ht="22.5" customHeight="1">
      <c r="A46" s="127">
        <f>IFERROR(__xludf.DUMMYFUNCTION("""COMPUTED_VALUE"""),1.000055711E9)</f>
        <v>1000055711</v>
      </c>
      <c r="B46" s="127" t="str">
        <f>IFERROR(__xludf.DUMMYFUNCTION("""COMPUTED_VALUE"""),"Talukder Khaleed Bin Hasan")</f>
        <v>Talukder Khaleed Bin Hasan</v>
      </c>
      <c r="C46" s="128" t="str">
        <f>IFERROR(__xludf.DUMMYFUNCTION("""COMPUTED_VALUE"""),"Executive")</f>
        <v>Executive</v>
      </c>
      <c r="D46" s="127" t="str">
        <f>IFERROR(__xludf.DUMMYFUNCTION("""COMPUTED_VALUE"""),"khaleed.bin.hasan@g.bracu.ac.bd")</f>
        <v>khaleed.bin.hasan@g.bracu.ac.bd</v>
      </c>
    </row>
    <row r="47" ht="22.5" customHeight="1">
      <c r="A47" s="127">
        <f>IFERROR(__xludf.DUMMYFUNCTION("""COMPUTED_VALUE"""),1.000058162E9)</f>
        <v>1000058162</v>
      </c>
      <c r="B47" s="127" t="str">
        <f>IFERROR(__xludf.DUMMYFUNCTION("""COMPUTED_VALUE"""),"Nawshin Mahjabin Namira")</f>
        <v>Nawshin Mahjabin Namira</v>
      </c>
      <c r="C47" s="128" t="str">
        <f>IFERROR(__xludf.DUMMYFUNCTION("""COMPUTED_VALUE"""),"Executive")</f>
        <v>Executive</v>
      </c>
      <c r="D47" s="127" t="str">
        <f>IFERROR(__xludf.DUMMYFUNCTION("""COMPUTED_VALUE"""),"nawshin.mahjabin.namira@g.bracu.ac.bd")</f>
        <v>nawshin.mahjabin.namira@g.bracu.ac.bd</v>
      </c>
    </row>
    <row r="48" ht="22.5" customHeight="1">
      <c r="A48" s="127">
        <f>IFERROR(__xludf.DUMMYFUNCTION("""COMPUTED_VALUE"""),1.000058876E9)</f>
        <v>1000058876</v>
      </c>
      <c r="B48" s="127" t="str">
        <f>IFERROR(__xludf.DUMMYFUNCTION("""COMPUTED_VALUE"""),"Ananya Saha Orni")</f>
        <v>Ananya Saha Orni</v>
      </c>
      <c r="C48" s="128" t="str">
        <f>IFERROR(__xludf.DUMMYFUNCTION("""COMPUTED_VALUE"""),"Executive")</f>
        <v>Executive</v>
      </c>
      <c r="D48" s="127" t="str">
        <f>IFERROR(__xludf.DUMMYFUNCTION("""COMPUTED_VALUE"""),"ananya.saha.orni@g.bracu.ac.bd")</f>
        <v>ananya.saha.orni@g.bracu.ac.bd</v>
      </c>
    </row>
    <row r="49" ht="22.5" customHeight="1">
      <c r="A49" s="127">
        <f>IFERROR(__xludf.DUMMYFUNCTION("""COMPUTED_VALUE"""),1.000058935E9)</f>
        <v>1000058935</v>
      </c>
      <c r="B49" s="127" t="str">
        <f>IFERROR(__xludf.DUMMYFUNCTION("""COMPUTED_VALUE"""),"Sadia Rahman Mouli")</f>
        <v>Sadia Rahman Mouli</v>
      </c>
      <c r="C49" s="128" t="str">
        <f>IFERROR(__xludf.DUMMYFUNCTION("""COMPUTED_VALUE"""),"Executive")</f>
        <v>Executive</v>
      </c>
      <c r="D49" s="127" t="str">
        <f>IFERROR(__xludf.DUMMYFUNCTION("""COMPUTED_VALUE"""),"Sadia.rahman.mouli@g.bracu.ac.bd")</f>
        <v>Sadia.rahman.mouli@g.bracu.ac.bd</v>
      </c>
    </row>
    <row r="50" ht="22.5" customHeight="1">
      <c r="A50" s="127">
        <f>IFERROR(__xludf.DUMMYFUNCTION("""COMPUTED_VALUE"""),2.3201056E7)</f>
        <v>23201056</v>
      </c>
      <c r="B50" s="127" t="str">
        <f>IFERROR(__xludf.DUMMYFUNCTION("""COMPUTED_VALUE"""),"Anandita Sahin")</f>
        <v>Anandita Sahin</v>
      </c>
      <c r="C50" s="128" t="str">
        <f>IFERROR(__xludf.DUMMYFUNCTION("""COMPUTED_VALUE"""),"General Member")</f>
        <v>General Member</v>
      </c>
      <c r="D50" s="127" t="str">
        <f>IFERROR(__xludf.DUMMYFUNCTION("""COMPUTED_VALUE"""),"anandita.sahin@g.bracu.ac.bd")</f>
        <v>anandita.sahin@g.bracu.ac.bd</v>
      </c>
    </row>
    <row r="51" ht="22.5" customHeight="1">
      <c r="A51" s="127">
        <f>IFERROR(__xludf.DUMMYFUNCTION("""COMPUTED_VALUE"""),2.3341002E7)</f>
        <v>23341002</v>
      </c>
      <c r="B51" s="127" t="str">
        <f>IFERROR(__xludf.DUMMYFUNCTION("""COMPUTED_VALUE"""),"Md. Samsul Arefin Jafran")</f>
        <v>Md. Samsul Arefin Jafran</v>
      </c>
      <c r="C51" s="128" t="str">
        <f>IFERROR(__xludf.DUMMYFUNCTION("""COMPUTED_VALUE"""),"General Member")</f>
        <v>General Member</v>
      </c>
      <c r="D51" s="127" t="str">
        <f>IFERROR(__xludf.DUMMYFUNCTION("""COMPUTED_VALUE"""),"samsul.arefin.jafran@g.bracu.ac.bd")</f>
        <v>samsul.arefin.jafran@g.bracu.ac.bd</v>
      </c>
    </row>
    <row r="52" ht="22.5" customHeight="1">
      <c r="A52" s="127">
        <f>IFERROR(__xludf.DUMMYFUNCTION("""COMPUTED_VALUE"""),2.3301677E7)</f>
        <v>23301677</v>
      </c>
      <c r="B52" s="127" t="str">
        <f>IFERROR(__xludf.DUMMYFUNCTION("""COMPUTED_VALUE"""),"Nowrin Tanhiad")</f>
        <v>Nowrin Tanhiad</v>
      </c>
      <c r="C52" s="128" t="str">
        <f>IFERROR(__xludf.DUMMYFUNCTION("""COMPUTED_VALUE"""),"General Member")</f>
        <v>General Member</v>
      </c>
      <c r="D52" s="127" t="str">
        <f>IFERROR(__xludf.DUMMYFUNCTION("""COMPUTED_VALUE"""),"nowrin.tanhiad@g.bracu.ac.bd")</f>
        <v>nowrin.tanhiad@g.bracu.ac.bd</v>
      </c>
    </row>
    <row r="53" ht="22.5" customHeight="1">
      <c r="A53" s="127">
        <f>IFERROR(__xludf.DUMMYFUNCTION("""COMPUTED_VALUE"""),2.3301529E7)</f>
        <v>23301529</v>
      </c>
      <c r="B53" s="127" t="str">
        <f>IFERROR(__xludf.DUMMYFUNCTION("""COMPUTED_VALUE"""),"Ryan Ahmed")</f>
        <v>Ryan Ahmed</v>
      </c>
      <c r="C53" s="128" t="str">
        <f>IFERROR(__xludf.DUMMYFUNCTION("""COMPUTED_VALUE"""),"General Member")</f>
        <v>General Member</v>
      </c>
      <c r="D53" s="127" t="str">
        <f>IFERROR(__xludf.DUMMYFUNCTION("""COMPUTED_VALUE"""),"ryan.ahmed@g.bracu.ac.bd")</f>
        <v>ryan.ahmed@g.bracu.ac.bd</v>
      </c>
    </row>
    <row r="54" ht="22.5" customHeight="1">
      <c r="A54" s="127">
        <f>IFERROR(__xludf.DUMMYFUNCTION("""COMPUTED_VALUE"""),2.3301458E7)</f>
        <v>23301458</v>
      </c>
      <c r="B54" s="127" t="str">
        <f>IFERROR(__xludf.DUMMYFUNCTION("""COMPUTED_VALUE"""),"Dihan Islam Dhruboo")</f>
        <v>Dihan Islam Dhruboo</v>
      </c>
      <c r="C54" s="128" t="str">
        <f>IFERROR(__xludf.DUMMYFUNCTION("""COMPUTED_VALUE"""),"General Member")</f>
        <v>General Member</v>
      </c>
      <c r="D54" s="127" t="str">
        <f>IFERROR(__xludf.DUMMYFUNCTION("""COMPUTED_VALUE"""),"dihan.islam.dhrubo@g.bracu.ac.bd")</f>
        <v>dihan.islam.dhrubo@g.bracu.ac.bd</v>
      </c>
    </row>
    <row r="55" ht="22.5" customHeight="1">
      <c r="A55" s="127">
        <f>IFERROR(__xludf.DUMMYFUNCTION("""COMPUTED_VALUE"""),2.3301433E7)</f>
        <v>23301433</v>
      </c>
      <c r="B55" s="127" t="str">
        <f>IFERROR(__xludf.DUMMYFUNCTION("""COMPUTED_VALUE"""),"Kazi Md Jawadul Hoque")</f>
        <v>Kazi Md Jawadul Hoque</v>
      </c>
      <c r="C55" s="128" t="str">
        <f>IFERROR(__xludf.DUMMYFUNCTION("""COMPUTED_VALUE"""),"General Member")</f>
        <v>General Member</v>
      </c>
      <c r="D55" s="127" t="str">
        <f>IFERROR(__xludf.DUMMYFUNCTION("""COMPUTED_VALUE"""),"kazi.md.jawadulhoque@g.bracu.ac.bd")</f>
        <v>kazi.md.jawadulhoque@g.bracu.ac.bd</v>
      </c>
    </row>
    <row r="56" ht="22.5" customHeight="1">
      <c r="A56" s="127">
        <f>IFERROR(__xludf.DUMMYFUNCTION("""COMPUTED_VALUE"""),2.3301293E7)</f>
        <v>23301293</v>
      </c>
      <c r="B56" s="127" t="str">
        <f>IFERROR(__xludf.DUMMYFUNCTION("""COMPUTED_VALUE"""),"Zarin Tasnim")</f>
        <v>Zarin Tasnim</v>
      </c>
      <c r="C56" s="128" t="str">
        <f>IFERROR(__xludf.DUMMYFUNCTION("""COMPUTED_VALUE"""),"General Member")</f>
        <v>General Member</v>
      </c>
      <c r="D56" s="127" t="str">
        <f>IFERROR(__xludf.DUMMYFUNCTION("""COMPUTED_VALUE"""),"zarin.tasnim29@g.bracu.ac.bd")</f>
        <v>zarin.tasnim29@g.bracu.ac.bd</v>
      </c>
    </row>
    <row r="57" ht="22.5" customHeight="1">
      <c r="A57" s="127">
        <f>IFERROR(__xludf.DUMMYFUNCTION("""COMPUTED_VALUE"""),2.3301275E7)</f>
        <v>23301275</v>
      </c>
      <c r="B57" s="127" t="str">
        <f>IFERROR(__xludf.DUMMYFUNCTION("""COMPUTED_VALUE"""),"Farhan Tanvir")</f>
        <v>Farhan Tanvir</v>
      </c>
      <c r="C57" s="128" t="str">
        <f>IFERROR(__xludf.DUMMYFUNCTION("""COMPUTED_VALUE"""),"General Member")</f>
        <v>General Member</v>
      </c>
      <c r="D57" s="127" t="str">
        <f>IFERROR(__xludf.DUMMYFUNCTION("""COMPUTED_VALUE"""),"farhan.tanvir4@g.bracu.ac.bd")</f>
        <v>farhan.tanvir4@g.bracu.ac.bd</v>
      </c>
    </row>
    <row r="58" ht="22.5" customHeight="1">
      <c r="A58" s="127">
        <f>IFERROR(__xludf.DUMMYFUNCTION("""COMPUTED_VALUE"""),2.3301219E7)</f>
        <v>23301219</v>
      </c>
      <c r="B58" s="127" t="str">
        <f>IFERROR(__xludf.DUMMYFUNCTION("""COMPUTED_VALUE"""),"Al- Saihan Tajvi")</f>
        <v>Al- Saihan Tajvi</v>
      </c>
      <c r="C58" s="128" t="str">
        <f>IFERROR(__xludf.DUMMYFUNCTION("""COMPUTED_VALUE"""),"General Member")</f>
        <v>General Member</v>
      </c>
      <c r="D58" s="127" t="str">
        <f>IFERROR(__xludf.DUMMYFUNCTION("""COMPUTED_VALUE"""),"al.saihan.tajvi@g.bracu.ac.bd")</f>
        <v>al.saihan.tajvi@g.bracu.ac.bd</v>
      </c>
    </row>
    <row r="59" ht="22.5" customHeight="1">
      <c r="A59" s="127">
        <f>IFERROR(__xludf.DUMMYFUNCTION("""COMPUTED_VALUE"""),2.3301206E7)</f>
        <v>23301206</v>
      </c>
      <c r="B59" s="127" t="str">
        <f>IFERROR(__xludf.DUMMYFUNCTION("""COMPUTED_VALUE"""),"Nishat Anjuman Dola")</f>
        <v>Nishat Anjuman Dola</v>
      </c>
      <c r="C59" s="128" t="str">
        <f>IFERROR(__xludf.DUMMYFUNCTION("""COMPUTED_VALUE"""),"General Member")</f>
        <v>General Member</v>
      </c>
      <c r="D59" s="127" t="str">
        <f>IFERROR(__xludf.DUMMYFUNCTION("""COMPUTED_VALUE"""),"nishat.anjuman.dola@g.bracu.ac.bd")</f>
        <v>nishat.anjuman.dola@g.bracu.ac.bd</v>
      </c>
    </row>
    <row r="60" ht="22.5" customHeight="1">
      <c r="A60" s="127">
        <f>IFERROR(__xludf.DUMMYFUNCTION("""COMPUTED_VALUE"""),2.3301112E7)</f>
        <v>23301112</v>
      </c>
      <c r="B60" s="127" t="str">
        <f>IFERROR(__xludf.DUMMYFUNCTION("""COMPUTED_VALUE"""),"Hasin Arman Shafin")</f>
        <v>Hasin Arman Shafin</v>
      </c>
      <c r="C60" s="128" t="str">
        <f>IFERROR(__xludf.DUMMYFUNCTION("""COMPUTED_VALUE"""),"General Member")</f>
        <v>General Member</v>
      </c>
      <c r="D60" s="127" t="str">
        <f>IFERROR(__xludf.DUMMYFUNCTION("""COMPUTED_VALUE"""),"hasin.arman.shafin@g.bracu.ac.bd")</f>
        <v>hasin.arman.shafin@g.bracu.ac.bd</v>
      </c>
    </row>
    <row r="61" ht="22.5" customHeight="1">
      <c r="A61" s="127">
        <f>IFERROR(__xludf.DUMMYFUNCTION("""COMPUTED_VALUE"""),2.3301103E7)</f>
        <v>23301103</v>
      </c>
      <c r="B61" s="127" t="str">
        <f>IFERROR(__xludf.DUMMYFUNCTION("""COMPUTED_VALUE"""),"Sultan Sajed Shahriar")</f>
        <v>Sultan Sajed Shahriar</v>
      </c>
      <c r="C61" s="128" t="str">
        <f>IFERROR(__xludf.DUMMYFUNCTION("""COMPUTED_VALUE"""),"General Member")</f>
        <v>General Member</v>
      </c>
      <c r="D61" s="127" t="str">
        <f>IFERROR(__xludf.DUMMYFUNCTION("""COMPUTED_VALUE"""),"sultan.sajed.shahriar@g.bracu.ac.bd")</f>
        <v>sultan.sajed.shahriar@g.bracu.ac.bd</v>
      </c>
    </row>
    <row r="62" ht="22.5" customHeight="1">
      <c r="A62" s="127">
        <f>IFERROR(__xludf.DUMMYFUNCTION("""COMPUTED_VALUE"""),2.3301092E7)</f>
        <v>23301092</v>
      </c>
      <c r="B62" s="127" t="str">
        <f>IFERROR(__xludf.DUMMYFUNCTION("""COMPUTED_VALUE"""),"Miskatul Kabir Mithila")</f>
        <v>Miskatul Kabir Mithila</v>
      </c>
      <c r="C62" s="128" t="str">
        <f>IFERROR(__xludf.DUMMYFUNCTION("""COMPUTED_VALUE"""),"General Member")</f>
        <v>General Member</v>
      </c>
      <c r="D62" s="127" t="str">
        <f>IFERROR(__xludf.DUMMYFUNCTION("""COMPUTED_VALUE"""),"miskatul.kabir.mithila@g.bracu.ac.bd")</f>
        <v>miskatul.kabir.mithila@g.bracu.ac.bd</v>
      </c>
    </row>
    <row r="63" ht="22.5" customHeight="1">
      <c r="A63" s="127">
        <f>IFERROR(__xludf.DUMMYFUNCTION("""COMPUTED_VALUE"""),2.3301077E7)</f>
        <v>23301077</v>
      </c>
      <c r="B63" s="127" t="str">
        <f>IFERROR(__xludf.DUMMYFUNCTION("""COMPUTED_VALUE"""),"Saif Ibnay Sahed")</f>
        <v>Saif Ibnay Sahed</v>
      </c>
      <c r="C63" s="128" t="str">
        <f>IFERROR(__xludf.DUMMYFUNCTION("""COMPUTED_VALUE"""),"General Member")</f>
        <v>General Member</v>
      </c>
      <c r="D63" s="127" t="str">
        <f>IFERROR(__xludf.DUMMYFUNCTION("""COMPUTED_VALUE"""),"saif.ibnay.sahed@g.bracu.ac.bd")</f>
        <v>saif.ibnay.sahed@g.bracu.ac.bd</v>
      </c>
    </row>
    <row r="64" ht="22.5" customHeight="1">
      <c r="A64" s="127">
        <f>IFERROR(__xludf.DUMMYFUNCTION("""COMPUTED_VALUE"""),2.330101E7)</f>
        <v>23301010</v>
      </c>
      <c r="B64" s="127" t="str">
        <f>IFERROR(__xludf.DUMMYFUNCTION("""COMPUTED_VALUE"""),"Ishratul Kashfi Shaj")</f>
        <v>Ishratul Kashfi Shaj</v>
      </c>
      <c r="C64" s="128" t="str">
        <f>IFERROR(__xludf.DUMMYFUNCTION("""COMPUTED_VALUE"""),"General Member")</f>
        <v>General Member</v>
      </c>
      <c r="D64" s="127" t="str">
        <f>IFERROR(__xludf.DUMMYFUNCTION("""COMPUTED_VALUE"""),"ishratul.kashfi.shaj@g.bracu.ac.bd")</f>
        <v>ishratul.kashfi.shaj@g.bracu.ac.bd</v>
      </c>
    </row>
    <row r="65" ht="22.5" customHeight="1">
      <c r="A65" s="127">
        <f>IFERROR(__xludf.DUMMYFUNCTION("""COMPUTED_VALUE"""),2.3241009E7)</f>
        <v>23241009</v>
      </c>
      <c r="B65" s="127" t="str">
        <f>IFERROR(__xludf.DUMMYFUNCTION("""COMPUTED_VALUE"""),"Shahrima Haque")</f>
        <v>Shahrima Haque</v>
      </c>
      <c r="C65" s="128" t="str">
        <f>IFERROR(__xludf.DUMMYFUNCTION("""COMPUTED_VALUE"""),"General Member")</f>
        <v>General Member</v>
      </c>
      <c r="D65" s="127" t="str">
        <f>IFERROR(__xludf.DUMMYFUNCTION("""COMPUTED_VALUE"""),"shahrima.haque@g.bracu.ac.bd")</f>
        <v>shahrima.haque@g.bracu.ac.bd</v>
      </c>
    </row>
    <row r="66" ht="22.5" customHeight="1">
      <c r="A66" s="127">
        <f>IFERROR(__xludf.DUMMYFUNCTION("""COMPUTED_VALUE"""),2.3201624E7)</f>
        <v>23201624</v>
      </c>
      <c r="B66" s="127" t="str">
        <f>IFERROR(__xludf.DUMMYFUNCTION("""COMPUTED_VALUE"""),"Nahian Sadat Nahin")</f>
        <v>Nahian Sadat Nahin</v>
      </c>
      <c r="C66" s="128" t="str">
        <f>IFERROR(__xludf.DUMMYFUNCTION("""COMPUTED_VALUE"""),"General Member")</f>
        <v>General Member</v>
      </c>
      <c r="D66" s="127" t="str">
        <f>IFERROR(__xludf.DUMMYFUNCTION("""COMPUTED_VALUE"""),"nahian.sadat.nahin@g.bracu.ac.bd")</f>
        <v>nahian.sadat.nahin@g.bracu.ac.bd</v>
      </c>
    </row>
    <row r="67" ht="22.5" customHeight="1">
      <c r="A67" s="127">
        <f>IFERROR(__xludf.DUMMYFUNCTION("""COMPUTED_VALUE"""),2.3201457E7)</f>
        <v>23201457</v>
      </c>
      <c r="B67" s="127" t="str">
        <f>IFERROR(__xludf.DUMMYFUNCTION("""COMPUTED_VALUE"""),"Araf Kamal")</f>
        <v>Araf Kamal</v>
      </c>
      <c r="C67" s="128" t="str">
        <f>IFERROR(__xludf.DUMMYFUNCTION("""COMPUTED_VALUE"""),"General Member")</f>
        <v>General Member</v>
      </c>
      <c r="D67" s="127" t="str">
        <f>IFERROR(__xludf.DUMMYFUNCTION("""COMPUTED_VALUE"""),"araf.kamal@g.bracu.ac.bd")</f>
        <v>araf.kamal@g.bracu.ac.bd</v>
      </c>
    </row>
    <row r="68" ht="22.5" customHeight="1">
      <c r="A68" s="127">
        <f>IFERROR(__xludf.DUMMYFUNCTION("""COMPUTED_VALUE"""),2.3201415E7)</f>
        <v>23201415</v>
      </c>
      <c r="B68" s="127" t="str">
        <f>IFERROR(__xludf.DUMMYFUNCTION("""COMPUTED_VALUE"""),"Arik Anjum Alif")</f>
        <v>Arik Anjum Alif</v>
      </c>
      <c r="C68" s="128" t="str">
        <f>IFERROR(__xludf.DUMMYFUNCTION("""COMPUTED_VALUE"""),"General Member")</f>
        <v>General Member</v>
      </c>
      <c r="D68" s="127" t="str">
        <f>IFERROR(__xludf.DUMMYFUNCTION("""COMPUTED_VALUE"""),"arik.anjum.alif@g.bracu.ac.bd")</f>
        <v>arik.anjum.alif@g.bracu.ac.bd</v>
      </c>
    </row>
    <row r="69" ht="22.5" customHeight="1">
      <c r="A69" s="127">
        <f>IFERROR(__xludf.DUMMYFUNCTION("""COMPUTED_VALUE"""),2.3201407E7)</f>
        <v>23201407</v>
      </c>
      <c r="B69" s="127" t="str">
        <f>IFERROR(__xludf.DUMMYFUNCTION("""COMPUTED_VALUE"""),"M. Farhan Tanvir")</f>
        <v>M. Farhan Tanvir</v>
      </c>
      <c r="C69" s="128" t="str">
        <f>IFERROR(__xludf.DUMMYFUNCTION("""COMPUTED_VALUE"""),"General Member")</f>
        <v>General Member</v>
      </c>
      <c r="D69" s="127" t="str">
        <f>IFERROR(__xludf.DUMMYFUNCTION("""COMPUTED_VALUE"""),"m.farhan.tanvir@g.bracu.ac.bd")</f>
        <v>m.farhan.tanvir@g.bracu.ac.bd</v>
      </c>
    </row>
    <row r="70" ht="22.5" customHeight="1">
      <c r="A70" s="127">
        <f>IFERROR(__xludf.DUMMYFUNCTION("""COMPUTED_VALUE"""),2.3201382E7)</f>
        <v>23201382</v>
      </c>
      <c r="B70" s="127" t="str">
        <f>IFERROR(__xludf.DUMMYFUNCTION("""COMPUTED_VALUE"""),"Aritra Dey")</f>
        <v>Aritra Dey</v>
      </c>
      <c r="C70" s="128" t="str">
        <f>IFERROR(__xludf.DUMMYFUNCTION("""COMPUTED_VALUE"""),"General Member")</f>
        <v>General Member</v>
      </c>
      <c r="D70" s="127" t="str">
        <f>IFERROR(__xludf.DUMMYFUNCTION("""COMPUTED_VALUE"""),"aritra.dey@g.bracu.ac.bd")</f>
        <v>aritra.dey@g.bracu.ac.bd</v>
      </c>
    </row>
    <row r="71" ht="22.5" customHeight="1">
      <c r="A71" s="127">
        <f>IFERROR(__xludf.DUMMYFUNCTION("""COMPUTED_VALUE"""),2.3201335E7)</f>
        <v>23201335</v>
      </c>
      <c r="B71" s="127" t="str">
        <f>IFERROR(__xludf.DUMMYFUNCTION("""COMPUTED_VALUE"""),"Alfi Shahariar")</f>
        <v>Alfi Shahariar</v>
      </c>
      <c r="C71" s="128" t="str">
        <f>IFERROR(__xludf.DUMMYFUNCTION("""COMPUTED_VALUE"""),"General Member")</f>
        <v>General Member</v>
      </c>
      <c r="D71" s="127" t="str">
        <f>IFERROR(__xludf.DUMMYFUNCTION("""COMPUTED_VALUE"""),"alfi.shahariar@g.bracu.ac.bd")</f>
        <v>alfi.shahariar@g.bracu.ac.bd</v>
      </c>
    </row>
    <row r="72" ht="22.5" customHeight="1">
      <c r="A72" s="127">
        <f>IFERROR(__xludf.DUMMYFUNCTION("""COMPUTED_VALUE"""),2.3201319E7)</f>
        <v>23201319</v>
      </c>
      <c r="B72" s="127" t="str">
        <f>IFERROR(__xludf.DUMMYFUNCTION("""COMPUTED_VALUE"""),"Fahim Al Mahi")</f>
        <v>Fahim Al Mahi</v>
      </c>
      <c r="C72" s="128" t="str">
        <f>IFERROR(__xludf.DUMMYFUNCTION("""COMPUTED_VALUE"""),"General Member")</f>
        <v>General Member</v>
      </c>
      <c r="D72" s="127" t="str">
        <f>IFERROR(__xludf.DUMMYFUNCTION("""COMPUTED_VALUE"""),"Fahim.al.mahi@g.bracu.ac.bd")</f>
        <v>Fahim.al.mahi@g.bracu.ac.bd</v>
      </c>
    </row>
    <row r="73" ht="22.5" customHeight="1">
      <c r="A73" s="127">
        <f>IFERROR(__xludf.DUMMYFUNCTION("""COMPUTED_VALUE"""),2.3201297E7)</f>
        <v>23201297</v>
      </c>
      <c r="B73" s="127" t="str">
        <f>IFERROR(__xludf.DUMMYFUNCTION("""COMPUTED_VALUE"""),"Mayaz Montasim")</f>
        <v>Mayaz Montasim</v>
      </c>
      <c r="C73" s="128" t="str">
        <f>IFERROR(__xludf.DUMMYFUNCTION("""COMPUTED_VALUE"""),"General Member")</f>
        <v>General Member</v>
      </c>
      <c r="D73" s="127" t="str">
        <f>IFERROR(__xludf.DUMMYFUNCTION("""COMPUTED_VALUE"""),"mayaz.montasim@g.bracu.ac.bd")</f>
        <v>mayaz.montasim@g.bracu.ac.bd</v>
      </c>
    </row>
    <row r="74" ht="22.5" customHeight="1">
      <c r="A74" s="127">
        <f>IFERROR(__xludf.DUMMYFUNCTION("""COMPUTED_VALUE"""),2.3201259E7)</f>
        <v>23201259</v>
      </c>
      <c r="B74" s="127" t="str">
        <f>IFERROR(__xludf.DUMMYFUNCTION("""COMPUTED_VALUE"""),"Md. Farhan Sadique")</f>
        <v>Md. Farhan Sadique</v>
      </c>
      <c r="C74" s="128" t="str">
        <f>IFERROR(__xludf.DUMMYFUNCTION("""COMPUTED_VALUE"""),"General Member")</f>
        <v>General Member</v>
      </c>
      <c r="D74" s="127" t="str">
        <f>IFERROR(__xludf.DUMMYFUNCTION("""COMPUTED_VALUE"""),"md.farhan.sadique@g.bracu.ac.bd")</f>
        <v>md.farhan.sadique@g.bracu.ac.bd</v>
      </c>
    </row>
    <row r="75" ht="22.5" customHeight="1">
      <c r="A75" s="127">
        <f>IFERROR(__xludf.DUMMYFUNCTION("""COMPUTED_VALUE"""),2.3201224E7)</f>
        <v>23201224</v>
      </c>
      <c r="B75" s="127" t="str">
        <f>IFERROR(__xludf.DUMMYFUNCTION("""COMPUTED_VALUE"""),"Rafsan Ahmed Ohi")</f>
        <v>Rafsan Ahmed Ohi</v>
      </c>
      <c r="C75" s="128" t="str">
        <f>IFERROR(__xludf.DUMMYFUNCTION("""COMPUTED_VALUE"""),"General Member")</f>
        <v>General Member</v>
      </c>
      <c r="D75" s="127" t="str">
        <f>IFERROR(__xludf.DUMMYFUNCTION("""COMPUTED_VALUE"""),"rafsan.ahmed.ohi@g.bracu.ac.bd")</f>
        <v>rafsan.ahmed.ohi@g.bracu.ac.bd</v>
      </c>
    </row>
    <row r="76" ht="22.5" customHeight="1">
      <c r="A76" s="127">
        <f>IFERROR(__xludf.DUMMYFUNCTION("""COMPUTED_VALUE"""),2.3201189E7)</f>
        <v>23201189</v>
      </c>
      <c r="B76" s="127" t="str">
        <f>IFERROR(__xludf.DUMMYFUNCTION("""COMPUTED_VALUE"""),"Sm Sahil")</f>
        <v>Sm Sahil</v>
      </c>
      <c r="C76" s="128" t="str">
        <f>IFERROR(__xludf.DUMMYFUNCTION("""COMPUTED_VALUE"""),"General Member")</f>
        <v>General Member</v>
      </c>
      <c r="D76" s="127" t="str">
        <f>IFERROR(__xludf.DUMMYFUNCTION("""COMPUTED_VALUE"""),"s.m.sahil@g.bracu.ac.bd")</f>
        <v>s.m.sahil@g.bracu.ac.bd</v>
      </c>
    </row>
    <row r="77" ht="22.5" customHeight="1">
      <c r="A77" s="127">
        <f>IFERROR(__xludf.DUMMYFUNCTION("""COMPUTED_VALUE"""),2.3201174E7)</f>
        <v>23201174</v>
      </c>
      <c r="B77" s="127" t="str">
        <f>IFERROR(__xludf.DUMMYFUNCTION("""COMPUTED_VALUE"""),"Sayed Takey Tajwar Arko")</f>
        <v>Sayed Takey Tajwar Arko</v>
      </c>
      <c r="C77" s="128" t="str">
        <f>IFERROR(__xludf.DUMMYFUNCTION("""COMPUTED_VALUE"""),"General Member")</f>
        <v>General Member</v>
      </c>
      <c r="D77" s="127" t="str">
        <f>IFERROR(__xludf.DUMMYFUNCTION("""COMPUTED_VALUE"""),"sayed.takey.tajwar@g.bracu.ac.bd")</f>
        <v>sayed.takey.tajwar@g.bracu.ac.bd</v>
      </c>
    </row>
    <row r="78" ht="22.5" customHeight="1">
      <c r="A78" s="127">
        <f>IFERROR(__xludf.DUMMYFUNCTION("""COMPUTED_VALUE"""),2.320117E7)</f>
        <v>23201170</v>
      </c>
      <c r="B78" s="127" t="str">
        <f>IFERROR(__xludf.DUMMYFUNCTION("""COMPUTED_VALUE"""),"Sadik Yasir Mridha")</f>
        <v>Sadik Yasir Mridha</v>
      </c>
      <c r="C78" s="128" t="str">
        <f>IFERROR(__xludf.DUMMYFUNCTION("""COMPUTED_VALUE"""),"General Member")</f>
        <v>General Member</v>
      </c>
      <c r="D78" s="127" t="str">
        <f>IFERROR(__xludf.DUMMYFUNCTION("""COMPUTED_VALUE"""),"sadik.yasir.mridha@g.bracu.ac.bd")</f>
        <v>sadik.yasir.mridha@g.bracu.ac.bd</v>
      </c>
    </row>
    <row r="79" ht="22.5" customHeight="1">
      <c r="A79" s="127">
        <f>IFERROR(__xludf.DUMMYFUNCTION("""COMPUTED_VALUE"""),2.3201144E7)</f>
        <v>23201144</v>
      </c>
      <c r="B79" s="127" t="str">
        <f>IFERROR(__xludf.DUMMYFUNCTION("""COMPUTED_VALUE"""),"Fardin Islam Kabyo")</f>
        <v>Fardin Islam Kabyo</v>
      </c>
      <c r="C79" s="128" t="str">
        <f>IFERROR(__xludf.DUMMYFUNCTION("""COMPUTED_VALUE"""),"General Member")</f>
        <v>General Member</v>
      </c>
      <c r="D79" s="127" t="str">
        <f>IFERROR(__xludf.DUMMYFUNCTION("""COMPUTED_VALUE"""),"fardin.islam.kabyo@g.bracu.ac.bd")</f>
        <v>fardin.islam.kabyo@g.bracu.ac.bd</v>
      </c>
    </row>
    <row r="80" ht="22.5" customHeight="1">
      <c r="A80" s="127">
        <f>IFERROR(__xludf.DUMMYFUNCTION("""COMPUTED_VALUE"""),2.32011E7)</f>
        <v>23201100</v>
      </c>
      <c r="B80" s="127" t="str">
        <f>IFERROR(__xludf.DUMMYFUNCTION("""COMPUTED_VALUE"""),"Md. Shafat Ilham")</f>
        <v>Md. Shafat Ilham</v>
      </c>
      <c r="C80" s="128" t="str">
        <f>IFERROR(__xludf.DUMMYFUNCTION("""COMPUTED_VALUE"""),"General Member")</f>
        <v>General Member</v>
      </c>
      <c r="D80" s="127" t="str">
        <f>IFERROR(__xludf.DUMMYFUNCTION("""COMPUTED_VALUE"""),"md.shafat.ilham@g.bracu.ac.bd")</f>
        <v>md.shafat.ilham@g.bracu.ac.bd</v>
      </c>
    </row>
    <row r="81" ht="22.5" customHeight="1">
      <c r="A81" s="127">
        <f>IFERROR(__xludf.DUMMYFUNCTION("""COMPUTED_VALUE"""),2.3201091E7)</f>
        <v>23201091</v>
      </c>
      <c r="B81" s="127" t="str">
        <f>IFERROR(__xludf.DUMMYFUNCTION("""COMPUTED_VALUE"""),"Noushin Sonon Chandona")</f>
        <v>Noushin Sonon Chandona</v>
      </c>
      <c r="C81" s="128" t="str">
        <f>IFERROR(__xludf.DUMMYFUNCTION("""COMPUTED_VALUE"""),"General Member")</f>
        <v>General Member</v>
      </c>
      <c r="D81" s="127" t="str">
        <f>IFERROR(__xludf.DUMMYFUNCTION("""COMPUTED_VALUE"""),"noushin.sonon.chandona@g.bracu.ac.bd")</f>
        <v>noushin.sonon.chandona@g.bracu.ac.bd</v>
      </c>
    </row>
    <row r="82" ht="22.5" customHeight="1">
      <c r="A82" s="127">
        <f>IFERROR(__xludf.DUMMYFUNCTION("""COMPUTED_VALUE"""),2.3201043E7)</f>
        <v>23201043</v>
      </c>
      <c r="B82" s="127" t="str">
        <f>IFERROR(__xludf.DUMMYFUNCTION("""COMPUTED_VALUE"""),"Afifa Aman Elham")</f>
        <v>Afifa Aman Elham</v>
      </c>
      <c r="C82" s="128" t="str">
        <f>IFERROR(__xludf.DUMMYFUNCTION("""COMPUTED_VALUE"""),"General Member")</f>
        <v>General Member</v>
      </c>
      <c r="D82" s="127" t="str">
        <f>IFERROR(__xludf.DUMMYFUNCTION("""COMPUTED_VALUE"""),"afifa.aman.elham@g.bracu.ac.bd")</f>
        <v>afifa.aman.elham@g.bracu.ac.bd</v>
      </c>
    </row>
    <row r="83" ht="22.5" customHeight="1">
      <c r="A83" s="127">
        <f>IFERROR(__xludf.DUMMYFUNCTION("""COMPUTED_VALUE"""),2.3201032E7)</f>
        <v>23201032</v>
      </c>
      <c r="B83" s="127" t="str">
        <f>IFERROR(__xludf.DUMMYFUNCTION("""COMPUTED_VALUE"""),"Noor Rifat Aronnya")</f>
        <v>Noor Rifat Aronnya</v>
      </c>
      <c r="C83" s="128" t="str">
        <f>IFERROR(__xludf.DUMMYFUNCTION("""COMPUTED_VALUE"""),"General Member")</f>
        <v>General Member</v>
      </c>
      <c r="D83" s="127" t="str">
        <f>IFERROR(__xludf.DUMMYFUNCTION("""COMPUTED_VALUE"""),"noor.rifat.aronnya@g.bracu.ac.bd")</f>
        <v>noor.rifat.aronnya@g.bracu.ac.bd</v>
      </c>
    </row>
    <row r="84" ht="22.5" customHeight="1">
      <c r="A84" s="127">
        <f>IFERROR(__xludf.DUMMYFUNCTION("""COMPUTED_VALUE"""),2.3201029E7)</f>
        <v>23201029</v>
      </c>
      <c r="B84" s="127" t="str">
        <f>IFERROR(__xludf.DUMMYFUNCTION("""COMPUTED_VALUE"""),"Hasnat Zarif")</f>
        <v>Hasnat Zarif</v>
      </c>
      <c r="C84" s="128" t="str">
        <f>IFERROR(__xludf.DUMMYFUNCTION("""COMPUTED_VALUE"""),"General Member")</f>
        <v>General Member</v>
      </c>
      <c r="D84" s="127" t="str">
        <f>IFERROR(__xludf.DUMMYFUNCTION("""COMPUTED_VALUE"""),"hasnat.zarif@g.bracu.ac.bd")</f>
        <v>hasnat.zarif@g.bracu.ac.bd</v>
      </c>
    </row>
    <row r="85" ht="22.5" customHeight="1">
      <c r="A85" s="127">
        <f>IFERROR(__xludf.DUMMYFUNCTION("""COMPUTED_VALUE"""),2.3201024E7)</f>
        <v>23201024</v>
      </c>
      <c r="B85" s="127" t="str">
        <f>IFERROR(__xludf.DUMMYFUNCTION("""COMPUTED_VALUE"""),"Md. Mahfuzul Hoque")</f>
        <v>Md. Mahfuzul Hoque</v>
      </c>
      <c r="C85" s="128" t="str">
        <f>IFERROR(__xludf.DUMMYFUNCTION("""COMPUTED_VALUE"""),"General Member")</f>
        <v>General Member</v>
      </c>
      <c r="D85" s="127" t="str">
        <f>IFERROR(__xludf.DUMMYFUNCTION("""COMPUTED_VALUE"""),"md.mahfuzul.hoque@g.bracu.ac.bd")</f>
        <v>md.mahfuzul.hoque@g.bracu.ac.bd</v>
      </c>
    </row>
    <row r="86" ht="22.5" customHeight="1">
      <c r="A86" s="127">
        <f>IFERROR(__xludf.DUMMYFUNCTION("""COMPUTED_VALUE"""),2.3201012E7)</f>
        <v>23201012</v>
      </c>
      <c r="B86" s="127" t="str">
        <f>IFERROR(__xludf.DUMMYFUNCTION("""COMPUTED_VALUE"""),"Tasnia Binte Ashek")</f>
        <v>Tasnia Binte Ashek</v>
      </c>
      <c r="C86" s="128" t="str">
        <f>IFERROR(__xludf.DUMMYFUNCTION("""COMPUTED_VALUE"""),"General Member")</f>
        <v>General Member</v>
      </c>
      <c r="D86" s="127" t="str">
        <f>IFERROR(__xludf.DUMMYFUNCTION("""COMPUTED_VALUE"""),"tasnia.binte.ashek@g.bracu.ac.bd")</f>
        <v>tasnia.binte.ashek@g.bracu.ac.bd</v>
      </c>
    </row>
    <row r="87" ht="22.5" customHeight="1">
      <c r="A87" s="127">
        <f>IFERROR(__xludf.DUMMYFUNCTION("""COMPUTED_VALUE"""),2.3141023E7)</f>
        <v>23141023</v>
      </c>
      <c r="B87" s="127" t="str">
        <f>IFERROR(__xludf.DUMMYFUNCTION("""COMPUTED_VALUE"""),"Md Roby")</f>
        <v>Md Roby</v>
      </c>
      <c r="C87" s="128" t="str">
        <f>IFERROR(__xludf.DUMMYFUNCTION("""COMPUTED_VALUE"""),"General Member")</f>
        <v>General Member</v>
      </c>
      <c r="D87" s="127" t="str">
        <f>IFERROR(__xludf.DUMMYFUNCTION("""COMPUTED_VALUE"""),"md.roby@g.bracu.ac.bd")</f>
        <v>md.roby@g.bracu.ac.bd</v>
      </c>
    </row>
    <row r="88" ht="22.5" customHeight="1">
      <c r="A88" s="127">
        <f>IFERROR(__xludf.DUMMYFUNCTION("""COMPUTED_VALUE"""),2.3101514E7)</f>
        <v>23101514</v>
      </c>
      <c r="B88" s="127" t="str">
        <f>IFERROR(__xludf.DUMMYFUNCTION("""COMPUTED_VALUE"""),"Shohom Karmaker")</f>
        <v>Shohom Karmaker</v>
      </c>
      <c r="C88" s="128" t="str">
        <f>IFERROR(__xludf.DUMMYFUNCTION("""COMPUTED_VALUE"""),"General Member")</f>
        <v>General Member</v>
      </c>
      <c r="D88" s="127" t="str">
        <f>IFERROR(__xludf.DUMMYFUNCTION("""COMPUTED_VALUE"""),"shohom.karmaker@g.bracu.ac.bd")</f>
        <v>shohom.karmaker@g.bracu.ac.bd</v>
      </c>
    </row>
    <row r="89" ht="22.5" customHeight="1">
      <c r="A89" s="127">
        <f>IFERROR(__xludf.DUMMYFUNCTION("""COMPUTED_VALUE"""),2.3101406E7)</f>
        <v>23101406</v>
      </c>
      <c r="B89" s="127" t="str">
        <f>IFERROR(__xludf.DUMMYFUNCTION("""COMPUTED_VALUE"""),"Sabikun Neha")</f>
        <v>Sabikun Neha</v>
      </c>
      <c r="C89" s="128" t="str">
        <f>IFERROR(__xludf.DUMMYFUNCTION("""COMPUTED_VALUE"""),"General Member")</f>
        <v>General Member</v>
      </c>
      <c r="D89" s="127" t="str">
        <f>IFERROR(__xludf.DUMMYFUNCTION("""COMPUTED_VALUE"""),"sabikun.neha@g.bracu.ac.bd")</f>
        <v>sabikun.neha@g.bracu.ac.bd</v>
      </c>
    </row>
    <row r="90" ht="22.5" customHeight="1">
      <c r="A90" s="127">
        <f>IFERROR(__xludf.DUMMYFUNCTION("""COMPUTED_VALUE"""),2.3101377E7)</f>
        <v>23101377</v>
      </c>
      <c r="B90" s="127" t="str">
        <f>IFERROR(__xludf.DUMMYFUNCTION("""COMPUTED_VALUE"""),"Md.Atiqur Rahman")</f>
        <v>Md.Atiqur Rahman</v>
      </c>
      <c r="C90" s="128" t="str">
        <f>IFERROR(__xludf.DUMMYFUNCTION("""COMPUTED_VALUE"""),"General Member")</f>
        <v>General Member</v>
      </c>
      <c r="D90" s="127" t="str">
        <f>IFERROR(__xludf.DUMMYFUNCTION("""COMPUTED_VALUE"""),"md.atiqur.rahman2@g.bracu.ac.bd")</f>
        <v>md.atiqur.rahman2@g.bracu.ac.bd</v>
      </c>
    </row>
    <row r="91" ht="22.5" customHeight="1">
      <c r="A91" s="127">
        <f>IFERROR(__xludf.DUMMYFUNCTION("""COMPUTED_VALUE"""),2.3101362E7)</f>
        <v>23101362</v>
      </c>
      <c r="B91" s="127" t="str">
        <f>IFERROR(__xludf.DUMMYFUNCTION("""COMPUTED_VALUE"""),"Fahad Islam")</f>
        <v>Fahad Islam</v>
      </c>
      <c r="C91" s="128" t="str">
        <f>IFERROR(__xludf.DUMMYFUNCTION("""COMPUTED_VALUE"""),"General Member")</f>
        <v>General Member</v>
      </c>
      <c r="D91" s="127" t="str">
        <f>IFERROR(__xludf.DUMMYFUNCTION("""COMPUTED_VALUE"""),"fahad.islam1@g.bracu.ac.bd")</f>
        <v>fahad.islam1@g.bracu.ac.bd</v>
      </c>
    </row>
    <row r="92" ht="22.5" customHeight="1">
      <c r="A92" s="127">
        <f>IFERROR(__xludf.DUMMYFUNCTION("""COMPUTED_VALUE"""),2.3101304E7)</f>
        <v>23101304</v>
      </c>
      <c r="B92" s="127" t="str">
        <f>IFERROR(__xludf.DUMMYFUNCTION("""COMPUTED_VALUE"""),"Jannatul Habiba Prova")</f>
        <v>Jannatul Habiba Prova</v>
      </c>
      <c r="C92" s="128" t="str">
        <f>IFERROR(__xludf.DUMMYFUNCTION("""COMPUTED_VALUE"""),"General Member")</f>
        <v>General Member</v>
      </c>
      <c r="D92" s="127" t="str">
        <f>IFERROR(__xludf.DUMMYFUNCTION("""COMPUTED_VALUE"""),"jannatul.habiba.prova@g.bracu.ac.bd")</f>
        <v>jannatul.habiba.prova@g.bracu.ac.bd</v>
      </c>
    </row>
    <row r="93" ht="22.5" customHeight="1">
      <c r="A93" s="127">
        <f>IFERROR(__xludf.DUMMYFUNCTION("""COMPUTED_VALUE"""),2.3101301E7)</f>
        <v>23101301</v>
      </c>
      <c r="B93" s="127" t="str">
        <f>IFERROR(__xludf.DUMMYFUNCTION("""COMPUTED_VALUE"""),"Zubaer Habib Sayham")</f>
        <v>Zubaer Habib Sayham</v>
      </c>
      <c r="C93" s="128" t="str">
        <f>IFERROR(__xludf.DUMMYFUNCTION("""COMPUTED_VALUE"""),"General Member")</f>
        <v>General Member</v>
      </c>
      <c r="D93" s="127" t="str">
        <f>IFERROR(__xludf.DUMMYFUNCTION("""COMPUTED_VALUE"""),"zubaer.habib.sayham@g.bracu.ac.bd")</f>
        <v>zubaer.habib.sayham@g.bracu.ac.bd</v>
      </c>
    </row>
    <row r="94" ht="22.5" customHeight="1">
      <c r="A94" s="127">
        <f>IFERROR(__xludf.DUMMYFUNCTION("""COMPUTED_VALUE"""),2.3101218E7)</f>
        <v>23101218</v>
      </c>
      <c r="B94" s="127" t="str">
        <f>IFERROR(__xludf.DUMMYFUNCTION("""COMPUTED_VALUE"""),"Asifur Rahman Bhuiyan")</f>
        <v>Asifur Rahman Bhuiyan</v>
      </c>
      <c r="C94" s="128" t="str">
        <f>IFERROR(__xludf.DUMMYFUNCTION("""COMPUTED_VALUE"""),"General Member")</f>
        <v>General Member</v>
      </c>
      <c r="D94" s="127" t="str">
        <f>IFERROR(__xludf.DUMMYFUNCTION("""COMPUTED_VALUE"""),"asifur.rahman.bhuiyan@g.bracu.ac.bd")</f>
        <v>asifur.rahman.bhuiyan@g.bracu.ac.bd</v>
      </c>
    </row>
    <row r="95" ht="22.5" customHeight="1">
      <c r="A95" s="127">
        <f>IFERROR(__xludf.DUMMYFUNCTION("""COMPUTED_VALUE"""),2.3101145E7)</f>
        <v>23101145</v>
      </c>
      <c r="B95" s="127" t="str">
        <f>IFERROR(__xludf.DUMMYFUNCTION("""COMPUTED_VALUE"""),"Kaspia Khan Onti")</f>
        <v>Kaspia Khan Onti</v>
      </c>
      <c r="C95" s="128" t="str">
        <f>IFERROR(__xludf.DUMMYFUNCTION("""COMPUTED_VALUE"""),"General Member")</f>
        <v>General Member</v>
      </c>
      <c r="D95" s="127" t="str">
        <f>IFERROR(__xludf.DUMMYFUNCTION("""COMPUTED_VALUE"""),"kaspia.khan.onti@g.bracu.ac.bd")</f>
        <v>kaspia.khan.onti@g.bracu.ac.bd</v>
      </c>
    </row>
    <row r="96" ht="22.5" customHeight="1">
      <c r="A96" s="127">
        <f>IFERROR(__xludf.DUMMYFUNCTION("""COMPUTED_VALUE"""),2.3101125E7)</f>
        <v>23101125</v>
      </c>
      <c r="B96" s="127" t="str">
        <f>IFERROR(__xludf.DUMMYFUNCTION("""COMPUTED_VALUE"""),"Tawfiqur Rahman")</f>
        <v>Tawfiqur Rahman</v>
      </c>
      <c r="C96" s="128" t="str">
        <f>IFERROR(__xludf.DUMMYFUNCTION("""COMPUTED_VALUE"""),"General Member")</f>
        <v>General Member</v>
      </c>
      <c r="D96" s="127" t="str">
        <f>IFERROR(__xludf.DUMMYFUNCTION("""COMPUTED_VALUE"""),"tawfiqur.rahman@g.bracu.ac.bd")</f>
        <v>tawfiqur.rahman@g.bracu.ac.bd</v>
      </c>
    </row>
    <row r="97" ht="22.5" customHeight="1">
      <c r="A97" s="127">
        <f>IFERROR(__xludf.DUMMYFUNCTION("""COMPUTED_VALUE"""),2.3101079E7)</f>
        <v>23101079</v>
      </c>
      <c r="B97" s="127" t="str">
        <f>IFERROR(__xludf.DUMMYFUNCTION("""COMPUTED_VALUE"""),"Kazi Mushfikur Rahaman")</f>
        <v>Kazi Mushfikur Rahaman</v>
      </c>
      <c r="C97" s="128" t="str">
        <f>IFERROR(__xludf.DUMMYFUNCTION("""COMPUTED_VALUE"""),"General Member")</f>
        <v>General Member</v>
      </c>
      <c r="D97" s="127" t="str">
        <f>IFERROR(__xludf.DUMMYFUNCTION("""COMPUTED_VALUE"""),"kazi.mushfikur.rahaman@g.bracu.ac.bd")</f>
        <v>kazi.mushfikur.rahaman@g.bracu.ac.bd</v>
      </c>
    </row>
    <row r="98" ht="22.5" customHeight="1">
      <c r="A98" s="127">
        <f>IFERROR(__xludf.DUMMYFUNCTION("""COMPUTED_VALUE"""),2.3101005E7)</f>
        <v>23101005</v>
      </c>
      <c r="B98" s="127" t="str">
        <f>IFERROR(__xludf.DUMMYFUNCTION("""COMPUTED_VALUE"""),"Rufaida Faruque")</f>
        <v>Rufaida Faruque</v>
      </c>
      <c r="C98" s="128" t="str">
        <f>IFERROR(__xludf.DUMMYFUNCTION("""COMPUTED_VALUE"""),"General Member")</f>
        <v>General Member</v>
      </c>
      <c r="D98" s="127" t="str">
        <f>IFERROR(__xludf.DUMMYFUNCTION("""COMPUTED_VALUE"""),"rufaida.faruque@g.bracu.ac.bd")</f>
        <v>rufaida.faruque@g.bracu.ac.bd</v>
      </c>
    </row>
    <row r="99" ht="22.5" customHeight="1">
      <c r="A99" s="127">
        <f>IFERROR(__xludf.DUMMYFUNCTION("""COMPUTED_VALUE"""),2.2341022E7)</f>
        <v>22341022</v>
      </c>
      <c r="B99" s="127" t="str">
        <f>IFERROR(__xludf.DUMMYFUNCTION("""COMPUTED_VALUE"""),"Shehzad Hakim")</f>
        <v>Shehzad Hakim</v>
      </c>
      <c r="C99" s="128" t="str">
        <f>IFERROR(__xludf.DUMMYFUNCTION("""COMPUTED_VALUE"""),"General Member")</f>
        <v>General Member</v>
      </c>
      <c r="D99" s="127" t="str">
        <f>IFERROR(__xludf.DUMMYFUNCTION("""COMPUTED_VALUE"""),"shehzad.hakim@g.bracu.ac.bd")</f>
        <v>shehzad.hakim@g.bracu.ac.bd</v>
      </c>
    </row>
    <row r="100" ht="22.5" customHeight="1">
      <c r="A100" s="127">
        <f>IFERROR(__xludf.DUMMYFUNCTION("""COMPUTED_VALUE"""),2.2341011E7)</f>
        <v>22341011</v>
      </c>
      <c r="B100" s="127" t="str">
        <f>IFERROR(__xludf.DUMMYFUNCTION("""COMPUTED_VALUE"""),"Meheruba Hasin")</f>
        <v>Meheruba Hasin</v>
      </c>
      <c r="C100" s="128" t="str">
        <f>IFERROR(__xludf.DUMMYFUNCTION("""COMPUTED_VALUE"""),"General Member")</f>
        <v>General Member</v>
      </c>
      <c r="D100" s="127" t="str">
        <f>IFERROR(__xludf.DUMMYFUNCTION("""COMPUTED_VALUE"""),"meheruba.hasin.alif@g.bracu.ac.bd")</f>
        <v>meheruba.hasin.alif@g.bracu.ac.bd</v>
      </c>
    </row>
    <row r="101" ht="22.5" customHeight="1">
      <c r="A101" s="127">
        <f>IFERROR(__xludf.DUMMYFUNCTION("""COMPUTED_VALUE"""),2.2301734E7)</f>
        <v>22301734</v>
      </c>
      <c r="B101" s="127" t="str">
        <f>IFERROR(__xludf.DUMMYFUNCTION("""COMPUTED_VALUE"""),"Afia Labiba")</f>
        <v>Afia Labiba</v>
      </c>
      <c r="C101" s="128" t="str">
        <f>IFERROR(__xludf.DUMMYFUNCTION("""COMPUTED_VALUE"""),"General Member")</f>
        <v>General Member</v>
      </c>
      <c r="D101" s="127" t="str">
        <f>IFERROR(__xludf.DUMMYFUNCTION("""COMPUTED_VALUE"""),"afia.labiba@g.bracu.ac.bd")</f>
        <v>afia.labiba@g.bracu.ac.bd</v>
      </c>
    </row>
    <row r="102" ht="22.5" customHeight="1">
      <c r="A102" s="127">
        <f>IFERROR(__xludf.DUMMYFUNCTION("""COMPUTED_VALUE"""),2.2301674E7)</f>
        <v>22301674</v>
      </c>
      <c r="B102" s="127" t="str">
        <f>IFERROR(__xludf.DUMMYFUNCTION("""COMPUTED_VALUE"""),"Iffat Adury")</f>
        <v>Iffat Adury</v>
      </c>
      <c r="C102" s="128" t="str">
        <f>IFERROR(__xludf.DUMMYFUNCTION("""COMPUTED_VALUE"""),"General Member")</f>
        <v>General Member</v>
      </c>
      <c r="D102" s="127" t="str">
        <f>IFERROR(__xludf.DUMMYFUNCTION("""COMPUTED_VALUE"""),"Iffat.Adury@g.bracu.ac.bd")</f>
        <v>Iffat.Adury@g.bracu.ac.bd</v>
      </c>
    </row>
    <row r="103" ht="22.5" customHeight="1">
      <c r="A103" s="127">
        <f>IFERROR(__xludf.DUMMYFUNCTION("""COMPUTED_VALUE"""),2.2301637E7)</f>
        <v>22301637</v>
      </c>
      <c r="B103" s="127" t="str">
        <f>IFERROR(__xludf.DUMMYFUNCTION("""COMPUTED_VALUE"""),"Mahrufa Binta Ali")</f>
        <v>Mahrufa Binta Ali</v>
      </c>
      <c r="C103" s="128" t="str">
        <f>IFERROR(__xludf.DUMMYFUNCTION("""COMPUTED_VALUE"""),"General Member")</f>
        <v>General Member</v>
      </c>
      <c r="D103" s="127" t="str">
        <f>IFERROR(__xludf.DUMMYFUNCTION("""COMPUTED_VALUE"""),"mahrufa.binta.ali@g.bracu.ac.bd")</f>
        <v>mahrufa.binta.ali@g.bracu.ac.bd</v>
      </c>
    </row>
    <row r="104" ht="22.5" customHeight="1">
      <c r="A104" s="127">
        <f>IFERROR(__xludf.DUMMYFUNCTION("""COMPUTED_VALUE"""),2.2301439E7)</f>
        <v>22301439</v>
      </c>
      <c r="B104" s="127" t="str">
        <f>IFERROR(__xludf.DUMMYFUNCTION("""COMPUTED_VALUE"""),"Sagar Sarker")</f>
        <v>Sagar Sarker</v>
      </c>
      <c r="C104" s="128" t="str">
        <f>IFERROR(__xludf.DUMMYFUNCTION("""COMPUTED_VALUE"""),"General Member")</f>
        <v>General Member</v>
      </c>
      <c r="D104" s="127" t="str">
        <f>IFERROR(__xludf.DUMMYFUNCTION("""COMPUTED_VALUE"""),"sagar.sarker@g.bracu.ac.bd")</f>
        <v>sagar.sarker@g.bracu.ac.bd</v>
      </c>
    </row>
    <row r="105" ht="22.5" customHeight="1">
      <c r="A105" s="127">
        <f>IFERROR(__xludf.DUMMYFUNCTION("""COMPUTED_VALUE"""),2.2301396E7)</f>
        <v>22301396</v>
      </c>
      <c r="B105" s="127" t="str">
        <f>IFERROR(__xludf.DUMMYFUNCTION("""COMPUTED_VALUE"""),"Dipita Tasnim")</f>
        <v>Dipita Tasnim</v>
      </c>
      <c r="C105" s="128" t="str">
        <f>IFERROR(__xludf.DUMMYFUNCTION("""COMPUTED_VALUE"""),"General Member")</f>
        <v>General Member</v>
      </c>
      <c r="D105" s="127" t="str">
        <f>IFERROR(__xludf.DUMMYFUNCTION("""COMPUTED_VALUE"""),"dipita.tasnim@g.bracu.ac.bd")</f>
        <v>dipita.tasnim@g.bracu.ac.bd</v>
      </c>
    </row>
    <row r="106" ht="22.5" customHeight="1">
      <c r="A106" s="127">
        <f>IFERROR(__xludf.DUMMYFUNCTION("""COMPUTED_VALUE"""),2.2301324E7)</f>
        <v>22301324</v>
      </c>
      <c r="B106" s="127" t="str">
        <f>IFERROR(__xludf.DUMMYFUNCTION("""COMPUTED_VALUE"""),"Shamarpa Islam Neesa")</f>
        <v>Shamarpa Islam Neesa</v>
      </c>
      <c r="C106" s="128" t="str">
        <f>IFERROR(__xludf.DUMMYFUNCTION("""COMPUTED_VALUE"""),"General Member")</f>
        <v>General Member</v>
      </c>
      <c r="D106" s="127" t="str">
        <f>IFERROR(__xludf.DUMMYFUNCTION("""COMPUTED_VALUE"""),"shamarpa.islam.neesa@g.bracu.ac.bd")</f>
        <v>shamarpa.islam.neesa@g.bracu.ac.bd</v>
      </c>
    </row>
    <row r="107" ht="22.5" customHeight="1">
      <c r="A107" s="127">
        <f>IFERROR(__xludf.DUMMYFUNCTION("""COMPUTED_VALUE"""),2.2301317E7)</f>
        <v>22301317</v>
      </c>
      <c r="B107" s="127" t="str">
        <f>IFERROR(__xludf.DUMMYFUNCTION("""COMPUTED_VALUE"""),"Ishaq Ahnaf Khan")</f>
        <v>Ishaq Ahnaf Khan</v>
      </c>
      <c r="C107" s="128" t="str">
        <f>IFERROR(__xludf.DUMMYFUNCTION("""COMPUTED_VALUE"""),"General Member")</f>
        <v>General Member</v>
      </c>
      <c r="D107" s="127" t="str">
        <f>IFERROR(__xludf.DUMMYFUNCTION("""COMPUTED_VALUE"""),"ishaq.ahnaf.khan@g.bracu.ac.bd")</f>
        <v>ishaq.ahnaf.khan@g.bracu.ac.bd</v>
      </c>
    </row>
    <row r="108" ht="22.5" customHeight="1">
      <c r="A108" s="127">
        <f>IFERROR(__xludf.DUMMYFUNCTION("""COMPUTED_VALUE"""),2.2301286E7)</f>
        <v>22301286</v>
      </c>
      <c r="B108" s="127" t="str">
        <f>IFERROR(__xludf.DUMMYFUNCTION("""COMPUTED_VALUE"""),"Khandker Touhidul Muntaha")</f>
        <v>Khandker Touhidul Muntaha</v>
      </c>
      <c r="C108" s="128" t="str">
        <f>IFERROR(__xludf.DUMMYFUNCTION("""COMPUTED_VALUE"""),"General Member")</f>
        <v>General Member</v>
      </c>
      <c r="D108" s="127" t="str">
        <f>IFERROR(__xludf.DUMMYFUNCTION("""COMPUTED_VALUE"""),"khandker.touhidul.muntaha1@g.bracu.ac.bd")</f>
        <v>khandker.touhidul.muntaha1@g.bracu.ac.bd</v>
      </c>
    </row>
    <row r="109" ht="22.5" customHeight="1">
      <c r="A109" s="127">
        <f>IFERROR(__xludf.DUMMYFUNCTION("""COMPUTED_VALUE"""),2.2301199E7)</f>
        <v>22301199</v>
      </c>
      <c r="B109" s="127" t="str">
        <f>IFERROR(__xludf.DUMMYFUNCTION("""COMPUTED_VALUE"""),"Mohammed Al Wasee")</f>
        <v>Mohammed Al Wasee</v>
      </c>
      <c r="C109" s="128" t="str">
        <f>IFERROR(__xludf.DUMMYFUNCTION("""COMPUTED_VALUE"""),"General Member")</f>
        <v>General Member</v>
      </c>
      <c r="D109" s="127" t="str">
        <f>IFERROR(__xludf.DUMMYFUNCTION("""COMPUTED_VALUE"""),"mohammed.al.wasee@g.bracu.ac.bd")</f>
        <v>mohammed.al.wasee@g.bracu.ac.bd</v>
      </c>
    </row>
    <row r="110" ht="22.5" customHeight="1">
      <c r="A110" s="127">
        <f>IFERROR(__xludf.DUMMYFUNCTION("""COMPUTED_VALUE"""),2.2301182E7)</f>
        <v>22301182</v>
      </c>
      <c r="B110" s="127" t="str">
        <f>IFERROR(__xludf.DUMMYFUNCTION("""COMPUTED_VALUE"""),"S. M. Ababil Islam")</f>
        <v>S. M. Ababil Islam</v>
      </c>
      <c r="C110" s="128" t="str">
        <f>IFERROR(__xludf.DUMMYFUNCTION("""COMPUTED_VALUE"""),"General Member")</f>
        <v>General Member</v>
      </c>
      <c r="D110" s="127" t="str">
        <f>IFERROR(__xludf.DUMMYFUNCTION("""COMPUTED_VALUE"""),"sm.ababil.islam@g.bracu.ac.bd")</f>
        <v>sm.ababil.islam@g.bracu.ac.bd</v>
      </c>
    </row>
    <row r="111" ht="22.5" customHeight="1">
      <c r="A111" s="127">
        <f>IFERROR(__xludf.DUMMYFUNCTION("""COMPUTED_VALUE"""),2.2301056E7)</f>
        <v>22301056</v>
      </c>
      <c r="B111" s="127" t="str">
        <f>IFERROR(__xludf.DUMMYFUNCTION("""COMPUTED_VALUE"""),"Sadar Ahmed")</f>
        <v>Sadar Ahmed</v>
      </c>
      <c r="C111" s="128" t="str">
        <f>IFERROR(__xludf.DUMMYFUNCTION("""COMPUTED_VALUE"""),"General Member")</f>
        <v>General Member</v>
      </c>
      <c r="D111" s="127" t="str">
        <f>IFERROR(__xludf.DUMMYFUNCTION("""COMPUTED_VALUE"""),"sadar.ahmed@g.bracu.ac.bd")</f>
        <v>sadar.ahmed@g.bracu.ac.bd</v>
      </c>
    </row>
    <row r="112" ht="22.5" customHeight="1">
      <c r="A112" s="127">
        <f>IFERROR(__xludf.DUMMYFUNCTION("""COMPUTED_VALUE"""),2.2301001E7)</f>
        <v>22301001</v>
      </c>
      <c r="B112" s="127" t="str">
        <f>IFERROR(__xludf.DUMMYFUNCTION("""COMPUTED_VALUE"""),"Jotee Sarkar Joy")</f>
        <v>Jotee Sarkar Joy</v>
      </c>
      <c r="C112" s="128" t="str">
        <f>IFERROR(__xludf.DUMMYFUNCTION("""COMPUTED_VALUE"""),"General Member")</f>
        <v>General Member</v>
      </c>
      <c r="D112" s="127" t="str">
        <f>IFERROR(__xludf.DUMMYFUNCTION("""COMPUTED_VALUE"""),"jotee.sarkar.joy@g.bracu.ac.bd")</f>
        <v>jotee.sarkar.joy@g.bracu.ac.bd</v>
      </c>
    </row>
    <row r="113" ht="22.5" customHeight="1">
      <c r="A113" s="127">
        <f>IFERROR(__xludf.DUMMYFUNCTION("""COMPUTED_VALUE"""),2.229947E7)</f>
        <v>22299470</v>
      </c>
      <c r="B113" s="127" t="str">
        <f>IFERROR(__xludf.DUMMYFUNCTION("""COMPUTED_VALUE"""),"Iftekhar Mohammed Aritro")</f>
        <v>Iftekhar Mohammed Aritro</v>
      </c>
      <c r="C113" s="128" t="str">
        <f>IFERROR(__xludf.DUMMYFUNCTION("""COMPUTED_VALUE"""),"General Member")</f>
        <v>General Member</v>
      </c>
      <c r="D113" s="127" t="str">
        <f>IFERROR(__xludf.DUMMYFUNCTION("""COMPUTED_VALUE"""),"iftekhar.mohammed.aritro@g.bracu.ac.bd")</f>
        <v>iftekhar.mohammed.aritro@g.bracu.ac.bd</v>
      </c>
    </row>
    <row r="114" ht="22.5" customHeight="1">
      <c r="A114" s="127">
        <f>IFERROR(__xludf.DUMMYFUNCTION("""COMPUTED_VALUE"""),2.2299296E7)</f>
        <v>22299296</v>
      </c>
      <c r="B114" s="127" t="str">
        <f>IFERROR(__xludf.DUMMYFUNCTION("""COMPUTED_VALUE"""),"Raihan Karim")</f>
        <v>Raihan Karim</v>
      </c>
      <c r="C114" s="128" t="str">
        <f>IFERROR(__xludf.DUMMYFUNCTION("""COMPUTED_VALUE"""),"General Member")</f>
        <v>General Member</v>
      </c>
      <c r="D114" s="127" t="str">
        <f>IFERROR(__xludf.DUMMYFUNCTION("""COMPUTED_VALUE"""),"raihan.karim@g.bracu.ac.bd")</f>
        <v>raihan.karim@g.bracu.ac.bd</v>
      </c>
    </row>
    <row r="115" ht="22.5" customHeight="1">
      <c r="A115" s="127">
        <f>IFERROR(__xludf.DUMMYFUNCTION("""COMPUTED_VALUE"""),2.2299273E7)</f>
        <v>22299273</v>
      </c>
      <c r="B115" s="127" t="str">
        <f>IFERROR(__xludf.DUMMYFUNCTION("""COMPUTED_VALUE"""),"Zaber Mahmud")</f>
        <v>Zaber Mahmud</v>
      </c>
      <c r="C115" s="128" t="str">
        <f>IFERROR(__xludf.DUMMYFUNCTION("""COMPUTED_VALUE"""),"General Member")</f>
        <v>General Member</v>
      </c>
      <c r="D115" s="127" t="str">
        <f>IFERROR(__xludf.DUMMYFUNCTION("""COMPUTED_VALUE"""),"zaber.mahmud@g.bracu.ac.bd")</f>
        <v>zaber.mahmud@g.bracu.ac.bd</v>
      </c>
    </row>
    <row r="116" ht="22.5" customHeight="1">
      <c r="A116" s="127">
        <f>IFERROR(__xludf.DUMMYFUNCTION("""COMPUTED_VALUE"""),2.2299229E7)</f>
        <v>22299229</v>
      </c>
      <c r="B116" s="127" t="str">
        <f>IFERROR(__xludf.DUMMYFUNCTION("""COMPUTED_VALUE"""),"Anika Rashid")</f>
        <v>Anika Rashid</v>
      </c>
      <c r="C116" s="128" t="str">
        <f>IFERROR(__xludf.DUMMYFUNCTION("""COMPUTED_VALUE"""),"General Member")</f>
        <v>General Member</v>
      </c>
      <c r="D116" s="127" t="str">
        <f>IFERROR(__xludf.DUMMYFUNCTION("""COMPUTED_VALUE"""),"anika.rashid@g.bracu.ac.bd")</f>
        <v>anika.rashid@g.bracu.ac.bd</v>
      </c>
    </row>
    <row r="117" ht="22.5" customHeight="1">
      <c r="A117" s="127">
        <f>IFERROR(__xludf.DUMMYFUNCTION("""COMPUTED_VALUE"""),2.2299166E7)</f>
        <v>22299166</v>
      </c>
      <c r="B117" s="127" t="str">
        <f>IFERROR(__xludf.DUMMYFUNCTION("""COMPUTED_VALUE"""),"Fariha Binta Salim")</f>
        <v>Fariha Binta Salim</v>
      </c>
      <c r="C117" s="128" t="str">
        <f>IFERROR(__xludf.DUMMYFUNCTION("""COMPUTED_VALUE"""),"General Member")</f>
        <v>General Member</v>
      </c>
      <c r="D117" s="127" t="str">
        <f>IFERROR(__xludf.DUMMYFUNCTION("""COMPUTED_VALUE"""),"fariha.binta.salim@g.bracu.ac.bd")</f>
        <v>fariha.binta.salim@g.bracu.ac.bd</v>
      </c>
    </row>
    <row r="118" ht="22.5" customHeight="1">
      <c r="A118" s="127">
        <f>IFERROR(__xludf.DUMMYFUNCTION("""COMPUTED_VALUE"""),2.2299137E7)</f>
        <v>22299137</v>
      </c>
      <c r="B118" s="127" t="str">
        <f>IFERROR(__xludf.DUMMYFUNCTION("""COMPUTED_VALUE"""),"Mehrab Sanjeed")</f>
        <v>Mehrab Sanjeed</v>
      </c>
      <c r="C118" s="128" t="str">
        <f>IFERROR(__xludf.DUMMYFUNCTION("""COMPUTED_VALUE"""),"General Member")</f>
        <v>General Member</v>
      </c>
      <c r="D118" s="127" t="str">
        <f>IFERROR(__xludf.DUMMYFUNCTION("""COMPUTED_VALUE"""),"mehrab.sanjeed@g.bracu.ac.bd")</f>
        <v>mehrab.sanjeed@g.bracu.ac.bd</v>
      </c>
    </row>
    <row r="119" ht="22.5" customHeight="1">
      <c r="A119" s="127">
        <f>IFERROR(__xludf.DUMMYFUNCTION("""COMPUTED_VALUE"""),2.2299062E7)</f>
        <v>22299062</v>
      </c>
      <c r="B119" s="127" t="str">
        <f>IFERROR(__xludf.DUMMYFUNCTION("""COMPUTED_VALUE"""),"Arpita Ahsan")</f>
        <v>Arpita Ahsan</v>
      </c>
      <c r="C119" s="128" t="str">
        <f>IFERROR(__xludf.DUMMYFUNCTION("""COMPUTED_VALUE"""),"General Member")</f>
        <v>General Member</v>
      </c>
      <c r="D119" s="127" t="str">
        <f>IFERROR(__xludf.DUMMYFUNCTION("""COMPUTED_VALUE"""),"arpita.ahsan@g.bracu.ac.bd")</f>
        <v>arpita.ahsan@g.bracu.ac.bd</v>
      </c>
    </row>
    <row r="120" ht="22.5" customHeight="1">
      <c r="A120" s="127">
        <f>IFERROR(__xludf.DUMMYFUNCTION("""COMPUTED_VALUE"""),2.2299046E7)</f>
        <v>22299046</v>
      </c>
      <c r="B120" s="127" t="str">
        <f>IFERROR(__xludf.DUMMYFUNCTION("""COMPUTED_VALUE"""),"Abir Dey")</f>
        <v>Abir Dey</v>
      </c>
      <c r="C120" s="128" t="str">
        <f>IFERROR(__xludf.DUMMYFUNCTION("""COMPUTED_VALUE"""),"General Member")</f>
        <v>General Member</v>
      </c>
      <c r="D120" s="127" t="str">
        <f>IFERROR(__xludf.DUMMYFUNCTION("""COMPUTED_VALUE"""),"abir.dey@g.bracu.ac.bd")</f>
        <v>abir.dey@g.bracu.ac.bd</v>
      </c>
    </row>
    <row r="121" ht="22.5" customHeight="1">
      <c r="A121" s="127">
        <f>IFERROR(__xludf.DUMMYFUNCTION("""COMPUTED_VALUE"""),2.229904E7)</f>
        <v>22299040</v>
      </c>
      <c r="B121" s="127" t="str">
        <f>IFERROR(__xludf.DUMMYFUNCTION("""COMPUTED_VALUE"""),"Md Asiful Hasan")</f>
        <v>Md Asiful Hasan</v>
      </c>
      <c r="C121" s="128" t="str">
        <f>IFERROR(__xludf.DUMMYFUNCTION("""COMPUTED_VALUE"""),"General Member")</f>
        <v>General Member</v>
      </c>
      <c r="D121" s="127" t="str">
        <f>IFERROR(__xludf.DUMMYFUNCTION("""COMPUTED_VALUE"""),"md.asiful.hasan@g.bracu.ac.bd")</f>
        <v>md.asiful.hasan@g.bracu.ac.bd</v>
      </c>
    </row>
    <row r="122" ht="22.5" customHeight="1">
      <c r="A122" s="127">
        <f>IFERROR(__xludf.DUMMYFUNCTION("""COMPUTED_VALUE"""),2.2299034E7)</f>
        <v>22299034</v>
      </c>
      <c r="B122" s="127" t="str">
        <f>IFERROR(__xludf.DUMMYFUNCTION("""COMPUTED_VALUE"""),"Sifat Alam")</f>
        <v>Sifat Alam</v>
      </c>
      <c r="C122" s="128" t="str">
        <f>IFERROR(__xludf.DUMMYFUNCTION("""COMPUTED_VALUE"""),"General Member")</f>
        <v>General Member</v>
      </c>
      <c r="D122" s="127" t="str">
        <f>IFERROR(__xludf.DUMMYFUNCTION("""COMPUTED_VALUE"""),"sifat.alam@g.bracu.ac.bd")</f>
        <v>sifat.alam@g.bracu.ac.bd</v>
      </c>
    </row>
    <row r="123" ht="22.5" customHeight="1">
      <c r="A123" s="127">
        <f>IFERROR(__xludf.DUMMYFUNCTION("""COMPUTED_VALUE"""),2.2299028E7)</f>
        <v>22299028</v>
      </c>
      <c r="B123" s="127" t="str">
        <f>IFERROR(__xludf.DUMMYFUNCTION("""COMPUTED_VALUE"""),"Nuzhat Tahsin")</f>
        <v>Nuzhat Tahsin</v>
      </c>
      <c r="C123" s="128" t="str">
        <f>IFERROR(__xludf.DUMMYFUNCTION("""COMPUTED_VALUE"""),"General Member")</f>
        <v>General Member</v>
      </c>
      <c r="D123" s="127" t="str">
        <f>IFERROR(__xludf.DUMMYFUNCTION("""COMPUTED_VALUE"""),"nuzhat.tahsin1@g.bracu.ac.bd")</f>
        <v>nuzhat.tahsin1@g.bracu.ac.bd</v>
      </c>
    </row>
    <row r="124" ht="22.5" customHeight="1">
      <c r="A124" s="127">
        <f>IFERROR(__xludf.DUMMYFUNCTION("""COMPUTED_VALUE"""),2.2299005E7)</f>
        <v>22299005</v>
      </c>
      <c r="B124" s="127" t="str">
        <f>IFERROR(__xludf.DUMMYFUNCTION("""COMPUTED_VALUE"""),"Arafat Haque Biswas")</f>
        <v>Arafat Haque Biswas</v>
      </c>
      <c r="C124" s="128" t="str">
        <f>IFERROR(__xludf.DUMMYFUNCTION("""COMPUTED_VALUE"""),"General Member")</f>
        <v>General Member</v>
      </c>
      <c r="D124" s="127" t="str">
        <f>IFERROR(__xludf.DUMMYFUNCTION("""COMPUTED_VALUE"""),"arafat.haque.biswas@g.bracu.ac.bd")</f>
        <v>arafat.haque.biswas@g.bracu.ac.bd</v>
      </c>
    </row>
    <row r="125" ht="22.5" customHeight="1">
      <c r="A125" s="127">
        <f>IFERROR(__xludf.DUMMYFUNCTION("""COMPUTED_VALUE"""),2.2241062E7)</f>
        <v>22241062</v>
      </c>
      <c r="B125" s="127" t="str">
        <f>IFERROR(__xludf.DUMMYFUNCTION("""COMPUTED_VALUE"""),"Mir Masroor Ahmed")</f>
        <v>Mir Masroor Ahmed</v>
      </c>
      <c r="C125" s="128" t="str">
        <f>IFERROR(__xludf.DUMMYFUNCTION("""COMPUTED_VALUE"""),"General Member")</f>
        <v>General Member</v>
      </c>
      <c r="D125" s="127" t="str">
        <f>IFERROR(__xludf.DUMMYFUNCTION("""COMPUTED_VALUE"""),"mir.masroor.ahmed@g.bracu.ac.bd")</f>
        <v>mir.masroor.ahmed@g.bracu.ac.bd</v>
      </c>
    </row>
    <row r="126" ht="22.5" customHeight="1">
      <c r="A126" s="127">
        <f>IFERROR(__xludf.DUMMYFUNCTION("""COMPUTED_VALUE"""),2.224101E7)</f>
        <v>22241010</v>
      </c>
      <c r="B126" s="127" t="str">
        <f>IFERROR(__xludf.DUMMYFUNCTION("""COMPUTED_VALUE"""),"Sultan Wasee Uddin Sun")</f>
        <v>Sultan Wasee Uddin Sun</v>
      </c>
      <c r="C126" s="128" t="str">
        <f>IFERROR(__xludf.DUMMYFUNCTION("""COMPUTED_VALUE"""),"General Member")</f>
        <v>General Member</v>
      </c>
      <c r="D126" s="127" t="str">
        <f>IFERROR(__xludf.DUMMYFUNCTION("""COMPUTED_VALUE"""),"wasee.uddin.sun@g.bracu.ac.bd")</f>
        <v>wasee.uddin.sun@g.bracu.ac.bd</v>
      </c>
    </row>
    <row r="127" ht="22.5" customHeight="1">
      <c r="A127" s="127">
        <f>IFERROR(__xludf.DUMMYFUNCTION("""COMPUTED_VALUE"""),2.2221213E7)</f>
        <v>22221213</v>
      </c>
      <c r="B127" s="127" t="str">
        <f>IFERROR(__xludf.DUMMYFUNCTION("""COMPUTED_VALUE"""),"T. M. Anoy Mazumder")</f>
        <v>T. M. Anoy Mazumder</v>
      </c>
      <c r="C127" s="128" t="str">
        <f>IFERROR(__xludf.DUMMYFUNCTION("""COMPUTED_VALUE"""),"General Member")</f>
        <v>General Member</v>
      </c>
      <c r="D127" s="127" t="str">
        <f>IFERROR(__xludf.DUMMYFUNCTION("""COMPUTED_VALUE"""),"tm.anoy.mazumder@g.bracu.ac.bd")</f>
        <v>tm.anoy.mazumder@g.bracu.ac.bd</v>
      </c>
    </row>
    <row r="128" ht="22.5" customHeight="1">
      <c r="A128" s="127">
        <f>IFERROR(__xludf.DUMMYFUNCTION("""COMPUTED_VALUE"""),2.2221209E7)</f>
        <v>22221209</v>
      </c>
      <c r="B128" s="127" t="str">
        <f>IFERROR(__xludf.DUMMYFUNCTION("""COMPUTED_VALUE"""),"Zobeida Zaman Chowdhury")</f>
        <v>Zobeida Zaman Chowdhury</v>
      </c>
      <c r="C128" s="128" t="str">
        <f>IFERROR(__xludf.DUMMYFUNCTION("""COMPUTED_VALUE"""),"General Member")</f>
        <v>General Member</v>
      </c>
      <c r="D128" s="127" t="str">
        <f>IFERROR(__xludf.DUMMYFUNCTION("""COMPUTED_VALUE"""),"zobeida.zaman.chowdhury@g.bracu.ac.bd")</f>
        <v>zobeida.zaman.chowdhury@g.bracu.ac.bd</v>
      </c>
    </row>
    <row r="129" ht="22.5" customHeight="1">
      <c r="A129" s="127">
        <f>IFERROR(__xludf.DUMMYFUNCTION("""COMPUTED_VALUE"""),2.2201937E7)</f>
        <v>22201937</v>
      </c>
      <c r="B129" s="127" t="str">
        <f>IFERROR(__xludf.DUMMYFUNCTION("""COMPUTED_VALUE"""),"Chowdhury Sayeb Islam")</f>
        <v>Chowdhury Sayeb Islam</v>
      </c>
      <c r="C129" s="128" t="str">
        <f>IFERROR(__xludf.DUMMYFUNCTION("""COMPUTED_VALUE"""),"General Member")</f>
        <v>General Member</v>
      </c>
      <c r="D129" s="127" t="str">
        <f>IFERROR(__xludf.DUMMYFUNCTION("""COMPUTED_VALUE"""),"chowdhury.sayeb.islam@g.bracu.ac.bd")</f>
        <v>chowdhury.sayeb.islam@g.bracu.ac.bd</v>
      </c>
    </row>
    <row r="130" ht="22.5" customHeight="1">
      <c r="A130" s="127">
        <f>IFERROR(__xludf.DUMMYFUNCTION("""COMPUTED_VALUE"""),2.2201793E7)</f>
        <v>22201793</v>
      </c>
      <c r="B130" s="127" t="str">
        <f>IFERROR(__xludf.DUMMYFUNCTION("""COMPUTED_VALUE"""),"Shajeeah Juwairiya")</f>
        <v>Shajeeah Juwairiya</v>
      </c>
      <c r="C130" s="128" t="str">
        <f>IFERROR(__xludf.DUMMYFUNCTION("""COMPUTED_VALUE"""),"General Member")</f>
        <v>General Member</v>
      </c>
      <c r="D130" s="127" t="str">
        <f>IFERROR(__xludf.DUMMYFUNCTION("""COMPUTED_VALUE"""),"shajeeah.juwairiya@g.bracu.ac.bd")</f>
        <v>shajeeah.juwairiya@g.bracu.ac.bd</v>
      </c>
    </row>
    <row r="131" ht="22.5" customHeight="1">
      <c r="A131" s="127">
        <f>IFERROR(__xludf.DUMMYFUNCTION("""COMPUTED_VALUE"""),2.220176E7)</f>
        <v>22201760</v>
      </c>
      <c r="B131" s="127" t="str">
        <f>IFERROR(__xludf.DUMMYFUNCTION("""COMPUTED_VALUE"""),"Mahdi Hasan Meem")</f>
        <v>Mahdi Hasan Meem</v>
      </c>
      <c r="C131" s="128" t="str">
        <f>IFERROR(__xludf.DUMMYFUNCTION("""COMPUTED_VALUE"""),"General Member")</f>
        <v>General Member</v>
      </c>
      <c r="D131" s="127" t="str">
        <f>IFERROR(__xludf.DUMMYFUNCTION("""COMPUTED_VALUE"""),"mahdi.hasan.meem@g.bracu.ac.bd")</f>
        <v>mahdi.hasan.meem@g.bracu.ac.bd</v>
      </c>
    </row>
    <row r="132" ht="22.5" customHeight="1">
      <c r="A132" s="127">
        <f>IFERROR(__xludf.DUMMYFUNCTION("""COMPUTED_VALUE"""),2.2201723E7)</f>
        <v>22201723</v>
      </c>
      <c r="B132" s="127" t="str">
        <f>IFERROR(__xludf.DUMMYFUNCTION("""COMPUTED_VALUE"""),"Lazin Shimran")</f>
        <v>Lazin Shimran</v>
      </c>
      <c r="C132" s="128" t="str">
        <f>IFERROR(__xludf.DUMMYFUNCTION("""COMPUTED_VALUE"""),"General Member")</f>
        <v>General Member</v>
      </c>
      <c r="D132" s="127" t="str">
        <f>IFERROR(__xludf.DUMMYFUNCTION("""COMPUTED_VALUE"""),"lazin.shimran@g.bracu.ac.bd")</f>
        <v>lazin.shimran@g.bracu.ac.bd</v>
      </c>
    </row>
    <row r="133" ht="22.5" customHeight="1">
      <c r="A133" s="127">
        <f>IFERROR(__xludf.DUMMYFUNCTION("""COMPUTED_VALUE"""),2.220172E7)</f>
        <v>22201720</v>
      </c>
      <c r="B133" s="127" t="str">
        <f>IFERROR(__xludf.DUMMYFUNCTION("""COMPUTED_VALUE"""),"Tahmeed Ishmam")</f>
        <v>Tahmeed Ishmam</v>
      </c>
      <c r="C133" s="128" t="str">
        <f>IFERROR(__xludf.DUMMYFUNCTION("""COMPUTED_VALUE"""),"General Member")</f>
        <v>General Member</v>
      </c>
      <c r="D133" s="127" t="str">
        <f>IFERROR(__xludf.DUMMYFUNCTION("""COMPUTED_VALUE"""),"tahmeed.ishmam.khan@g.bracu.ac.bd")</f>
        <v>tahmeed.ishmam.khan@g.bracu.ac.bd</v>
      </c>
    </row>
    <row r="134" ht="22.5" customHeight="1">
      <c r="A134" s="127">
        <f>IFERROR(__xludf.DUMMYFUNCTION("""COMPUTED_VALUE"""),2.2201664E7)</f>
        <v>22201664</v>
      </c>
      <c r="B134" s="127" t="str">
        <f>IFERROR(__xludf.DUMMYFUNCTION("""COMPUTED_VALUE"""),"Farhan Haque Shakib")</f>
        <v>Farhan Haque Shakib</v>
      </c>
      <c r="C134" s="128" t="str">
        <f>IFERROR(__xludf.DUMMYFUNCTION("""COMPUTED_VALUE"""),"General Member")</f>
        <v>General Member</v>
      </c>
      <c r="D134" s="127" t="str">
        <f>IFERROR(__xludf.DUMMYFUNCTION("""COMPUTED_VALUE"""),"farhan.haque.shakib@g.bracu.ac.bd")</f>
        <v>farhan.haque.shakib@g.bracu.ac.bd</v>
      </c>
    </row>
    <row r="135" ht="22.5" customHeight="1">
      <c r="A135" s="127">
        <f>IFERROR(__xludf.DUMMYFUNCTION("""COMPUTED_VALUE"""),2.2201662E7)</f>
        <v>22201662</v>
      </c>
      <c r="B135" s="127" t="str">
        <f>IFERROR(__xludf.DUMMYFUNCTION("""COMPUTED_VALUE"""),"Radial Rahman")</f>
        <v>Radial Rahman</v>
      </c>
      <c r="C135" s="128" t="str">
        <f>IFERROR(__xludf.DUMMYFUNCTION("""COMPUTED_VALUE"""),"General Member")</f>
        <v>General Member</v>
      </c>
      <c r="D135" s="127" t="str">
        <f>IFERROR(__xludf.DUMMYFUNCTION("""COMPUTED_VALUE"""),"radial.rahman@g.bracu.ac.bd")</f>
        <v>radial.rahman@g.bracu.ac.bd</v>
      </c>
    </row>
    <row r="136" ht="22.5" customHeight="1">
      <c r="A136" s="127">
        <f>IFERROR(__xludf.DUMMYFUNCTION("""COMPUTED_VALUE"""),2.2201643E7)</f>
        <v>22201643</v>
      </c>
      <c r="B136" s="127" t="str">
        <f>IFERROR(__xludf.DUMMYFUNCTION("""COMPUTED_VALUE"""),"Refath Hossain")</f>
        <v>Refath Hossain</v>
      </c>
      <c r="C136" s="128" t="str">
        <f>IFERROR(__xludf.DUMMYFUNCTION("""COMPUTED_VALUE"""),"General Member")</f>
        <v>General Member</v>
      </c>
      <c r="D136" s="127" t="str">
        <f>IFERROR(__xludf.DUMMYFUNCTION("""COMPUTED_VALUE"""),"md.refath.hossain@g.bracu.ac.bd")</f>
        <v>md.refath.hossain@g.bracu.ac.bd</v>
      </c>
    </row>
    <row r="137" ht="22.5" customHeight="1">
      <c r="A137" s="127">
        <f>IFERROR(__xludf.DUMMYFUNCTION("""COMPUTED_VALUE"""),2.2201601E7)</f>
        <v>22201601</v>
      </c>
      <c r="B137" s="127" t="str">
        <f>IFERROR(__xludf.DUMMYFUNCTION("""COMPUTED_VALUE"""),"Badhon Nandi")</f>
        <v>Badhon Nandi</v>
      </c>
      <c r="C137" s="128" t="str">
        <f>IFERROR(__xludf.DUMMYFUNCTION("""COMPUTED_VALUE"""),"General Member")</f>
        <v>General Member</v>
      </c>
      <c r="D137" s="127" t="str">
        <f>IFERROR(__xludf.DUMMYFUNCTION("""COMPUTED_VALUE"""),"badhon.nandi@g.bracu.ac.bd")</f>
        <v>badhon.nandi@g.bracu.ac.bd</v>
      </c>
    </row>
    <row r="138" ht="22.5" customHeight="1">
      <c r="A138" s="127">
        <f>IFERROR(__xludf.DUMMYFUNCTION("""COMPUTED_VALUE"""),2.2201564E7)</f>
        <v>22201564</v>
      </c>
      <c r="B138" s="127" t="str">
        <f>IFERROR(__xludf.DUMMYFUNCTION("""COMPUTED_VALUE"""),"Mohammad Bin Kamal (Siam)")</f>
        <v>Mohammad Bin Kamal (Siam)</v>
      </c>
      <c r="C138" s="128" t="str">
        <f>IFERROR(__xludf.DUMMYFUNCTION("""COMPUTED_VALUE"""),"General Member")</f>
        <v>General Member</v>
      </c>
      <c r="D138" s="127" t="str">
        <f>IFERROR(__xludf.DUMMYFUNCTION("""COMPUTED_VALUE"""),"mohammad.bin.kamal@g.bracu.ac.bd")</f>
        <v>mohammad.bin.kamal@g.bracu.ac.bd</v>
      </c>
    </row>
    <row r="139" ht="22.5" customHeight="1">
      <c r="A139" s="127">
        <f>IFERROR(__xludf.DUMMYFUNCTION("""COMPUTED_VALUE"""),2.2201499E7)</f>
        <v>22201499</v>
      </c>
      <c r="B139" s="127" t="str">
        <f>IFERROR(__xludf.DUMMYFUNCTION("""COMPUTED_VALUE"""),"Avijit Dutta Utso")</f>
        <v>Avijit Dutta Utso</v>
      </c>
      <c r="C139" s="128" t="str">
        <f>IFERROR(__xludf.DUMMYFUNCTION("""COMPUTED_VALUE"""),"General Member")</f>
        <v>General Member</v>
      </c>
      <c r="D139" s="127" t="str">
        <f>IFERROR(__xludf.DUMMYFUNCTION("""COMPUTED_VALUE"""),"avijit.dutta.utso@g.bracu.ac.bd")</f>
        <v>avijit.dutta.utso@g.bracu.ac.bd</v>
      </c>
    </row>
    <row r="140" ht="22.5" customHeight="1">
      <c r="A140" s="127">
        <f>IFERROR(__xludf.DUMMYFUNCTION("""COMPUTED_VALUE"""),2.2201492E7)</f>
        <v>22201492</v>
      </c>
      <c r="B140" s="127" t="str">
        <f>IFERROR(__xludf.DUMMYFUNCTION("""COMPUTED_VALUE"""),"Munazza Binte Rafiq")</f>
        <v>Munazza Binte Rafiq</v>
      </c>
      <c r="C140" s="128" t="str">
        <f>IFERROR(__xludf.DUMMYFUNCTION("""COMPUTED_VALUE"""),"General Member")</f>
        <v>General Member</v>
      </c>
      <c r="D140" s="127" t="str">
        <f>IFERROR(__xludf.DUMMYFUNCTION("""COMPUTED_VALUE"""),"munazza.binte.rafiq@g.bracu.ac.bd")</f>
        <v>munazza.binte.rafiq@g.bracu.ac.bd</v>
      </c>
    </row>
    <row r="141" ht="22.5" customHeight="1">
      <c r="A141" s="127">
        <f>IFERROR(__xludf.DUMMYFUNCTION("""COMPUTED_VALUE"""),2.2201479E7)</f>
        <v>22201479</v>
      </c>
      <c r="B141" s="127" t="str">
        <f>IFERROR(__xludf.DUMMYFUNCTION("""COMPUTED_VALUE"""),"Tanzima Binte Delowar")</f>
        <v>Tanzima Binte Delowar</v>
      </c>
      <c r="C141" s="128" t="str">
        <f>IFERROR(__xludf.DUMMYFUNCTION("""COMPUTED_VALUE"""),"General Member")</f>
        <v>General Member</v>
      </c>
      <c r="D141" s="127" t="str">
        <f>IFERROR(__xludf.DUMMYFUNCTION("""COMPUTED_VALUE"""),"tanzima.binte.delowar@g.bracu.ac.bd")</f>
        <v>tanzima.binte.delowar@g.bracu.ac.bd</v>
      </c>
    </row>
    <row r="142" ht="22.5" customHeight="1">
      <c r="A142" s="127">
        <f>IFERROR(__xludf.DUMMYFUNCTION("""COMPUTED_VALUE"""),2.2201473E7)</f>
        <v>22201473</v>
      </c>
      <c r="B142" s="127" t="str">
        <f>IFERROR(__xludf.DUMMYFUNCTION("""COMPUTED_VALUE"""),"Tahira Binte Amin")</f>
        <v>Tahira Binte Amin</v>
      </c>
      <c r="C142" s="128" t="str">
        <f>IFERROR(__xludf.DUMMYFUNCTION("""COMPUTED_VALUE"""),"General Member")</f>
        <v>General Member</v>
      </c>
      <c r="D142" s="127" t="str">
        <f>IFERROR(__xludf.DUMMYFUNCTION("""COMPUTED_VALUE"""),"tahira.binte.amin@g.bracu.ac.bd")</f>
        <v>tahira.binte.amin@g.bracu.ac.bd</v>
      </c>
    </row>
    <row r="143" ht="22.5" customHeight="1">
      <c r="A143" s="127">
        <f>IFERROR(__xludf.DUMMYFUNCTION("""COMPUTED_VALUE"""),2.2201454E7)</f>
        <v>22201454</v>
      </c>
      <c r="B143" s="127" t="str">
        <f>IFERROR(__xludf.DUMMYFUNCTION("""COMPUTED_VALUE"""),"Suhana Ahmed")</f>
        <v>Suhana Ahmed</v>
      </c>
      <c r="C143" s="128" t="str">
        <f>IFERROR(__xludf.DUMMYFUNCTION("""COMPUTED_VALUE"""),"General Member")</f>
        <v>General Member</v>
      </c>
      <c r="D143" s="127" t="str">
        <f>IFERROR(__xludf.DUMMYFUNCTION("""COMPUTED_VALUE"""),"suhana.ahmed@g.bracu.ac.bd")</f>
        <v>suhana.ahmed@g.bracu.ac.bd</v>
      </c>
    </row>
    <row r="144" ht="22.5" customHeight="1">
      <c r="A144" s="127">
        <f>IFERROR(__xludf.DUMMYFUNCTION("""COMPUTED_VALUE"""),2.220142E7)</f>
        <v>22201420</v>
      </c>
      <c r="B144" s="127" t="str">
        <f>IFERROR(__xludf.DUMMYFUNCTION("""COMPUTED_VALUE"""),"Md. Abir Hasan Piash")</f>
        <v>Md. Abir Hasan Piash</v>
      </c>
      <c r="C144" s="128" t="str">
        <f>IFERROR(__xludf.DUMMYFUNCTION("""COMPUTED_VALUE"""),"General Member")</f>
        <v>General Member</v>
      </c>
      <c r="D144" s="127" t="str">
        <f>IFERROR(__xludf.DUMMYFUNCTION("""COMPUTED_VALUE"""),"abir.hasan.piash@g.bracu.ac.bd")</f>
        <v>abir.hasan.piash@g.bracu.ac.bd</v>
      </c>
    </row>
    <row r="145" ht="22.5" customHeight="1">
      <c r="A145" s="127">
        <f>IFERROR(__xludf.DUMMYFUNCTION("""COMPUTED_VALUE"""),2.2201265E7)</f>
        <v>22201265</v>
      </c>
      <c r="B145" s="127" t="str">
        <f>IFERROR(__xludf.DUMMYFUNCTION("""COMPUTED_VALUE"""),"Shahriar Khandoker")</f>
        <v>Shahriar Khandoker</v>
      </c>
      <c r="C145" s="128" t="str">
        <f>IFERROR(__xludf.DUMMYFUNCTION("""COMPUTED_VALUE"""),"General Member")</f>
        <v>General Member</v>
      </c>
      <c r="D145" s="127" t="str">
        <f>IFERROR(__xludf.DUMMYFUNCTION("""COMPUTED_VALUE"""),"shahriar.khandoker@g.bracu.ac.bd")</f>
        <v>shahriar.khandoker@g.bracu.ac.bd</v>
      </c>
    </row>
    <row r="146" ht="22.5" customHeight="1">
      <c r="A146" s="127">
        <f>IFERROR(__xludf.DUMMYFUNCTION("""COMPUTED_VALUE"""),2.2201191E7)</f>
        <v>22201191</v>
      </c>
      <c r="B146" s="127" t="str">
        <f>IFERROR(__xludf.DUMMYFUNCTION("""COMPUTED_VALUE"""),"Namira Abrar Haque")</f>
        <v>Namira Abrar Haque</v>
      </c>
      <c r="C146" s="128" t="str">
        <f>IFERROR(__xludf.DUMMYFUNCTION("""COMPUTED_VALUE"""),"General Member")</f>
        <v>General Member</v>
      </c>
      <c r="D146" s="127" t="str">
        <f>IFERROR(__xludf.DUMMYFUNCTION("""COMPUTED_VALUE"""),"namira.abrar.haque@g.bracu.ac.bd")</f>
        <v>namira.abrar.haque@g.bracu.ac.bd</v>
      </c>
    </row>
    <row r="147" ht="22.5" customHeight="1">
      <c r="A147" s="127">
        <f>IFERROR(__xludf.DUMMYFUNCTION("""COMPUTED_VALUE"""),2.2201189E7)</f>
        <v>22201189</v>
      </c>
      <c r="B147" s="127" t="str">
        <f>IFERROR(__xludf.DUMMYFUNCTION("""COMPUTED_VALUE"""),"Muntakim Rahman Tanim")</f>
        <v>Muntakim Rahman Tanim</v>
      </c>
      <c r="C147" s="128" t="str">
        <f>IFERROR(__xludf.DUMMYFUNCTION("""COMPUTED_VALUE"""),"General Member")</f>
        <v>General Member</v>
      </c>
      <c r="D147" s="127" t="str">
        <f>IFERROR(__xludf.DUMMYFUNCTION("""COMPUTED_VALUE"""),"muntakim.rahman.tanim@g.bracu.ac.bd")</f>
        <v>muntakim.rahman.tanim@g.bracu.ac.bd</v>
      </c>
    </row>
    <row r="148" ht="22.5" customHeight="1">
      <c r="A148" s="127">
        <f>IFERROR(__xludf.DUMMYFUNCTION("""COMPUTED_VALUE"""),2.220118E7)</f>
        <v>22201180</v>
      </c>
      <c r="B148" s="127" t="str">
        <f>IFERROR(__xludf.DUMMYFUNCTION("""COMPUTED_VALUE"""),"Sanjida Akter Bithi")</f>
        <v>Sanjida Akter Bithi</v>
      </c>
      <c r="C148" s="128" t="str">
        <f>IFERROR(__xludf.DUMMYFUNCTION("""COMPUTED_VALUE"""),"General Member")</f>
        <v>General Member</v>
      </c>
      <c r="D148" s="127" t="str">
        <f>IFERROR(__xludf.DUMMYFUNCTION("""COMPUTED_VALUE"""),"sanjida.akter.bithi@g.bracu.ac.bd")</f>
        <v>sanjida.akter.bithi@g.bracu.ac.bd</v>
      </c>
    </row>
    <row r="149" ht="22.5" customHeight="1">
      <c r="A149" s="127">
        <f>IFERROR(__xludf.DUMMYFUNCTION("""COMPUTED_VALUE"""),2.2201141E7)</f>
        <v>22201141</v>
      </c>
      <c r="B149" s="127" t="str">
        <f>IFERROR(__xludf.DUMMYFUNCTION("""COMPUTED_VALUE"""),"Kh. Oakil Ahamed")</f>
        <v>Kh. Oakil Ahamed</v>
      </c>
      <c r="C149" s="128" t="str">
        <f>IFERROR(__xludf.DUMMYFUNCTION("""COMPUTED_VALUE"""),"General Member")</f>
        <v>General Member</v>
      </c>
      <c r="D149" s="127" t="str">
        <f>IFERROR(__xludf.DUMMYFUNCTION("""COMPUTED_VALUE"""),"kh.oakil.ahamed@g.bracu.ac.bd")</f>
        <v>kh.oakil.ahamed@g.bracu.ac.bd</v>
      </c>
    </row>
    <row r="150" ht="22.5" customHeight="1">
      <c r="A150" s="127">
        <f>IFERROR(__xludf.DUMMYFUNCTION("""COMPUTED_VALUE"""),2.2201027E7)</f>
        <v>22201027</v>
      </c>
      <c r="B150" s="127" t="str">
        <f>IFERROR(__xludf.DUMMYFUNCTION("""COMPUTED_VALUE"""),"Ahsan Habib")</f>
        <v>Ahsan Habib</v>
      </c>
      <c r="C150" s="128" t="str">
        <f>IFERROR(__xludf.DUMMYFUNCTION("""COMPUTED_VALUE"""),"General Member")</f>
        <v>General Member</v>
      </c>
      <c r="D150" s="127" t="str">
        <f>IFERROR(__xludf.DUMMYFUNCTION("""COMPUTED_VALUE"""),"ahsan.habib1@g.bracu.ac.bd")</f>
        <v>ahsan.habib1@g.bracu.ac.bd</v>
      </c>
    </row>
    <row r="151" ht="22.5" customHeight="1">
      <c r="A151" s="127">
        <f>IFERROR(__xludf.DUMMYFUNCTION("""COMPUTED_VALUE"""),2.2141029E7)</f>
        <v>22141029</v>
      </c>
      <c r="B151" s="127" t="str">
        <f>IFERROR(__xludf.DUMMYFUNCTION("""COMPUTED_VALUE"""),"Fairuz Suhala Reza")</f>
        <v>Fairuz Suhala Reza</v>
      </c>
      <c r="C151" s="128" t="str">
        <f>IFERROR(__xludf.DUMMYFUNCTION("""COMPUTED_VALUE"""),"General Member")</f>
        <v>General Member</v>
      </c>
      <c r="D151" s="127" t="str">
        <f>IFERROR(__xludf.DUMMYFUNCTION("""COMPUTED_VALUE"""),"fairuz.suhala.reza@g.bracu.ac.bd")</f>
        <v>fairuz.suhala.reza@g.bracu.ac.bd</v>
      </c>
    </row>
    <row r="152" ht="22.5" customHeight="1">
      <c r="A152" s="127">
        <f>IFERROR(__xludf.DUMMYFUNCTION("""COMPUTED_VALUE"""),2.214102E7)</f>
        <v>22141020</v>
      </c>
      <c r="B152" s="127" t="str">
        <f>IFERROR(__xludf.DUMMYFUNCTION("""COMPUTED_VALUE"""),"Feroza Mahzabin")</f>
        <v>Feroza Mahzabin</v>
      </c>
      <c r="C152" s="128" t="str">
        <f>IFERROR(__xludf.DUMMYFUNCTION("""COMPUTED_VALUE"""),"General Member")</f>
        <v>General Member</v>
      </c>
      <c r="D152" s="127" t="str">
        <f>IFERROR(__xludf.DUMMYFUNCTION("""COMPUTED_VALUE"""),"feroza.mahzabin@g.bracu.ac.bd")</f>
        <v>feroza.mahzabin@g.bracu.ac.bd</v>
      </c>
    </row>
    <row r="153" ht="22.5" customHeight="1">
      <c r="A153" s="127">
        <f>IFERROR(__xludf.DUMMYFUNCTION("""COMPUTED_VALUE"""),2.2101836E7)</f>
        <v>22101836</v>
      </c>
      <c r="B153" s="127" t="str">
        <f>IFERROR(__xludf.DUMMYFUNCTION("""COMPUTED_VALUE"""),"Sadik Mina Dweep")</f>
        <v>Sadik Mina Dweep</v>
      </c>
      <c r="C153" s="128" t="str">
        <f>IFERROR(__xludf.DUMMYFUNCTION("""COMPUTED_VALUE"""),"General Member")</f>
        <v>General Member</v>
      </c>
      <c r="D153" s="127" t="str">
        <f>IFERROR(__xludf.DUMMYFUNCTION("""COMPUTED_VALUE"""),"sadik.mina.dweep@g.bracu.ac.bd")</f>
        <v>sadik.mina.dweep@g.bracu.ac.bd</v>
      </c>
    </row>
    <row r="154" ht="22.5" customHeight="1">
      <c r="A154" s="127">
        <f>IFERROR(__xludf.DUMMYFUNCTION("""COMPUTED_VALUE"""),2.2101803E7)</f>
        <v>22101803</v>
      </c>
      <c r="B154" s="127" t="str">
        <f>IFERROR(__xludf.DUMMYFUNCTION("""COMPUTED_VALUE"""),"Reduan Nur Labid")</f>
        <v>Reduan Nur Labid</v>
      </c>
      <c r="C154" s="128" t="str">
        <f>IFERROR(__xludf.DUMMYFUNCTION("""COMPUTED_VALUE"""),"General Member")</f>
        <v>General Member</v>
      </c>
      <c r="D154" s="127" t="str">
        <f>IFERROR(__xludf.DUMMYFUNCTION("""COMPUTED_VALUE"""),"reduan.nur.labid@g.bracu.ac.bd")</f>
        <v>reduan.nur.labid@g.bracu.ac.bd</v>
      </c>
    </row>
    <row r="155" ht="22.5" customHeight="1">
      <c r="A155" s="127">
        <f>IFERROR(__xludf.DUMMYFUNCTION("""COMPUTED_VALUE"""),2.2101717E7)</f>
        <v>22101717</v>
      </c>
      <c r="B155" s="127" t="str">
        <f>IFERROR(__xludf.DUMMYFUNCTION("""COMPUTED_VALUE"""),"Rajin Ibna Rajuanur Rahman")</f>
        <v>Rajin Ibna Rajuanur Rahman</v>
      </c>
      <c r="C155" s="128" t="str">
        <f>IFERROR(__xludf.DUMMYFUNCTION("""COMPUTED_VALUE"""),"General Member")</f>
        <v>General Member</v>
      </c>
      <c r="D155" s="127" t="str">
        <f>IFERROR(__xludf.DUMMYFUNCTION("""COMPUTED_VALUE"""),"rajin.ibna.rajuanurrahman@g.bracu.ac.bd")</f>
        <v>rajin.ibna.rajuanurrahman@g.bracu.ac.bd</v>
      </c>
    </row>
    <row r="156" ht="22.5" customHeight="1">
      <c r="A156" s="127">
        <f>IFERROR(__xludf.DUMMYFUNCTION("""COMPUTED_VALUE"""),2.2101682E7)</f>
        <v>22101682</v>
      </c>
      <c r="B156" s="127" t="str">
        <f>IFERROR(__xludf.DUMMYFUNCTION("""COMPUTED_VALUE"""),"Fahim Firoz Ridit")</f>
        <v>Fahim Firoz Ridit</v>
      </c>
      <c r="C156" s="128" t="str">
        <f>IFERROR(__xludf.DUMMYFUNCTION("""COMPUTED_VALUE"""),"General Member")</f>
        <v>General Member</v>
      </c>
      <c r="D156" s="127" t="str">
        <f>IFERROR(__xludf.DUMMYFUNCTION("""COMPUTED_VALUE"""),"fahim.firoz.ridit@g.bracu.ac.bd")</f>
        <v>fahim.firoz.ridit@g.bracu.ac.bd</v>
      </c>
    </row>
    <row r="157" ht="22.5" customHeight="1">
      <c r="A157" s="127">
        <f>IFERROR(__xludf.DUMMYFUNCTION("""COMPUTED_VALUE"""),2.2101671E7)</f>
        <v>22101671</v>
      </c>
      <c r="B157" s="127" t="str">
        <f>IFERROR(__xludf.DUMMYFUNCTION("""COMPUTED_VALUE"""),"Shafaat Jamil Nakib")</f>
        <v>Shafaat Jamil Nakib</v>
      </c>
      <c r="C157" s="128" t="str">
        <f>IFERROR(__xludf.DUMMYFUNCTION("""COMPUTED_VALUE"""),"General Member")</f>
        <v>General Member</v>
      </c>
      <c r="D157" s="127" t="str">
        <f>IFERROR(__xludf.DUMMYFUNCTION("""COMPUTED_VALUE"""),"shafaat.jamil.nakib@g.bracu.ac.bd")</f>
        <v>shafaat.jamil.nakib@g.bracu.ac.bd</v>
      </c>
    </row>
    <row r="158" ht="22.5" customHeight="1">
      <c r="A158" s="127">
        <f>IFERROR(__xludf.DUMMYFUNCTION("""COMPUTED_VALUE"""),2.2101632E7)</f>
        <v>22101632</v>
      </c>
      <c r="B158" s="127" t="str">
        <f>IFERROR(__xludf.DUMMYFUNCTION("""COMPUTED_VALUE"""),"Reaz Raza")</f>
        <v>Reaz Raza</v>
      </c>
      <c r="C158" s="128" t="str">
        <f>IFERROR(__xludf.DUMMYFUNCTION("""COMPUTED_VALUE"""),"General Member")</f>
        <v>General Member</v>
      </c>
      <c r="D158" s="127" t="str">
        <f>IFERROR(__xludf.DUMMYFUNCTION("""COMPUTED_VALUE"""),"reaz.raza@g.bracu.ac.bd")</f>
        <v>reaz.raza@g.bracu.ac.bd</v>
      </c>
    </row>
    <row r="159" ht="22.5" customHeight="1">
      <c r="A159" s="127">
        <f>IFERROR(__xludf.DUMMYFUNCTION("""COMPUTED_VALUE"""),2.2101579E7)</f>
        <v>22101579</v>
      </c>
      <c r="B159" s="127" t="str">
        <f>IFERROR(__xludf.DUMMYFUNCTION("""COMPUTED_VALUE"""),"Labib Hasan")</f>
        <v>Labib Hasan</v>
      </c>
      <c r="C159" s="128" t="str">
        <f>IFERROR(__xludf.DUMMYFUNCTION("""COMPUTED_VALUE"""),"General Member")</f>
        <v>General Member</v>
      </c>
      <c r="D159" s="127" t="str">
        <f>IFERROR(__xludf.DUMMYFUNCTION("""COMPUTED_VALUE"""),"labib.hasan@g.bracu.ac.bd")</f>
        <v>labib.hasan@g.bracu.ac.bd</v>
      </c>
    </row>
    <row r="160" ht="22.5" customHeight="1">
      <c r="A160" s="127">
        <f>IFERROR(__xludf.DUMMYFUNCTION("""COMPUTED_VALUE"""),2.2101497E7)</f>
        <v>22101497</v>
      </c>
      <c r="B160" s="127" t="str">
        <f>IFERROR(__xludf.DUMMYFUNCTION("""COMPUTED_VALUE"""),"Maisha Iffat Chowdhury")</f>
        <v>Maisha Iffat Chowdhury</v>
      </c>
      <c r="C160" s="128" t="str">
        <f>IFERROR(__xludf.DUMMYFUNCTION("""COMPUTED_VALUE"""),"General Member")</f>
        <v>General Member</v>
      </c>
      <c r="D160" s="127" t="str">
        <f>IFERROR(__xludf.DUMMYFUNCTION("""COMPUTED_VALUE"""),"maisha.iffat.chowdhury@g.bracu.ac.bd")</f>
        <v>maisha.iffat.chowdhury@g.bracu.ac.bd</v>
      </c>
    </row>
    <row r="161" ht="22.5" customHeight="1">
      <c r="A161" s="127">
        <f>IFERROR(__xludf.DUMMYFUNCTION("""COMPUTED_VALUE"""),2.2101482E7)</f>
        <v>22101482</v>
      </c>
      <c r="B161" s="127" t="str">
        <f>IFERROR(__xludf.DUMMYFUNCTION("""COMPUTED_VALUE"""),"Sunjida Islam Susmita")</f>
        <v>Sunjida Islam Susmita</v>
      </c>
      <c r="C161" s="128" t="str">
        <f>IFERROR(__xludf.DUMMYFUNCTION("""COMPUTED_VALUE"""),"General Member")</f>
        <v>General Member</v>
      </c>
      <c r="D161" s="127" t="str">
        <f>IFERROR(__xludf.DUMMYFUNCTION("""COMPUTED_VALUE"""),"sunjida.islam.susmita@g.bracu.ac.bd")</f>
        <v>sunjida.islam.susmita@g.bracu.ac.bd</v>
      </c>
    </row>
    <row r="162" ht="22.5" customHeight="1">
      <c r="A162" s="127">
        <f>IFERROR(__xludf.DUMMYFUNCTION("""COMPUTED_VALUE"""),2.2101418E7)</f>
        <v>22101418</v>
      </c>
      <c r="B162" s="127" t="str">
        <f>IFERROR(__xludf.DUMMYFUNCTION("""COMPUTED_VALUE"""),"Ragib Ahnaf")</f>
        <v>Ragib Ahnaf</v>
      </c>
      <c r="C162" s="128" t="str">
        <f>IFERROR(__xludf.DUMMYFUNCTION("""COMPUTED_VALUE"""),"General Member")</f>
        <v>General Member</v>
      </c>
      <c r="D162" s="127" t="str">
        <f>IFERROR(__xludf.DUMMYFUNCTION("""COMPUTED_VALUE"""),"ragib.ahnaf.nehal@g.bracu.ac.bd")</f>
        <v>ragib.ahnaf.nehal@g.bracu.ac.bd</v>
      </c>
    </row>
    <row r="163" ht="22.5" customHeight="1">
      <c r="A163" s="127">
        <f>IFERROR(__xludf.DUMMYFUNCTION("""COMPUTED_VALUE"""),2.2101402E7)</f>
        <v>22101402</v>
      </c>
      <c r="B163" s="127" t="str">
        <f>IFERROR(__xludf.DUMMYFUNCTION("""COMPUTED_VALUE"""),"Sifatullah Fahim")</f>
        <v>Sifatullah Fahim</v>
      </c>
      <c r="C163" s="128" t="str">
        <f>IFERROR(__xludf.DUMMYFUNCTION("""COMPUTED_VALUE"""),"General Member")</f>
        <v>General Member</v>
      </c>
      <c r="D163" s="127" t="str">
        <f>IFERROR(__xludf.DUMMYFUNCTION("""COMPUTED_VALUE"""),"sifatullah.fahim@g.bracu.ac.bd")</f>
        <v>sifatullah.fahim@g.bracu.ac.bd</v>
      </c>
    </row>
    <row r="164" ht="22.5" customHeight="1">
      <c r="A164" s="127">
        <f>IFERROR(__xludf.DUMMYFUNCTION("""COMPUTED_VALUE"""),2.2101391E7)</f>
        <v>22101391</v>
      </c>
      <c r="B164" s="127" t="str">
        <f>IFERROR(__xludf.DUMMYFUNCTION("""COMPUTED_VALUE"""),"S. M. Apurbo")</f>
        <v>S. M. Apurbo</v>
      </c>
      <c r="C164" s="128" t="str">
        <f>IFERROR(__xludf.DUMMYFUNCTION("""COMPUTED_VALUE"""),"General Member")</f>
        <v>General Member</v>
      </c>
      <c r="D164" s="127" t="str">
        <f>IFERROR(__xludf.DUMMYFUNCTION("""COMPUTED_VALUE"""),"sm.apurbo@g.bracu.ac.bd")</f>
        <v>sm.apurbo@g.bracu.ac.bd</v>
      </c>
    </row>
    <row r="165" ht="22.5" customHeight="1">
      <c r="A165" s="127">
        <f>IFERROR(__xludf.DUMMYFUNCTION("""COMPUTED_VALUE"""),2.2101363E7)</f>
        <v>22101363</v>
      </c>
      <c r="B165" s="127" t="str">
        <f>IFERROR(__xludf.DUMMYFUNCTION("""COMPUTED_VALUE"""),"Surata Saha Hiya")</f>
        <v>Surata Saha Hiya</v>
      </c>
      <c r="C165" s="128" t="str">
        <f>IFERROR(__xludf.DUMMYFUNCTION("""COMPUTED_VALUE"""),"General Member")</f>
        <v>General Member</v>
      </c>
      <c r="D165" s="127" t="str">
        <f>IFERROR(__xludf.DUMMYFUNCTION("""COMPUTED_VALUE"""),"Surata.saha.hiya@g.bracu.ac.bd")</f>
        <v>Surata.saha.hiya@g.bracu.ac.bd</v>
      </c>
    </row>
    <row r="166" ht="22.5" customHeight="1">
      <c r="A166" s="127">
        <f>IFERROR(__xludf.DUMMYFUNCTION("""COMPUTED_VALUE"""),2.2101339E7)</f>
        <v>22101339</v>
      </c>
      <c r="B166" s="127" t="str">
        <f>IFERROR(__xludf.DUMMYFUNCTION("""COMPUTED_VALUE"""),"Sadia Hasan Bonni")</f>
        <v>Sadia Hasan Bonni</v>
      </c>
      <c r="C166" s="128" t="str">
        <f>IFERROR(__xludf.DUMMYFUNCTION("""COMPUTED_VALUE"""),"General Member")</f>
        <v>General Member</v>
      </c>
      <c r="D166" s="127" t="str">
        <f>IFERROR(__xludf.DUMMYFUNCTION("""COMPUTED_VALUE"""),"sadia.hasan.bonni@g.bracu.ac.bd")</f>
        <v>sadia.hasan.bonni@g.bracu.ac.bd</v>
      </c>
    </row>
    <row r="167" ht="22.5" customHeight="1">
      <c r="A167" s="127">
        <f>IFERROR(__xludf.DUMMYFUNCTION("""COMPUTED_VALUE"""),2.210128E7)</f>
        <v>22101280</v>
      </c>
      <c r="B167" s="127" t="str">
        <f>IFERROR(__xludf.DUMMYFUNCTION("""COMPUTED_VALUE"""),"Saber Shahriar Fahim")</f>
        <v>Saber Shahriar Fahim</v>
      </c>
      <c r="C167" s="128" t="str">
        <f>IFERROR(__xludf.DUMMYFUNCTION("""COMPUTED_VALUE"""),"General Member")</f>
        <v>General Member</v>
      </c>
      <c r="D167" s="127" t="str">
        <f>IFERROR(__xludf.DUMMYFUNCTION("""COMPUTED_VALUE"""),"saber.shahriar.fahim@g.bracu.ac.bd")</f>
        <v>saber.shahriar.fahim@g.bracu.ac.bd</v>
      </c>
    </row>
    <row r="168" ht="22.5" customHeight="1">
      <c r="A168" s="127">
        <f>IFERROR(__xludf.DUMMYFUNCTION("""COMPUTED_VALUE"""),2.2101209E7)</f>
        <v>22101209</v>
      </c>
      <c r="B168" s="127" t="str">
        <f>IFERROR(__xludf.DUMMYFUNCTION("""COMPUTED_VALUE"""),"Nigi Shikder")</f>
        <v>Nigi Shikder</v>
      </c>
      <c r="C168" s="128" t="str">
        <f>IFERROR(__xludf.DUMMYFUNCTION("""COMPUTED_VALUE"""),"General Member")</f>
        <v>General Member</v>
      </c>
      <c r="D168" s="127" t="str">
        <f>IFERROR(__xludf.DUMMYFUNCTION("""COMPUTED_VALUE"""),"nigi.shikder@g.bracu.ac.bd")</f>
        <v>nigi.shikder@g.bracu.ac.bd</v>
      </c>
    </row>
    <row r="169" ht="22.5" customHeight="1">
      <c r="A169" s="127">
        <f>IFERROR(__xludf.DUMMYFUNCTION("""COMPUTED_VALUE"""),2.2101149E7)</f>
        <v>22101149</v>
      </c>
      <c r="B169" s="127" t="str">
        <f>IFERROR(__xludf.DUMMYFUNCTION("""COMPUTED_VALUE"""),"M. A. Abdullahis Sany")</f>
        <v>M. A. Abdullahis Sany</v>
      </c>
      <c r="C169" s="128" t="str">
        <f>IFERROR(__xludf.DUMMYFUNCTION("""COMPUTED_VALUE"""),"General Member")</f>
        <v>General Member</v>
      </c>
      <c r="D169" s="127" t="str">
        <f>IFERROR(__xludf.DUMMYFUNCTION("""COMPUTED_VALUE"""),"ma.abdullahis.sany@g.bracu.ac.bd")</f>
        <v>ma.abdullahis.sany@g.bracu.ac.bd</v>
      </c>
    </row>
    <row r="170" ht="22.5" customHeight="1">
      <c r="A170" s="127">
        <f>IFERROR(__xludf.DUMMYFUNCTION("""COMPUTED_VALUE"""),2.2101004E7)</f>
        <v>22101004</v>
      </c>
      <c r="B170" s="127" t="str">
        <f>IFERROR(__xludf.DUMMYFUNCTION("""COMPUTED_VALUE"""),"Avinabo Tarafder")</f>
        <v>Avinabo Tarafder</v>
      </c>
      <c r="C170" s="128" t="str">
        <f>IFERROR(__xludf.DUMMYFUNCTION("""COMPUTED_VALUE"""),"General Member")</f>
        <v>General Member</v>
      </c>
      <c r="D170" s="127" t="str">
        <f>IFERROR(__xludf.DUMMYFUNCTION("""COMPUTED_VALUE"""),"avinabo.tarafder@g.bracu.ac.bd")</f>
        <v>avinabo.tarafder@g.bracu.ac.bd</v>
      </c>
    </row>
    <row r="171" ht="22.5" customHeight="1">
      <c r="A171" s="127">
        <f>IFERROR(__xludf.DUMMYFUNCTION("""COMPUTED_VALUE"""),2.3201459E7)</f>
        <v>23201459</v>
      </c>
      <c r="B171" s="127" t="str">
        <f>IFERROR(__xludf.DUMMYFUNCTION("""COMPUTED_VALUE"""),"Mahir Hasan Chowdhury")</f>
        <v>Mahir Hasan Chowdhury</v>
      </c>
      <c r="C171" s="128" t="str">
        <f>IFERROR(__xludf.DUMMYFUNCTION("""COMPUTED_VALUE"""),"General Member")</f>
        <v>General Member</v>
      </c>
      <c r="D171" s="127" t="str">
        <f>IFERROR(__xludf.DUMMYFUNCTION("""COMPUTED_VALUE"""),"mahir.hasan.chowdhury@g.bracu.ac.bd")</f>
        <v>mahir.hasan.chowdhury@g.bracu.ac.bd</v>
      </c>
    </row>
    <row r="172" ht="22.5" customHeight="1">
      <c r="A172" s="127">
        <f>IFERROR(__xludf.DUMMYFUNCTION("""COMPUTED_VALUE"""),2.4121093E7)</f>
        <v>24121093</v>
      </c>
      <c r="B172" s="127" t="str">
        <f>IFERROR(__xludf.DUMMYFUNCTION("""COMPUTED_VALUE"""),"Wasima Jahan Aurthy")</f>
        <v>Wasima Jahan Aurthy</v>
      </c>
      <c r="C172" s="128" t="str">
        <f>IFERROR(__xludf.DUMMYFUNCTION("""COMPUTED_VALUE"""),"General Member")</f>
        <v>General Member</v>
      </c>
      <c r="D172" s="127" t="str">
        <f>IFERROR(__xludf.DUMMYFUNCTION("""COMPUTED_VALUE"""),"wasima.jahan.aurthy@g.bracu.ac.bd")</f>
        <v>wasima.jahan.aurthy@g.bracu.ac.bd</v>
      </c>
    </row>
    <row r="173" ht="22.5" customHeight="1">
      <c r="A173" s="127">
        <f>IFERROR(__xludf.DUMMYFUNCTION("""COMPUTED_VALUE"""),2.2101812E7)</f>
        <v>22101812</v>
      </c>
      <c r="B173" s="127" t="str">
        <f>IFERROR(__xludf.DUMMYFUNCTION("""COMPUTED_VALUE"""),"Nusrat Jahan Snigdha")</f>
        <v>Nusrat Jahan Snigdha</v>
      </c>
      <c r="C173" s="128" t="str">
        <f>IFERROR(__xludf.DUMMYFUNCTION("""COMPUTED_VALUE"""),"General Member")</f>
        <v>General Member</v>
      </c>
      <c r="D173" s="127" t="str">
        <f>IFERROR(__xludf.DUMMYFUNCTION("""COMPUTED_VALUE"""),"nusrat.jahan.snigdha@g.bracu.ac.bd")</f>
        <v>nusrat.jahan.snigdha@g.bracu.ac.bd</v>
      </c>
    </row>
    <row r="174" ht="22.5" customHeight="1">
      <c r="A174" s="127">
        <f>IFERROR(__xludf.DUMMYFUNCTION("""COMPUTED_VALUE"""),2.2201869E7)</f>
        <v>22201869</v>
      </c>
      <c r="B174" s="127" t="str">
        <f>IFERROR(__xludf.DUMMYFUNCTION("""COMPUTED_VALUE"""),"Ameet Faisal")</f>
        <v>Ameet Faisal</v>
      </c>
      <c r="C174" s="128" t="str">
        <f>IFERROR(__xludf.DUMMYFUNCTION("""COMPUTED_VALUE"""),"General Member")</f>
        <v>General Member</v>
      </c>
      <c r="D174" s="127" t="str">
        <f>IFERROR(__xludf.DUMMYFUNCTION("""COMPUTED_VALUE"""),"ameet.faisal@g.bracu.ac.bd")</f>
        <v>ameet.faisal@g.bracu.ac.bd</v>
      </c>
    </row>
    <row r="175" ht="22.5" customHeight="1">
      <c r="A175" s="127">
        <f>IFERROR(__xludf.DUMMYFUNCTION("""COMPUTED_VALUE"""),2.3201131E7)</f>
        <v>23201131</v>
      </c>
      <c r="B175" s="127" t="str">
        <f>IFERROR(__xludf.DUMMYFUNCTION("""COMPUTED_VALUE"""),"Mahdinam Saif Prisun")</f>
        <v>Mahdinam Saif Prisun</v>
      </c>
      <c r="C175" s="128" t="str">
        <f>IFERROR(__xludf.DUMMYFUNCTION("""COMPUTED_VALUE"""),"General Member")</f>
        <v>General Member</v>
      </c>
      <c r="D175" s="127" t="str">
        <f>IFERROR(__xludf.DUMMYFUNCTION("""COMPUTED_VALUE"""),"mahdinam.saif.prisun@g.bracu.ac.bd")</f>
        <v>mahdinam.saif.prisun@g.bracu.ac.bd</v>
      </c>
    </row>
    <row r="176" ht="22.5" customHeight="1">
      <c r="A176" s="127">
        <f>IFERROR(__xludf.DUMMYFUNCTION("""COMPUTED_VALUE"""),2.3201467E7)</f>
        <v>23201467</v>
      </c>
      <c r="B176" s="127" t="str">
        <f>IFERROR(__xludf.DUMMYFUNCTION("""COMPUTED_VALUE"""),"Subha Juraina")</f>
        <v>Subha Juraina</v>
      </c>
      <c r="C176" s="128" t="str">
        <f>IFERROR(__xludf.DUMMYFUNCTION("""COMPUTED_VALUE"""),"General Member")</f>
        <v>General Member</v>
      </c>
      <c r="D176" s="127" t="str">
        <f>IFERROR(__xludf.DUMMYFUNCTION("""COMPUTED_VALUE"""),"subha.juraina@g.bracu.ac.bd")</f>
        <v>subha.juraina@g.bracu.ac.bd</v>
      </c>
    </row>
    <row r="177" ht="22.5" customHeight="1">
      <c r="A177" s="127">
        <f>IFERROR(__xludf.DUMMYFUNCTION("""COMPUTED_VALUE"""),2.3101095E7)</f>
        <v>23101095</v>
      </c>
      <c r="B177" s="127" t="str">
        <f>IFERROR(__xludf.DUMMYFUNCTION("""COMPUTED_VALUE"""),"Mariya Binta Mazhar")</f>
        <v>Mariya Binta Mazhar</v>
      </c>
      <c r="C177" s="128" t="str">
        <f>IFERROR(__xludf.DUMMYFUNCTION("""COMPUTED_VALUE"""),"General Member")</f>
        <v>General Member</v>
      </c>
      <c r="D177" s="127" t="str">
        <f>IFERROR(__xludf.DUMMYFUNCTION("""COMPUTED_VALUE"""),"mariya.binta.mazhar@g.bracu.ac.bd")</f>
        <v>mariya.binta.mazhar@g.bracu.ac.bd</v>
      </c>
    </row>
    <row r="178" ht="22.5" customHeight="1">
      <c r="A178" s="127">
        <f>IFERROR(__xludf.DUMMYFUNCTION("""COMPUTED_VALUE"""),2.2201209E7)</f>
        <v>22201209</v>
      </c>
      <c r="B178" s="127" t="str">
        <f>IFERROR(__xludf.DUMMYFUNCTION("""COMPUTED_VALUE"""),"Ahmmed Shadeed")</f>
        <v>Ahmmed Shadeed</v>
      </c>
      <c r="C178" s="128" t="str">
        <f>IFERROR(__xludf.DUMMYFUNCTION("""COMPUTED_VALUE"""),"General Member")</f>
        <v>General Member</v>
      </c>
      <c r="D178" s="127" t="str">
        <f>IFERROR(__xludf.DUMMYFUNCTION("""COMPUTED_VALUE"""),"ahmmed.shadeed@g.bracu.ac.bd")</f>
        <v>ahmmed.shadeed@g.bracu.ac.bd</v>
      </c>
    </row>
    <row r="179" ht="22.5" customHeight="1">
      <c r="A179" s="127">
        <f>IFERROR(__xludf.DUMMYFUNCTION("""COMPUTED_VALUE"""),2.2201607E7)</f>
        <v>22201607</v>
      </c>
      <c r="B179" s="127" t="str">
        <f>IFERROR(__xludf.DUMMYFUNCTION("""COMPUTED_VALUE"""),"Md Tashfiq Bin Sarwar")</f>
        <v>Md Tashfiq Bin Sarwar</v>
      </c>
      <c r="C179" s="128" t="str">
        <f>IFERROR(__xludf.DUMMYFUNCTION("""COMPUTED_VALUE"""),"General Member")</f>
        <v>General Member</v>
      </c>
      <c r="D179" s="127" t="str">
        <f>IFERROR(__xludf.DUMMYFUNCTION("""COMPUTED_VALUE"""),"tashfiq.bin.sarwar@g.bracu.ac.bd")</f>
        <v>tashfiq.bin.sarwar@g.bracu.ac.bd</v>
      </c>
    </row>
    <row r="180" ht="22.5" customHeight="1">
      <c r="A180" s="127">
        <f>IFERROR(__xludf.DUMMYFUNCTION("""COMPUTED_VALUE"""),2.2299184E7)</f>
        <v>22299184</v>
      </c>
      <c r="B180" s="127" t="str">
        <f>IFERROR(__xludf.DUMMYFUNCTION("""COMPUTED_VALUE"""),"Antik Mahmud")</f>
        <v>Antik Mahmud</v>
      </c>
      <c r="C180" s="128" t="str">
        <f>IFERROR(__xludf.DUMMYFUNCTION("""COMPUTED_VALUE"""),"General Member")</f>
        <v>General Member</v>
      </c>
      <c r="D180" s="127" t="str">
        <f>IFERROR(__xludf.DUMMYFUNCTION("""COMPUTED_VALUE"""),"antik.mahmud@g.bracu.ac.bd")</f>
        <v>antik.mahmud@g.bracu.ac.bd</v>
      </c>
    </row>
    <row r="181" ht="22.5" customHeight="1">
      <c r="A181" s="127">
        <f>IFERROR(__xludf.DUMMYFUNCTION("""COMPUTED_VALUE"""),2.2201964E7)</f>
        <v>22201964</v>
      </c>
      <c r="B181" s="127" t="str">
        <f>IFERROR(__xludf.DUMMYFUNCTION("""COMPUTED_VALUE"""),"Farhanul Haque Mridul")</f>
        <v>Farhanul Haque Mridul</v>
      </c>
      <c r="C181" s="128" t="str">
        <f>IFERROR(__xludf.DUMMYFUNCTION("""COMPUTED_VALUE"""),"General Member")</f>
        <v>General Member</v>
      </c>
      <c r="D181" s="127" t="str">
        <f>IFERROR(__xludf.DUMMYFUNCTION("""COMPUTED_VALUE"""),"farhanul.haque.mridul@g.bracu.ac.bd")</f>
        <v>farhanul.haque.mridul@g.bracu.ac.bd</v>
      </c>
    </row>
    <row r="182" ht="22.5" customHeight="1">
      <c r="A182" s="127">
        <f>IFERROR(__xludf.DUMMYFUNCTION("""COMPUTED_VALUE"""),2.2241023E7)</f>
        <v>22241023</v>
      </c>
      <c r="B182" s="127" t="str">
        <f>IFERROR(__xludf.DUMMYFUNCTION("""COMPUTED_VALUE"""),"Farhan Karim")</f>
        <v>Farhan Karim</v>
      </c>
      <c r="C182" s="128" t="str">
        <f>IFERROR(__xludf.DUMMYFUNCTION("""COMPUTED_VALUE"""),"General Member")</f>
        <v>General Member</v>
      </c>
      <c r="D182" s="127" t="str">
        <f>IFERROR(__xludf.DUMMYFUNCTION("""COMPUTED_VALUE"""),"farhan.karim@g.bracu.ac.bd")</f>
        <v>farhan.karim@g.bracu.ac.bd</v>
      </c>
    </row>
    <row r="183" ht="22.5" customHeight="1">
      <c r="A183" s="127">
        <f>IFERROR(__xludf.DUMMYFUNCTION("""COMPUTED_VALUE"""),2.4110011E7)</f>
        <v>24110011</v>
      </c>
      <c r="B183" s="127" t="str">
        <f>IFERROR(__xludf.DUMMYFUNCTION("""COMPUTED_VALUE"""),"MD. NURE ALAM SIDDIQUEE ZISAN")</f>
        <v>MD. NURE ALAM SIDDIQUEE ZISAN</v>
      </c>
      <c r="C183" s="128" t="str">
        <f>IFERROR(__xludf.DUMMYFUNCTION("""COMPUTED_VALUE"""),"General Member")</f>
        <v>General Member</v>
      </c>
      <c r="D183" s="127" t="str">
        <f>IFERROR(__xludf.DUMMYFUNCTION("""COMPUTED_VALUE"""),"nure.alam.siddiquee@g.bracu.ac.bd")</f>
        <v>nure.alam.siddiquee@g.bracu.ac.bd</v>
      </c>
    </row>
    <row r="184" ht="22.5" customHeight="1">
      <c r="A184" s="127">
        <f>IFERROR(__xludf.DUMMYFUNCTION("""COMPUTED_VALUE"""),2.320148E7)</f>
        <v>23201480</v>
      </c>
      <c r="B184" s="127" t="str">
        <f>IFERROR(__xludf.DUMMYFUNCTION("""COMPUTED_VALUE"""),"Sayeda Ariyan Fairooz")</f>
        <v>Sayeda Ariyan Fairooz</v>
      </c>
      <c r="C184" s="128" t="str">
        <f>IFERROR(__xludf.DUMMYFUNCTION("""COMPUTED_VALUE"""),"General Member")</f>
        <v>General Member</v>
      </c>
      <c r="D184" s="127" t="str">
        <f>IFERROR(__xludf.DUMMYFUNCTION("""COMPUTED_VALUE"""),"sayeda.ariyan.fairooz@g.bracu.ac.bd")</f>
        <v>sayeda.ariyan.fairooz@g.bracu.ac.bd</v>
      </c>
    </row>
    <row r="185" ht="22.5" customHeight="1">
      <c r="A185" s="127">
        <f>IFERROR(__xludf.DUMMYFUNCTION("""COMPUTED_VALUE"""),2.3101507E7)</f>
        <v>23101507</v>
      </c>
      <c r="B185" s="127" t="str">
        <f>IFERROR(__xludf.DUMMYFUNCTION("""COMPUTED_VALUE"""),"Zahin Raisa")</f>
        <v>Zahin Raisa</v>
      </c>
      <c r="C185" s="128" t="str">
        <f>IFERROR(__xludf.DUMMYFUNCTION("""COMPUTED_VALUE"""),"General Member")</f>
        <v>General Member</v>
      </c>
      <c r="D185" s="127" t="str">
        <f>IFERROR(__xludf.DUMMYFUNCTION("""COMPUTED_VALUE"""),"zahin.raisa@g.bracu.ac.bd")</f>
        <v>zahin.raisa@g.bracu.ac.bd</v>
      </c>
    </row>
    <row r="186" ht="22.5" customHeight="1">
      <c r="A186" s="127">
        <f>IFERROR(__xludf.DUMMYFUNCTION("""COMPUTED_VALUE"""),2.4301184E7)</f>
        <v>24301184</v>
      </c>
      <c r="B186" s="127" t="str">
        <f>IFERROR(__xludf.DUMMYFUNCTION("""COMPUTED_VALUE"""),"Md. Abrar Faiyaz")</f>
        <v>Md. Abrar Faiyaz</v>
      </c>
      <c r="C186" s="128" t="str">
        <f>IFERROR(__xludf.DUMMYFUNCTION("""COMPUTED_VALUE"""),"General Member")</f>
        <v>General Member</v>
      </c>
      <c r="D186" s="127" t="str">
        <f>IFERROR(__xludf.DUMMYFUNCTION("""COMPUTED_VALUE"""),"md.abrar.faiyaz@g.bracu.ac.bd")</f>
        <v>md.abrar.faiyaz@g.bracu.ac.bd</v>
      </c>
    </row>
    <row r="187" ht="22.5" customHeight="1">
      <c r="A187" s="127">
        <f>IFERROR(__xludf.DUMMYFUNCTION("""COMPUTED_VALUE"""),2.4121287E7)</f>
        <v>24121287</v>
      </c>
      <c r="B187" s="127" t="str">
        <f>IFERROR(__xludf.DUMMYFUNCTION("""COMPUTED_VALUE"""),"Partho Probal")</f>
        <v>Partho Probal</v>
      </c>
      <c r="C187" s="128" t="str">
        <f>IFERROR(__xludf.DUMMYFUNCTION("""COMPUTED_VALUE"""),"General Member")</f>
        <v>General Member</v>
      </c>
      <c r="D187" s="127" t="str">
        <f>IFERROR(__xludf.DUMMYFUNCTION("""COMPUTED_VALUE"""),"partho.probal@g.bracu.ac.bd")</f>
        <v>partho.probal@g.bracu.ac.bd</v>
      </c>
    </row>
    <row r="188" ht="22.5" customHeight="1">
      <c r="A188" s="127">
        <f>IFERROR(__xludf.DUMMYFUNCTION("""COMPUTED_VALUE"""),2.4101348E7)</f>
        <v>24101348</v>
      </c>
      <c r="B188" s="127" t="str">
        <f>IFERROR(__xludf.DUMMYFUNCTION("""COMPUTED_VALUE"""),"Siratul Araf Ahammed")</f>
        <v>Siratul Araf Ahammed</v>
      </c>
      <c r="C188" s="128" t="str">
        <f>IFERROR(__xludf.DUMMYFUNCTION("""COMPUTED_VALUE"""),"General Member")</f>
        <v>General Member</v>
      </c>
      <c r="D188" s="127" t="str">
        <f>IFERROR(__xludf.DUMMYFUNCTION("""COMPUTED_VALUE"""),"siratul.araf.ahammed@g.bracu.ac.bd")</f>
        <v>siratul.araf.ahammed@g.bracu.ac.bd</v>
      </c>
    </row>
    <row r="189" ht="22.5" customHeight="1">
      <c r="A189" s="127">
        <f>IFERROR(__xludf.DUMMYFUNCTION("""COMPUTED_VALUE"""),2.4301478E7)</f>
        <v>24301478</v>
      </c>
      <c r="B189" s="127" t="str">
        <f>IFERROR(__xludf.DUMMYFUNCTION("""COMPUTED_VALUE"""),"Mehezabin Soha")</f>
        <v>Mehezabin Soha</v>
      </c>
      <c r="C189" s="128" t="str">
        <f>IFERROR(__xludf.DUMMYFUNCTION("""COMPUTED_VALUE"""),"General Member")</f>
        <v>General Member</v>
      </c>
      <c r="D189" s="127" t="str">
        <f>IFERROR(__xludf.DUMMYFUNCTION("""COMPUTED_VALUE"""),"mehezabin.soha@g.bracu.ac.bd")</f>
        <v>mehezabin.soha@g.bracu.ac.bd</v>
      </c>
    </row>
    <row r="190" ht="22.5" customHeight="1">
      <c r="A190" s="127">
        <f>IFERROR(__xludf.DUMMYFUNCTION("""COMPUTED_VALUE"""),2.4301031E7)</f>
        <v>24301031</v>
      </c>
      <c r="B190" s="127" t="str">
        <f>IFERROR(__xludf.DUMMYFUNCTION("""COMPUTED_VALUE"""),"Adrika Tabassum")</f>
        <v>Adrika Tabassum</v>
      </c>
      <c r="C190" s="128" t="str">
        <f>IFERROR(__xludf.DUMMYFUNCTION("""COMPUTED_VALUE"""),"General Member")</f>
        <v>General Member</v>
      </c>
      <c r="D190" s="127" t="str">
        <f>IFERROR(__xludf.DUMMYFUNCTION("""COMPUTED_VALUE"""),"adrika.tabassum@g.bracu.ac.bd")</f>
        <v>adrika.tabassum@g.bracu.ac.bd</v>
      </c>
    </row>
    <row r="191" ht="22.5" customHeight="1">
      <c r="A191" s="127">
        <f>IFERROR(__xludf.DUMMYFUNCTION("""COMPUTED_VALUE"""),2.4301137E7)</f>
        <v>24301137</v>
      </c>
      <c r="B191" s="127" t="str">
        <f>IFERROR(__xludf.DUMMYFUNCTION("""COMPUTED_VALUE"""),"Zakwan Masud Jarif")</f>
        <v>Zakwan Masud Jarif</v>
      </c>
      <c r="C191" s="128" t="str">
        <f>IFERROR(__xludf.DUMMYFUNCTION("""COMPUTED_VALUE"""),"General Member")</f>
        <v>General Member</v>
      </c>
      <c r="D191" s="127" t="str">
        <f>IFERROR(__xludf.DUMMYFUNCTION("""COMPUTED_VALUE"""),"zakwan.masud.jarif@g.bracu.ac.bd")</f>
        <v>zakwan.masud.jarif@g.bracu.ac.bd</v>
      </c>
    </row>
    <row r="192" ht="22.5" customHeight="1">
      <c r="A192" s="127">
        <f>IFERROR(__xludf.DUMMYFUNCTION("""COMPUTED_VALUE"""),2.4101306E7)</f>
        <v>24101306</v>
      </c>
      <c r="B192" s="127" t="str">
        <f>IFERROR(__xludf.DUMMYFUNCTION("""COMPUTED_VALUE"""),"Md Sadab Zahin Apurbo")</f>
        <v>Md Sadab Zahin Apurbo</v>
      </c>
      <c r="C192" s="128" t="str">
        <f>IFERROR(__xludf.DUMMYFUNCTION("""COMPUTED_VALUE"""),"General Member")</f>
        <v>General Member</v>
      </c>
      <c r="D192" s="127" t="str">
        <f>IFERROR(__xludf.DUMMYFUNCTION("""COMPUTED_VALUE"""),"sadab.zahin.apurbo@g.bracu.ac.bd")</f>
        <v>sadab.zahin.apurbo@g.bracu.ac.bd</v>
      </c>
    </row>
    <row r="193" ht="22.5" customHeight="1">
      <c r="A193" s="127">
        <f>IFERROR(__xludf.DUMMYFUNCTION("""COMPUTED_VALUE"""),2.4301231E7)</f>
        <v>24301231</v>
      </c>
      <c r="B193" s="127" t="str">
        <f>IFERROR(__xludf.DUMMYFUNCTION("""COMPUTED_VALUE"""),"Arnab Saha Arko")</f>
        <v>Arnab Saha Arko</v>
      </c>
      <c r="C193" s="128" t="str">
        <f>IFERROR(__xludf.DUMMYFUNCTION("""COMPUTED_VALUE"""),"General Member")</f>
        <v>General Member</v>
      </c>
      <c r="D193" s="127" t="str">
        <f>IFERROR(__xludf.DUMMYFUNCTION("""COMPUTED_VALUE"""),"arnab.saha.arko@g.bracu.ac.bd")</f>
        <v>arnab.saha.arko@g.bracu.ac.bd</v>
      </c>
    </row>
    <row r="194" ht="22.5" customHeight="1">
      <c r="A194" s="127">
        <f>IFERROR(__xludf.DUMMYFUNCTION("""COMPUTED_VALUE"""),2.4121313E7)</f>
        <v>24121313</v>
      </c>
      <c r="B194" s="127" t="str">
        <f>IFERROR(__xludf.DUMMYFUNCTION("""COMPUTED_VALUE"""),"Md. Shams Jamil")</f>
        <v>Md. Shams Jamil</v>
      </c>
      <c r="C194" s="128" t="str">
        <f>IFERROR(__xludf.DUMMYFUNCTION("""COMPUTED_VALUE"""),"General Member")</f>
        <v>General Member</v>
      </c>
      <c r="D194" s="127" t="str">
        <f>IFERROR(__xludf.DUMMYFUNCTION("""COMPUTED_VALUE"""),"md.shams.jamil@g.bracu.ac.bd")</f>
        <v>md.shams.jamil@g.bracu.ac.bd</v>
      </c>
    </row>
    <row r="195" ht="22.5" customHeight="1">
      <c r="A195" s="127">
        <f>IFERROR(__xludf.DUMMYFUNCTION("""COMPUTED_VALUE"""),2.4101155E7)</f>
        <v>24101155</v>
      </c>
      <c r="B195" s="127" t="str">
        <f>IFERROR(__xludf.DUMMYFUNCTION("""COMPUTED_VALUE"""),"Tasfiq Rahman Rafi")</f>
        <v>Tasfiq Rahman Rafi</v>
      </c>
      <c r="C195" s="128" t="str">
        <f>IFERROR(__xludf.DUMMYFUNCTION("""COMPUTED_VALUE"""),"General Member")</f>
        <v>General Member</v>
      </c>
      <c r="D195" s="127" t="str">
        <f>IFERROR(__xludf.DUMMYFUNCTION("""COMPUTED_VALUE"""),"tasfiq.rahman.rafi@g.bracu.ac.bd")</f>
        <v>tasfiq.rahman.rafi@g.bracu.ac.bd</v>
      </c>
    </row>
    <row r="196" ht="22.5" customHeight="1">
      <c r="A196" s="127">
        <f>IFERROR(__xludf.DUMMYFUNCTION("""COMPUTED_VALUE"""),2.4101345E7)</f>
        <v>24101345</v>
      </c>
      <c r="B196" s="127" t="str">
        <f>IFERROR(__xludf.DUMMYFUNCTION("""COMPUTED_VALUE"""),"Kazi Hasibur Rahman")</f>
        <v>Kazi Hasibur Rahman</v>
      </c>
      <c r="C196" s="128" t="str">
        <f>IFERROR(__xludf.DUMMYFUNCTION("""COMPUTED_VALUE"""),"General Member")</f>
        <v>General Member</v>
      </c>
      <c r="D196" s="127" t="str">
        <f>IFERROR(__xludf.DUMMYFUNCTION("""COMPUTED_VALUE"""),"kazi.hasibur.rahman@g.bracu.ac.bd")</f>
        <v>kazi.hasibur.rahman@g.bracu.ac.bd</v>
      </c>
    </row>
    <row r="197" ht="22.5" customHeight="1">
      <c r="A197" s="127">
        <f>IFERROR(__xludf.DUMMYFUNCTION("""COMPUTED_VALUE"""),2.4101047E7)</f>
        <v>24101047</v>
      </c>
      <c r="B197" s="127" t="str">
        <f>IFERROR(__xludf.DUMMYFUNCTION("""COMPUTED_VALUE"""),"Tasfiqul Alam")</f>
        <v>Tasfiqul Alam</v>
      </c>
      <c r="C197" s="128" t="str">
        <f>IFERROR(__xludf.DUMMYFUNCTION("""COMPUTED_VALUE"""),"General Member")</f>
        <v>General Member</v>
      </c>
      <c r="D197" s="127" t="str">
        <f>IFERROR(__xludf.DUMMYFUNCTION("""COMPUTED_VALUE"""),"tasfiqul.alam@g.bracu.ac.bd")</f>
        <v>tasfiqul.alam@g.bracu.ac.bd</v>
      </c>
    </row>
    <row r="198" ht="22.5" customHeight="1">
      <c r="A198" s="127">
        <f>IFERROR(__xludf.DUMMYFUNCTION("""COMPUTED_VALUE"""),2.3301557E7)</f>
        <v>23301557</v>
      </c>
      <c r="B198" s="127" t="str">
        <f>IFERROR(__xludf.DUMMYFUNCTION("""COMPUTED_VALUE"""),"Zarab Juhayer")</f>
        <v>Zarab Juhayer</v>
      </c>
      <c r="C198" s="128" t="str">
        <f>IFERROR(__xludf.DUMMYFUNCTION("""COMPUTED_VALUE"""),"General Member")</f>
        <v>General Member</v>
      </c>
      <c r="D198" s="127" t="str">
        <f>IFERROR(__xludf.DUMMYFUNCTION("""COMPUTED_VALUE"""),"zarab.juhayer@g.bracu.ac.bd")</f>
        <v>zarab.juhayer@g.bracu.ac.bd</v>
      </c>
    </row>
    <row r="199" ht="22.5" customHeight="1">
      <c r="A199" s="127">
        <f>IFERROR(__xludf.DUMMYFUNCTION("""COMPUTED_VALUE"""),2.4301191E7)</f>
        <v>24301191</v>
      </c>
      <c r="B199" s="127" t="str">
        <f>IFERROR(__xludf.DUMMYFUNCTION("""COMPUTED_VALUE"""),"Saad Bin Shadi Srabon")</f>
        <v>Saad Bin Shadi Srabon</v>
      </c>
      <c r="C199" s="128" t="str">
        <f>IFERROR(__xludf.DUMMYFUNCTION("""COMPUTED_VALUE"""),"General Member")</f>
        <v>General Member</v>
      </c>
      <c r="D199" s="127" t="str">
        <f>IFERROR(__xludf.DUMMYFUNCTION("""COMPUTED_VALUE"""),"saad.bin.shadisrabon@g.bracu.ac.bd")</f>
        <v>saad.bin.shadisrabon@g.bracu.ac.bd</v>
      </c>
    </row>
    <row r="200" ht="22.5" customHeight="1">
      <c r="A200" s="127">
        <f>IFERROR(__xludf.DUMMYFUNCTION("""COMPUTED_VALUE"""),2.2201117E7)</f>
        <v>22201117</v>
      </c>
      <c r="B200" s="127" t="str">
        <f>IFERROR(__xludf.DUMMYFUNCTION("""COMPUTED_VALUE"""),"Puja Banik")</f>
        <v>Puja Banik</v>
      </c>
      <c r="C200" s="128" t="str">
        <f>IFERROR(__xludf.DUMMYFUNCTION("""COMPUTED_VALUE"""),"General Member")</f>
        <v>General Member</v>
      </c>
      <c r="D200" s="127" t="str">
        <f>IFERROR(__xludf.DUMMYFUNCTION("""COMPUTED_VALUE"""),"puja.banik@g.bracu.ac.bd")</f>
        <v>puja.banik@g.bracu.ac.bd</v>
      </c>
    </row>
    <row r="201" ht="22.5" customHeight="1">
      <c r="A201" s="127">
        <f>IFERROR(__xludf.DUMMYFUNCTION("""COMPUTED_VALUE"""),2.4204095E7)</f>
        <v>24204095</v>
      </c>
      <c r="B201" s="127" t="str">
        <f>IFERROR(__xludf.DUMMYFUNCTION("""COMPUTED_VALUE"""),"Rukhsath Akram")</f>
        <v>Rukhsath Akram</v>
      </c>
      <c r="C201" s="128" t="str">
        <f>IFERROR(__xludf.DUMMYFUNCTION("""COMPUTED_VALUE"""),"General Member")</f>
        <v>General Member</v>
      </c>
      <c r="D201" s="127" t="str">
        <f>IFERROR(__xludf.DUMMYFUNCTION("""COMPUTED_VALUE"""),"rukhsath.akram@g.bracu.ac.bd")</f>
        <v>rukhsath.akram@g.bracu.ac.bd</v>
      </c>
    </row>
    <row r="202" ht="22.5" customHeight="1">
      <c r="A202" s="127">
        <f>IFERROR(__xludf.DUMMYFUNCTION("""COMPUTED_VALUE"""),2.2301244E7)</f>
        <v>22301244</v>
      </c>
      <c r="B202" s="127" t="str">
        <f>IFERROR(__xludf.DUMMYFUNCTION("""COMPUTED_VALUE"""),"ahammad asif")</f>
        <v>ahammad asif</v>
      </c>
      <c r="C202" s="128" t="str">
        <f>IFERROR(__xludf.DUMMYFUNCTION("""COMPUTED_VALUE"""),"General Member")</f>
        <v>General Member</v>
      </c>
      <c r="D202" s="127" t="str">
        <f>IFERROR(__xludf.DUMMYFUNCTION("""COMPUTED_VALUE"""),"ahammad.asif@g.bracu.ac.bd")</f>
        <v>ahammad.asif@g.bracu.ac.bd</v>
      </c>
    </row>
    <row r="203" ht="22.5" customHeight="1">
      <c r="A203" s="127">
        <f>IFERROR(__xludf.DUMMYFUNCTION("""COMPUTED_VALUE"""),2.4201197E7)</f>
        <v>24201197</v>
      </c>
      <c r="B203" s="127" t="str">
        <f>IFERROR(__xludf.DUMMYFUNCTION("""COMPUTED_VALUE"""),"Sara Binte Zaman Roja")</f>
        <v>Sara Binte Zaman Roja</v>
      </c>
      <c r="C203" s="128" t="str">
        <f>IFERROR(__xludf.DUMMYFUNCTION("""COMPUTED_VALUE"""),"General Member")</f>
        <v>General Member</v>
      </c>
      <c r="D203" s="127" t="str">
        <f>IFERROR(__xludf.DUMMYFUNCTION("""COMPUTED_VALUE"""),"sara.binte.zaman@g.bracu.ac.bd")</f>
        <v>sara.binte.zaman@g.bracu.ac.bd</v>
      </c>
    </row>
    <row r="204" ht="22.5" customHeight="1">
      <c r="A204" s="127">
        <f>IFERROR(__xludf.DUMMYFUNCTION("""COMPUTED_VALUE"""),2.4201031E7)</f>
        <v>24201031</v>
      </c>
      <c r="B204" s="127" t="str">
        <f>IFERROR(__xludf.DUMMYFUNCTION("""COMPUTED_VALUE"""),"Abu Sufian Siam")</f>
        <v>Abu Sufian Siam</v>
      </c>
      <c r="C204" s="128" t="str">
        <f>IFERROR(__xludf.DUMMYFUNCTION("""COMPUTED_VALUE"""),"General Member")</f>
        <v>General Member</v>
      </c>
      <c r="D204" s="127" t="str">
        <f>IFERROR(__xludf.DUMMYFUNCTION("""COMPUTED_VALUE"""),"abu.sufian.siam@g.bracu.ac.bd")</f>
        <v>abu.sufian.siam@g.bracu.ac.bd</v>
      </c>
    </row>
    <row r="205" ht="22.5" customHeight="1">
      <c r="A205" s="127">
        <f>IFERROR(__xludf.DUMMYFUNCTION("""COMPUTED_VALUE"""),2.421502E7)</f>
        <v>24215020</v>
      </c>
      <c r="B205" s="127" t="str">
        <f>IFERROR(__xludf.DUMMYFUNCTION("""COMPUTED_VALUE"""),"MD.Tabiul Morsalin Kabir")</f>
        <v>MD.Tabiul Morsalin Kabir</v>
      </c>
      <c r="C205" s="128" t="str">
        <f>IFERROR(__xludf.DUMMYFUNCTION("""COMPUTED_VALUE"""),"General Member")</f>
        <v>General Member</v>
      </c>
      <c r="D205" s="127" t="str">
        <f>IFERROR(__xludf.DUMMYFUNCTION("""COMPUTED_VALUE"""),"tabiul.morsalin.kabir@g.bracu.ac.bd")</f>
        <v>tabiul.morsalin.kabir@g.bracu.ac.bd</v>
      </c>
    </row>
    <row r="206" ht="22.5" customHeight="1">
      <c r="A206" s="127">
        <f>IFERROR(__xludf.DUMMYFUNCTION("""COMPUTED_VALUE"""),2.4201213E7)</f>
        <v>24201213</v>
      </c>
      <c r="B206" s="127" t="str">
        <f>IFERROR(__xludf.DUMMYFUNCTION("""COMPUTED_VALUE"""),"Humayara Kabir Nuha")</f>
        <v>Humayara Kabir Nuha</v>
      </c>
      <c r="C206" s="128" t="str">
        <f>IFERROR(__xludf.DUMMYFUNCTION("""COMPUTED_VALUE"""),"General Member")</f>
        <v>General Member</v>
      </c>
      <c r="D206" s="127" t="str">
        <f>IFERROR(__xludf.DUMMYFUNCTION("""COMPUTED_VALUE"""),"humayara.kabir.nuha@g.bracu.ac.bd")</f>
        <v>humayara.kabir.nuha@g.bracu.ac.bd</v>
      </c>
    </row>
    <row r="207" ht="22.5" customHeight="1">
      <c r="A207" s="127">
        <f>IFERROR(__xludf.DUMMYFUNCTION("""COMPUTED_VALUE"""),2.4301161E7)</f>
        <v>24301161</v>
      </c>
      <c r="B207" s="127" t="str">
        <f>IFERROR(__xludf.DUMMYFUNCTION("""COMPUTED_VALUE"""),"Israt Jahan Esha")</f>
        <v>Israt Jahan Esha</v>
      </c>
      <c r="C207" s="128" t="str">
        <f>IFERROR(__xludf.DUMMYFUNCTION("""COMPUTED_VALUE"""),"General Member")</f>
        <v>General Member</v>
      </c>
      <c r="D207" s="127" t="str">
        <f>IFERROR(__xludf.DUMMYFUNCTION("""COMPUTED_VALUE"""),"israt.jahan.esha1@g.bracu.ac.bd")</f>
        <v>israt.jahan.esha1@g.bracu.ac.bd</v>
      </c>
    </row>
    <row r="208" ht="22.5" customHeight="1">
      <c r="A208" s="127">
        <f>IFERROR(__xludf.DUMMYFUNCTION("""COMPUTED_VALUE"""),2.4201261E7)</f>
        <v>24201261</v>
      </c>
      <c r="B208" s="127" t="str">
        <f>IFERROR(__xludf.DUMMYFUNCTION("""COMPUTED_VALUE"""),"Rafid Abdullah")</f>
        <v>Rafid Abdullah</v>
      </c>
      <c r="C208" s="128" t="str">
        <f>IFERROR(__xludf.DUMMYFUNCTION("""COMPUTED_VALUE"""),"General Member")</f>
        <v>General Member</v>
      </c>
      <c r="D208" s="127" t="str">
        <f>IFERROR(__xludf.DUMMYFUNCTION("""COMPUTED_VALUE"""),"md.abdullah.rafid@g.bracu.ac.bd")</f>
        <v>md.abdullah.rafid@g.bracu.ac.bd</v>
      </c>
    </row>
    <row r="209" ht="22.5" customHeight="1">
      <c r="A209" s="127">
        <f>IFERROR(__xludf.DUMMYFUNCTION("""COMPUTED_VALUE"""),2.420133E7)</f>
        <v>24201330</v>
      </c>
      <c r="B209" s="127" t="str">
        <f>IFERROR(__xludf.DUMMYFUNCTION("""COMPUTED_VALUE"""),"Khadija Alam")</f>
        <v>Khadija Alam</v>
      </c>
      <c r="C209" s="128" t="str">
        <f>IFERROR(__xludf.DUMMYFUNCTION("""COMPUTED_VALUE"""),"General Member")</f>
        <v>General Member</v>
      </c>
      <c r="D209" s="127" t="str">
        <f>IFERROR(__xludf.DUMMYFUNCTION("""COMPUTED_VALUE"""),"khadija.alam@g.bracu.ac.bd")</f>
        <v>khadija.alam@g.bracu.ac.bd</v>
      </c>
    </row>
    <row r="210" ht="22.5" customHeight="1">
      <c r="A210" s="127">
        <f>IFERROR(__xludf.DUMMYFUNCTION("""COMPUTED_VALUE"""),2.4201023E7)</f>
        <v>24201023</v>
      </c>
      <c r="B210" s="127" t="str">
        <f>IFERROR(__xludf.DUMMYFUNCTION("""COMPUTED_VALUE"""),"Moontarin Ahmed")</f>
        <v>Moontarin Ahmed</v>
      </c>
      <c r="C210" s="128" t="str">
        <f>IFERROR(__xludf.DUMMYFUNCTION("""COMPUTED_VALUE"""),"General Member")</f>
        <v>General Member</v>
      </c>
      <c r="D210" s="127" t="str">
        <f>IFERROR(__xludf.DUMMYFUNCTION("""COMPUTED_VALUE"""),"moontarin.ahmed@g.bracu.ac.bd")</f>
        <v>moontarin.ahmed@g.bracu.ac.bd</v>
      </c>
    </row>
    <row r="211" ht="22.5" customHeight="1">
      <c r="A211" s="127">
        <f>IFERROR(__xludf.DUMMYFUNCTION("""COMPUTED_VALUE"""),2.2201532E7)</f>
        <v>22201532</v>
      </c>
      <c r="B211" s="127" t="str">
        <f>IFERROR(__xludf.DUMMYFUNCTION("""COMPUTED_VALUE"""),"Sanjana jahan maha")</f>
        <v>Sanjana jahan maha</v>
      </c>
      <c r="C211" s="128" t="str">
        <f>IFERROR(__xludf.DUMMYFUNCTION("""COMPUTED_VALUE"""),"General Member")</f>
        <v>General Member</v>
      </c>
      <c r="D211" s="127" t="str">
        <f>IFERROR(__xludf.DUMMYFUNCTION("""COMPUTED_VALUE"""),"sanjana.jahan.maha@g.bracu.ac.bd")</f>
        <v>sanjana.jahan.maha@g.bracu.ac.bd</v>
      </c>
    </row>
    <row r="212" ht="22.5" customHeight="1">
      <c r="A212" s="127">
        <f>IFERROR(__xludf.DUMMYFUNCTION("""COMPUTED_VALUE"""),2.3201204E7)</f>
        <v>23201204</v>
      </c>
      <c r="B212" s="127" t="str">
        <f>IFERROR(__xludf.DUMMYFUNCTION("""COMPUTED_VALUE"""),"Khan Mohammed Fahad")</f>
        <v>Khan Mohammed Fahad</v>
      </c>
      <c r="C212" s="128" t="str">
        <f>IFERROR(__xludf.DUMMYFUNCTION("""COMPUTED_VALUE"""),"General Member")</f>
        <v>General Member</v>
      </c>
      <c r="D212" s="127" t="str">
        <f>IFERROR(__xludf.DUMMYFUNCTION("""COMPUTED_VALUE"""),"khan.mohammed.fahad@g.bracu.ac.bd")</f>
        <v>khan.mohammed.fahad@g.bracu.ac.bd</v>
      </c>
    </row>
    <row r="213" ht="22.5" customHeight="1">
      <c r="A213" s="127">
        <f>IFERROR(__xludf.DUMMYFUNCTION("""COMPUTED_VALUE"""),2.2201757E7)</f>
        <v>22201757</v>
      </c>
      <c r="B213" s="127" t="str">
        <f>IFERROR(__xludf.DUMMYFUNCTION("""COMPUTED_VALUE"""),"Audity Biswas")</f>
        <v>Audity Biswas</v>
      </c>
      <c r="C213" s="128" t="str">
        <f>IFERROR(__xludf.DUMMYFUNCTION("""COMPUTED_VALUE"""),"General Member")</f>
        <v>General Member</v>
      </c>
      <c r="D213" s="127" t="str">
        <f>IFERROR(__xludf.DUMMYFUNCTION("""COMPUTED_VALUE"""),"audity.biswas@g.bracu.ac.bd")</f>
        <v>audity.biswas@g.bracu.ac.bd</v>
      </c>
    </row>
    <row r="214" ht="22.5" customHeight="1">
      <c r="A214" s="127">
        <f>IFERROR(__xludf.DUMMYFUNCTION("""COMPUTED_VALUE"""),2.2201844E7)</f>
        <v>22201844</v>
      </c>
      <c r="B214" s="127" t="str">
        <f>IFERROR(__xludf.DUMMYFUNCTION("""COMPUTED_VALUE"""),"Arijit Barua Turza")</f>
        <v>Arijit Barua Turza</v>
      </c>
      <c r="C214" s="128" t="str">
        <f>IFERROR(__xludf.DUMMYFUNCTION("""COMPUTED_VALUE"""),"General Member")</f>
        <v>General Member</v>
      </c>
      <c r="D214" s="127" t="str">
        <f>IFERROR(__xludf.DUMMYFUNCTION("""COMPUTED_VALUE"""),"arijit.barua.turza@g.bracu.ac.bd")</f>
        <v>arijit.barua.turza@g.bracu.ac.bd</v>
      </c>
    </row>
    <row r="215" ht="22.5" customHeight="1">
      <c r="A215" s="127">
        <f>IFERROR(__xludf.DUMMYFUNCTION("""COMPUTED_VALUE"""),2.3101228E7)</f>
        <v>23101228</v>
      </c>
      <c r="B215" s="127" t="str">
        <f>IFERROR(__xludf.DUMMYFUNCTION("""COMPUTED_VALUE"""),"Abdullah Sajid Nafi")</f>
        <v>Abdullah Sajid Nafi</v>
      </c>
      <c r="C215" s="128" t="str">
        <f>IFERROR(__xludf.DUMMYFUNCTION("""COMPUTED_VALUE"""),"General Member")</f>
        <v>General Member</v>
      </c>
      <c r="D215" s="127" t="str">
        <f>IFERROR(__xludf.DUMMYFUNCTION("""COMPUTED_VALUE"""),"abdullah.sajid.nafi@g.bracu.ac.bd")</f>
        <v>abdullah.sajid.nafi@g.bracu.ac.bd</v>
      </c>
    </row>
    <row r="216" ht="22.5" customHeight="1">
      <c r="A216" s="127">
        <f>IFERROR(__xludf.DUMMYFUNCTION("""COMPUTED_VALUE"""),2.3101461E7)</f>
        <v>23101461</v>
      </c>
      <c r="B216" s="127" t="str">
        <f>IFERROR(__xludf.DUMMYFUNCTION("""COMPUTED_VALUE"""),"Nowshin Tabassum")</f>
        <v>Nowshin Tabassum</v>
      </c>
      <c r="C216" s="128" t="str">
        <f>IFERROR(__xludf.DUMMYFUNCTION("""COMPUTED_VALUE"""),"General Member")</f>
        <v>General Member</v>
      </c>
      <c r="D216" s="127" t="str">
        <f>IFERROR(__xludf.DUMMYFUNCTION("""COMPUTED_VALUE"""),"nowshin.tabassum1@g.bracu.ac.bd")</f>
        <v>nowshin.tabassum1@g.bracu.ac.bd</v>
      </c>
    </row>
    <row r="217" ht="22.5" customHeight="1">
      <c r="A217" s="127">
        <f>IFERROR(__xludf.DUMMYFUNCTION("""COMPUTED_VALUE"""),2.3101539E7)</f>
        <v>23101539</v>
      </c>
      <c r="B217" s="127" t="str">
        <f>IFERROR(__xludf.DUMMYFUNCTION("""COMPUTED_VALUE"""),"Md.Ahsan Habib Khan")</f>
        <v>Md.Ahsan Habib Khan</v>
      </c>
      <c r="C217" s="128" t="str">
        <f>IFERROR(__xludf.DUMMYFUNCTION("""COMPUTED_VALUE"""),"General Member")</f>
        <v>General Member</v>
      </c>
      <c r="D217" s="127" t="str">
        <f>IFERROR(__xludf.DUMMYFUNCTION("""COMPUTED_VALUE"""),"ahsan.habib.khan@g.bracu.ac.bd")</f>
        <v>ahsan.habib.khan@g.bracu.ac.bd</v>
      </c>
    </row>
    <row r="218" ht="22.5" customHeight="1">
      <c r="A218" s="127">
        <f>IFERROR(__xludf.DUMMYFUNCTION("""COMPUTED_VALUE"""),2.3201016E7)</f>
        <v>23201016</v>
      </c>
      <c r="B218" s="127" t="str">
        <f>IFERROR(__xludf.DUMMYFUNCTION("""COMPUTED_VALUE"""),"Arafat Hossain Ahad")</f>
        <v>Arafat Hossain Ahad</v>
      </c>
      <c r="C218" s="128" t="str">
        <f>IFERROR(__xludf.DUMMYFUNCTION("""COMPUTED_VALUE"""),"General Member")</f>
        <v>General Member</v>
      </c>
      <c r="D218" s="127" t="str">
        <f>IFERROR(__xludf.DUMMYFUNCTION("""COMPUTED_VALUE"""),"arafat.hossain.ahad@g.bracu.ac.bd")</f>
        <v>arafat.hossain.ahad@g.bracu.ac.bd</v>
      </c>
    </row>
    <row r="219" ht="22.5" customHeight="1">
      <c r="A219" s="127">
        <f>IFERROR(__xludf.DUMMYFUNCTION("""COMPUTED_VALUE"""),2.320138E7)</f>
        <v>23201380</v>
      </c>
      <c r="B219" s="127" t="str">
        <f>IFERROR(__xludf.DUMMYFUNCTION("""COMPUTED_VALUE"""),"Akidanoor  E Jannat")</f>
        <v>Akidanoor  E Jannat</v>
      </c>
      <c r="C219" s="128" t="str">
        <f>IFERROR(__xludf.DUMMYFUNCTION("""COMPUTED_VALUE"""),"General Member")</f>
        <v>General Member</v>
      </c>
      <c r="D219" s="127" t="str">
        <f>IFERROR(__xludf.DUMMYFUNCTION("""COMPUTED_VALUE"""),"akidanoor.e.jannat@g.bracu.ac.bd")</f>
        <v>akidanoor.e.jannat@g.bracu.ac.bd</v>
      </c>
    </row>
    <row r="220" ht="22.5" customHeight="1">
      <c r="A220" s="127">
        <f>IFERROR(__xludf.DUMMYFUNCTION("""COMPUTED_VALUE"""),2.32015E7)</f>
        <v>23201500</v>
      </c>
      <c r="B220" s="127" t="str">
        <f>IFERROR(__xludf.DUMMYFUNCTION("""COMPUTED_VALUE"""),"Tasmiah Abrar Farah")</f>
        <v>Tasmiah Abrar Farah</v>
      </c>
      <c r="C220" s="128" t="str">
        <f>IFERROR(__xludf.DUMMYFUNCTION("""COMPUTED_VALUE"""),"General Member")</f>
        <v>General Member</v>
      </c>
      <c r="D220" s="127" t="str">
        <f>IFERROR(__xludf.DUMMYFUNCTION("""COMPUTED_VALUE"""),"tasmiah.abrar.farah@g.bracu.ac.bd")</f>
        <v>tasmiah.abrar.farah@g.bracu.ac.bd</v>
      </c>
    </row>
    <row r="221" ht="22.5" customHeight="1">
      <c r="A221" s="127">
        <f>IFERROR(__xludf.DUMMYFUNCTION("""COMPUTED_VALUE"""),2.3236107E7)</f>
        <v>23236107</v>
      </c>
      <c r="B221" s="127" t="str">
        <f>IFERROR(__xludf.DUMMYFUNCTION("""COMPUTED_VALUE"""),"Samira Jahan")</f>
        <v>Samira Jahan</v>
      </c>
      <c r="C221" s="128" t="str">
        <f>IFERROR(__xludf.DUMMYFUNCTION("""COMPUTED_VALUE"""),"General Member")</f>
        <v>General Member</v>
      </c>
      <c r="D221" s="127" t="str">
        <f>IFERROR(__xludf.DUMMYFUNCTION("""COMPUTED_VALUE"""),"samira.jahan1@g.bracu.ac.bd")</f>
        <v>samira.jahan1@g.bracu.ac.bd</v>
      </c>
    </row>
    <row r="222" ht="22.5" customHeight="1">
      <c r="A222" s="127">
        <f>IFERROR(__xludf.DUMMYFUNCTION("""COMPUTED_VALUE"""),2.3301182E7)</f>
        <v>23301182</v>
      </c>
      <c r="B222" s="127" t="str">
        <f>IFERROR(__xludf.DUMMYFUNCTION("""COMPUTED_VALUE"""),"Tasnin Tabassum Niha")</f>
        <v>Tasnin Tabassum Niha</v>
      </c>
      <c r="C222" s="128" t="str">
        <f>IFERROR(__xludf.DUMMYFUNCTION("""COMPUTED_VALUE"""),"General Member")</f>
        <v>General Member</v>
      </c>
      <c r="D222" s="127" t="str">
        <f>IFERROR(__xludf.DUMMYFUNCTION("""COMPUTED_VALUE"""),"tasnin.tabassum.niha@g.bracu.ac.bd")</f>
        <v>tasnin.tabassum.niha@g.bracu.ac.bd</v>
      </c>
    </row>
    <row r="223" ht="22.5" customHeight="1">
      <c r="A223" s="127">
        <f>IFERROR(__xludf.DUMMYFUNCTION("""COMPUTED_VALUE"""),2.330413E7)</f>
        <v>23304130</v>
      </c>
      <c r="B223" s="127" t="str">
        <f>IFERROR(__xludf.DUMMYFUNCTION("""COMPUTED_VALUE"""),"Tasnoba Rahman")</f>
        <v>Tasnoba Rahman</v>
      </c>
      <c r="C223" s="128" t="str">
        <f>IFERROR(__xludf.DUMMYFUNCTION("""COMPUTED_VALUE"""),"General Member")</f>
        <v>General Member</v>
      </c>
      <c r="D223" s="127" t="str">
        <f>IFERROR(__xludf.DUMMYFUNCTION("""COMPUTED_VALUE"""),"tasnoba.rahman.noba@g.bracu.ac.bd")</f>
        <v>tasnoba.rahman.noba@g.bracu.ac.bd</v>
      </c>
    </row>
    <row r="224" ht="22.5" customHeight="1">
      <c r="A224" s="127">
        <f>IFERROR(__xludf.DUMMYFUNCTION("""COMPUTED_VALUE"""),2.410102E7)</f>
        <v>24101020</v>
      </c>
      <c r="B224" s="127" t="str">
        <f>IFERROR(__xludf.DUMMYFUNCTION("""COMPUTED_VALUE"""),"Tasfiqul Islam")</f>
        <v>Tasfiqul Islam</v>
      </c>
      <c r="C224" s="128" t="str">
        <f>IFERROR(__xludf.DUMMYFUNCTION("""COMPUTED_VALUE"""),"General Member")</f>
        <v>General Member</v>
      </c>
      <c r="D224" s="127" t="str">
        <f>IFERROR(__xludf.DUMMYFUNCTION("""COMPUTED_VALUE"""),"tasfiqul.islam.tarif@g.bracu.ac.bd")</f>
        <v>tasfiqul.islam.tarif@g.bracu.ac.bd</v>
      </c>
    </row>
    <row r="225" ht="22.5" customHeight="1">
      <c r="A225" s="127">
        <f>IFERROR(__xludf.DUMMYFUNCTION("""COMPUTED_VALUE"""),2.4101492E7)</f>
        <v>24101492</v>
      </c>
      <c r="B225" s="127" t="str">
        <f>IFERROR(__xludf.DUMMYFUNCTION("""COMPUTED_VALUE"""),"Mehnaz Atika Bristi")</f>
        <v>Mehnaz Atika Bristi</v>
      </c>
      <c r="C225" s="128" t="str">
        <f>IFERROR(__xludf.DUMMYFUNCTION("""COMPUTED_VALUE"""),"General Member")</f>
        <v>General Member</v>
      </c>
      <c r="D225" s="127" t="str">
        <f>IFERROR(__xludf.DUMMYFUNCTION("""COMPUTED_VALUE"""),"mehnaz.atika.bristi@g.bracu.ac.bd")</f>
        <v>mehnaz.atika.bristi@g.bracu.ac.bd</v>
      </c>
    </row>
    <row r="226" ht="22.5" customHeight="1">
      <c r="A226" s="127">
        <f>IFERROR(__xludf.DUMMYFUNCTION("""COMPUTED_VALUE"""),2.4201162E7)</f>
        <v>24201162</v>
      </c>
      <c r="B226" s="127" t="str">
        <f>IFERROR(__xludf.DUMMYFUNCTION("""COMPUTED_VALUE"""),"MD AFNAN TALUKDER")</f>
        <v>MD AFNAN TALUKDER</v>
      </c>
      <c r="C226" s="128" t="str">
        <f>IFERROR(__xludf.DUMMYFUNCTION("""COMPUTED_VALUE"""),"General Member")</f>
        <v>General Member</v>
      </c>
      <c r="D226" s="127" t="str">
        <f>IFERROR(__xludf.DUMMYFUNCTION("""COMPUTED_VALUE"""),"md.afnan.talukder@g.bracu.ac.bd")</f>
        <v>md.afnan.talukder@g.bracu.ac.bd</v>
      </c>
    </row>
    <row r="227" ht="22.5" customHeight="1">
      <c r="A227" s="127">
        <f>IFERROR(__xludf.DUMMYFUNCTION("""COMPUTED_VALUE"""),2.420119E7)</f>
        <v>24201190</v>
      </c>
      <c r="B227" s="127" t="str">
        <f>IFERROR(__xludf.DUMMYFUNCTION("""COMPUTED_VALUE"""),"Naim Iftekhar Rahman")</f>
        <v>Naim Iftekhar Rahman</v>
      </c>
      <c r="C227" s="128" t="str">
        <f>IFERROR(__xludf.DUMMYFUNCTION("""COMPUTED_VALUE"""),"General Member")</f>
        <v>General Member</v>
      </c>
      <c r="D227" s="127" t="str">
        <f>IFERROR(__xludf.DUMMYFUNCTION("""COMPUTED_VALUE"""),"naim.iftekhar.rahman@g.bracu.ac.bd")</f>
        <v>naim.iftekhar.rahman@g.bracu.ac.bd</v>
      </c>
    </row>
    <row r="228" ht="22.5" customHeight="1">
      <c r="A228" s="127">
        <f>IFERROR(__xludf.DUMMYFUNCTION("""COMPUTED_VALUE"""),2.4201318E7)</f>
        <v>24201318</v>
      </c>
      <c r="B228" s="127" t="str">
        <f>IFERROR(__xludf.DUMMYFUNCTION("""COMPUTED_VALUE"""),"Iftakhar Tausif Nur")</f>
        <v>Iftakhar Tausif Nur</v>
      </c>
      <c r="C228" s="128" t="str">
        <f>IFERROR(__xludf.DUMMYFUNCTION("""COMPUTED_VALUE"""),"General Member")</f>
        <v>General Member</v>
      </c>
      <c r="D228" s="127" t="str">
        <f>IFERROR(__xludf.DUMMYFUNCTION("""COMPUTED_VALUE"""),"iftakhar.tausif.nur@g.bracu.ac.bd")</f>
        <v>iftakhar.tausif.nur@g.bracu.ac.bd</v>
      </c>
    </row>
    <row r="229" ht="22.5" customHeight="1">
      <c r="A229" s="127">
        <f>IFERROR(__xludf.DUMMYFUNCTION("""COMPUTED_VALUE"""),2.4301424E7)</f>
        <v>24301424</v>
      </c>
      <c r="B229" s="127" t="str">
        <f>IFERROR(__xludf.DUMMYFUNCTION("""COMPUTED_VALUE"""),"Ananna Hossain")</f>
        <v>Ananna Hossain</v>
      </c>
      <c r="C229" s="128" t="str">
        <f>IFERROR(__xludf.DUMMYFUNCTION("""COMPUTED_VALUE"""),"General Member")</f>
        <v>General Member</v>
      </c>
      <c r="D229" s="127" t="str">
        <f>IFERROR(__xludf.DUMMYFUNCTION("""COMPUTED_VALUE"""),"ananna.hossain2@g.bracu.ac.bd")</f>
        <v>ananna.hossain2@g.bracu.ac.bd</v>
      </c>
    </row>
    <row r="230" ht="22.5" customHeight="1">
      <c r="A230" s="127">
        <f>IFERROR(__xludf.DUMMYFUNCTION("""COMPUTED_VALUE"""),2.4315029E7)</f>
        <v>24315029</v>
      </c>
      <c r="B230" s="127" t="str">
        <f>IFERROR(__xludf.DUMMYFUNCTION("""COMPUTED_VALUE"""),"Nusrat Rahman")</f>
        <v>Nusrat Rahman</v>
      </c>
      <c r="C230" s="128" t="str">
        <f>IFERROR(__xludf.DUMMYFUNCTION("""COMPUTED_VALUE"""),"General Member")</f>
        <v>General Member</v>
      </c>
      <c r="D230" s="127" t="str">
        <f>IFERROR(__xludf.DUMMYFUNCTION("""COMPUTED_VALUE"""),"nusrat.rahman1@g.bracu.ac.bd")</f>
        <v>nusrat.rahman1@g.bracu.ac.bd</v>
      </c>
    </row>
    <row r="231" ht="22.5" customHeight="1">
      <c r="A231" s="127">
        <f>IFERROR(__xludf.DUMMYFUNCTION("""COMPUTED_VALUE"""),2.5108003E7)</f>
        <v>25108003</v>
      </c>
      <c r="B231" s="127" t="str">
        <f>IFERROR(__xludf.DUMMYFUNCTION("""COMPUTED_VALUE"""),"QUAZI SUMAIYA HOQUE")</f>
        <v>QUAZI SUMAIYA HOQUE</v>
      </c>
      <c r="C231" s="128" t="str">
        <f>IFERROR(__xludf.DUMMYFUNCTION("""COMPUTED_VALUE"""),"General Member")</f>
        <v>General Member</v>
      </c>
      <c r="D231" s="127" t="str">
        <f>IFERROR(__xludf.DUMMYFUNCTION("""COMPUTED_VALUE"""),"quazi.sumaiya.hoque@g.bracu.ac.bd")</f>
        <v>quazi.sumaiya.hoque@g.bracu.ac.bd</v>
      </c>
    </row>
    <row r="232" ht="22.5" customHeight="1">
      <c r="A232" s="127">
        <f>IFERROR(__xludf.DUMMYFUNCTION("""COMPUTED_VALUE"""),2.5108004E7)</f>
        <v>25108004</v>
      </c>
      <c r="B232" s="127" t="str">
        <f>IFERROR(__xludf.DUMMYFUNCTION("""COMPUTED_VALUE"""),"Maisha Haque Sneha")</f>
        <v>Maisha Haque Sneha</v>
      </c>
      <c r="C232" s="128" t="str">
        <f>IFERROR(__xludf.DUMMYFUNCTION("""COMPUTED_VALUE"""),"General Member")</f>
        <v>General Member</v>
      </c>
      <c r="D232" s="127" t="str">
        <f>IFERROR(__xludf.DUMMYFUNCTION("""COMPUTED_VALUE"""),"maisha.haque.sneha@g.bracu.ac.bd")</f>
        <v>maisha.haque.sneha@g.bracu.ac.bd</v>
      </c>
    </row>
    <row r="233" ht="22.5" customHeight="1">
      <c r="A233" s="127">
        <f>IFERROR(__xludf.DUMMYFUNCTION("""COMPUTED_VALUE"""),1.000054183E9)</f>
        <v>1000054183</v>
      </c>
      <c r="B233" s="127" t="str">
        <f>IFERROR(__xludf.DUMMYFUNCTION("""COMPUTED_VALUE"""),"Khandoker Tanjim Rahman")</f>
        <v>Khandoker Tanjim Rahman</v>
      </c>
      <c r="C233" s="128" t="str">
        <f>IFERROR(__xludf.DUMMYFUNCTION("""COMPUTED_VALUE"""),"General Member")</f>
        <v>General Member</v>
      </c>
      <c r="D233" s="127" t="str">
        <f>IFERROR(__xludf.DUMMYFUNCTION("""COMPUTED_VALUE"""),"khandoker.tanjim.rahman@g.bracu.ac.bd")</f>
        <v>khandoker.tanjim.rahman@g.bracu.ac.bd</v>
      </c>
    </row>
    <row r="234" ht="22.5" customHeight="1">
      <c r="A234" s="127">
        <f>IFERROR(__xludf.DUMMYFUNCTION("""COMPUTED_VALUE"""),1.000055051E9)</f>
        <v>1000055051</v>
      </c>
      <c r="B234" s="127" t="str">
        <f>IFERROR(__xludf.DUMMYFUNCTION("""COMPUTED_VALUE"""),"MD zayed")</f>
        <v>MD zayed</v>
      </c>
      <c r="C234" s="128" t="str">
        <f>IFERROR(__xludf.DUMMYFUNCTION("""COMPUTED_VALUE"""),"General Member")</f>
        <v>General Member</v>
      </c>
      <c r="D234" s="127" t="str">
        <f>IFERROR(__xludf.DUMMYFUNCTION("""COMPUTED_VALUE"""),"md.zayed@g.bracu.ac.bd")</f>
        <v>md.zayed@g.bracu.ac.bd</v>
      </c>
    </row>
    <row r="235" ht="22.5" customHeight="1">
      <c r="A235" s="127">
        <f>IFERROR(__xludf.DUMMYFUNCTION("""COMPUTED_VALUE"""),1.00005522E9)</f>
        <v>1000055220</v>
      </c>
      <c r="B235" s="127" t="str">
        <f>IFERROR(__xludf.DUMMYFUNCTION("""COMPUTED_VALUE"""),"Junayed Ausaf")</f>
        <v>Junayed Ausaf</v>
      </c>
      <c r="C235" s="128" t="str">
        <f>IFERROR(__xludf.DUMMYFUNCTION("""COMPUTED_VALUE"""),"General Member")</f>
        <v>General Member</v>
      </c>
      <c r="D235" s="127" t="str">
        <f>IFERROR(__xludf.DUMMYFUNCTION("""COMPUTED_VALUE"""),"junayed.ausaf@g.bracu.ac.bd")</f>
        <v>junayed.ausaf@g.bracu.ac.bd</v>
      </c>
    </row>
    <row r="236" ht="22.5" customHeight="1">
      <c r="A236" s="127">
        <f>IFERROR(__xludf.DUMMYFUNCTION("""COMPUTED_VALUE"""),2.4101224E7)</f>
        <v>24101224</v>
      </c>
      <c r="B236" s="127" t="str">
        <f>IFERROR(__xludf.DUMMYFUNCTION("""COMPUTED_VALUE"""),"Joy Kumer Tarafder")</f>
        <v>Joy Kumer Tarafder</v>
      </c>
      <c r="C236" s="128" t="str">
        <f>IFERROR(__xludf.DUMMYFUNCTION("""COMPUTED_VALUE"""),"General Member")</f>
        <v>General Member</v>
      </c>
      <c r="D236" s="127" t="str">
        <f>IFERROR(__xludf.DUMMYFUNCTION("""COMPUTED_VALUE"""),"joy.kumer.tarafder@g.bracu.ac.bd")</f>
        <v>joy.kumer.tarafder@g.bracu.ac.bd</v>
      </c>
    </row>
    <row r="237" ht="22.5" customHeight="1">
      <c r="A237" s="127">
        <f>IFERROR(__xludf.DUMMYFUNCTION("""COMPUTED_VALUE"""),2.4101281E7)</f>
        <v>24101281</v>
      </c>
      <c r="B237" s="127" t="str">
        <f>IFERROR(__xludf.DUMMYFUNCTION("""COMPUTED_VALUE"""),"Md. Raik Islam")</f>
        <v>Md. Raik Islam</v>
      </c>
      <c r="C237" s="128" t="str">
        <f>IFERROR(__xludf.DUMMYFUNCTION("""COMPUTED_VALUE"""),"General Member")</f>
        <v>General Member</v>
      </c>
      <c r="D237" s="127" t="str">
        <f>IFERROR(__xludf.DUMMYFUNCTION("""COMPUTED_VALUE"""),"md.raik.islam@g.bracu.ac.bd")</f>
        <v>md.raik.islam@g.bracu.ac.bd</v>
      </c>
    </row>
    <row r="238" ht="22.5" customHeight="1">
      <c r="A238" s="127">
        <f>IFERROR(__xludf.DUMMYFUNCTION("""COMPUTED_VALUE"""),2.4301527E7)</f>
        <v>24301527</v>
      </c>
      <c r="B238" s="127" t="str">
        <f>IFERROR(__xludf.DUMMYFUNCTION("""COMPUTED_VALUE"""),"Nafis Muntasir")</f>
        <v>Nafis Muntasir</v>
      </c>
      <c r="C238" s="128" t="str">
        <f>IFERROR(__xludf.DUMMYFUNCTION("""COMPUTED_VALUE"""),"General Member")</f>
        <v>General Member</v>
      </c>
      <c r="D238" s="127" t="str">
        <f>IFERROR(__xludf.DUMMYFUNCTION("""COMPUTED_VALUE"""),"nafis.muntasir@g.bracu.ac.bd")</f>
        <v>nafis.muntasir@g.bracu.ac.bd</v>
      </c>
    </row>
    <row r="239">
      <c r="A239" s="130">
        <f>IFERROR(__xludf.DUMMYFUNCTION("""COMPUTED_VALUE"""),1.000054047E9)</f>
        <v>1000054047</v>
      </c>
      <c r="B239" s="130" t="str">
        <f>IFERROR(__xludf.DUMMYFUNCTION("""COMPUTED_VALUE"""),"SANJIDA HOSSAIN SEFA")</f>
        <v>SANJIDA HOSSAIN SEFA</v>
      </c>
      <c r="C239" s="131" t="str">
        <f>IFERROR(__xludf.DUMMYFUNCTION("""COMPUTED_VALUE"""),"General Member")</f>
        <v>General Member</v>
      </c>
      <c r="D239" s="130" t="str">
        <f>IFERROR(__xludf.DUMMYFUNCTION("""COMPUTED_VALUE"""),"sanjida.hossain.sefa@g.bracu.ac.bd")</f>
        <v>sanjida.hossain.sefa@g.bracu.ac.bd</v>
      </c>
    </row>
    <row r="240">
      <c r="A240" s="130">
        <f>IFERROR(__xludf.DUMMYFUNCTION("""COMPUTED_VALUE"""),1.000055096E9)</f>
        <v>1000055096</v>
      </c>
      <c r="B240" s="130" t="str">
        <f>IFERROR(__xludf.DUMMYFUNCTION("""COMPUTED_VALUE"""),"Nawshin Tabassum Obony")</f>
        <v>Nawshin Tabassum Obony</v>
      </c>
      <c r="C240" s="131" t="str">
        <f>IFERROR(__xludf.DUMMYFUNCTION("""COMPUTED_VALUE"""),"General Member")</f>
        <v>General Member</v>
      </c>
      <c r="D240" s="130" t="str">
        <f>IFERROR(__xludf.DUMMYFUNCTION("""COMPUTED_VALUE"""),"nawshin.tabassum.obony@g.bracu.ac.bd")</f>
        <v>nawshin.tabassum.obony@g.bracu.ac.bd</v>
      </c>
    </row>
    <row r="241">
      <c r="A241" s="130">
        <f>IFERROR(__xludf.DUMMYFUNCTION("""COMPUTED_VALUE"""),1.000054886E9)</f>
        <v>1000054886</v>
      </c>
      <c r="B241" s="130" t="str">
        <f>IFERROR(__xludf.DUMMYFUNCTION("""COMPUTED_VALUE"""),"Anika Rahman")</f>
        <v>Anika Rahman</v>
      </c>
      <c r="C241" s="131" t="str">
        <f>IFERROR(__xludf.DUMMYFUNCTION("""COMPUTED_VALUE"""),"General Member")</f>
        <v>General Member</v>
      </c>
      <c r="D241" s="130" t="str">
        <f>IFERROR(__xludf.DUMMYFUNCTION("""COMPUTED_VALUE"""),"anika.rahman2@g.bracu.ac.bd")</f>
        <v>anika.rahman2@g.bracu.ac.bd</v>
      </c>
    </row>
    <row r="242">
      <c r="A242" s="130">
        <f>IFERROR(__xludf.DUMMYFUNCTION("""COMPUTED_VALUE"""),1.000055758E9)</f>
        <v>1000055758</v>
      </c>
      <c r="B242" s="130" t="str">
        <f>IFERROR(__xludf.DUMMYFUNCTION("""COMPUTED_VALUE"""),"Fouzia Fariha")</f>
        <v>Fouzia Fariha</v>
      </c>
      <c r="C242" s="131" t="str">
        <f>IFERROR(__xludf.DUMMYFUNCTION("""COMPUTED_VALUE"""),"General Member")</f>
        <v>General Member</v>
      </c>
      <c r="D242" s="130" t="str">
        <f>IFERROR(__xludf.DUMMYFUNCTION("""COMPUTED_VALUE"""),"fouzia.fariha@g.bracu.ac.bd")</f>
        <v>fouzia.fariha@g.bracu.ac.bd</v>
      </c>
    </row>
    <row r="243">
      <c r="A243" s="130">
        <f>IFERROR(__xludf.DUMMYFUNCTION("""COMPUTED_VALUE"""),2.3201255E7)</f>
        <v>23201255</v>
      </c>
      <c r="B243" s="130" t="str">
        <f>IFERROR(__xludf.DUMMYFUNCTION("""COMPUTED_VALUE"""),"Afia Ayesha")</f>
        <v>Afia Ayesha</v>
      </c>
      <c r="C243" s="131" t="str">
        <f>IFERROR(__xludf.DUMMYFUNCTION("""COMPUTED_VALUE"""),"General Member")</f>
        <v>General Member</v>
      </c>
      <c r="D243" s="130" t="str">
        <f>IFERROR(__xludf.DUMMYFUNCTION("""COMPUTED_VALUE"""),"afia.ayesha@g.bracu.ac.bd")</f>
        <v>afia.ayesha@g.bracu.ac.bd</v>
      </c>
    </row>
    <row r="244">
      <c r="A244" s="130">
        <f>IFERROR(__xludf.DUMMYFUNCTION("""COMPUTED_VALUE"""),1.000057581E9)</f>
        <v>1000057581</v>
      </c>
      <c r="B244" s="130" t="str">
        <f>IFERROR(__xludf.DUMMYFUNCTION("""COMPUTED_VALUE"""),"Sayed Al Owalid")</f>
        <v>Sayed Al Owalid</v>
      </c>
      <c r="C244" s="131" t="str">
        <f>IFERROR(__xludf.DUMMYFUNCTION("""COMPUTED_VALUE"""),"General Member")</f>
        <v>General Member</v>
      </c>
      <c r="D244" s="130" t="str">
        <f>IFERROR(__xludf.DUMMYFUNCTION("""COMPUTED_VALUE"""),"sayed.al.owalid@g.bracu.ac.bd")</f>
        <v>sayed.al.owalid@g.bracu.ac.bd</v>
      </c>
    </row>
    <row r="245">
      <c r="A245" s="130">
        <f>IFERROR(__xludf.DUMMYFUNCTION("""COMPUTED_VALUE"""),1.000054967E9)</f>
        <v>1000054967</v>
      </c>
      <c r="B245" s="130" t="str">
        <f>IFERROR(__xludf.DUMMYFUNCTION("""COMPUTED_VALUE"""),"Sumaiya Tazreen Hai")</f>
        <v>Sumaiya Tazreen Hai</v>
      </c>
      <c r="C245" s="131" t="str">
        <f>IFERROR(__xludf.DUMMYFUNCTION("""COMPUTED_VALUE"""),"General Member")</f>
        <v>General Member</v>
      </c>
      <c r="D245" s="130" t="str">
        <f>IFERROR(__xludf.DUMMYFUNCTION("""COMPUTED_VALUE"""),"sumaiya.tazreen.hai@g.bracu.ac.bd")</f>
        <v>sumaiya.tazreen.hai@g.bracu.ac.bd</v>
      </c>
    </row>
    <row r="246">
      <c r="A246" s="130">
        <f>IFERROR(__xludf.DUMMYFUNCTION("""COMPUTED_VALUE"""),1.000057998E9)</f>
        <v>1000057998</v>
      </c>
      <c r="B246" s="130" t="str">
        <f>IFERROR(__xludf.DUMMYFUNCTION("""COMPUTED_VALUE"""),"Sazeed Mubin Islam")</f>
        <v>Sazeed Mubin Islam</v>
      </c>
      <c r="C246" s="131" t="str">
        <f>IFERROR(__xludf.DUMMYFUNCTION("""COMPUTED_VALUE"""),"General Member")</f>
        <v>General Member</v>
      </c>
      <c r="D246" s="130" t="str">
        <f>IFERROR(__xludf.DUMMYFUNCTION("""COMPUTED_VALUE"""),"sazeed.mubin.islam@g.bracu.ac.bd")</f>
        <v>sazeed.mubin.islam@g.bracu.ac.bd</v>
      </c>
    </row>
    <row r="247">
      <c r="A247" s="130">
        <f>IFERROR(__xludf.DUMMYFUNCTION("""COMPUTED_VALUE"""),1.000058664E9)</f>
        <v>1000058664</v>
      </c>
      <c r="B247" s="130" t="str">
        <f>IFERROR(__xludf.DUMMYFUNCTION("""COMPUTED_VALUE"""),"AQUIB ZAWAD ADIB")</f>
        <v>AQUIB ZAWAD ADIB</v>
      </c>
      <c r="C247" s="131" t="str">
        <f>IFERROR(__xludf.DUMMYFUNCTION("""COMPUTED_VALUE"""),"General Member")</f>
        <v>General Member</v>
      </c>
      <c r="D247" s="130" t="str">
        <f>IFERROR(__xludf.DUMMYFUNCTION("""COMPUTED_VALUE"""),"aquib.zawad@g.bracu.ac.bd")</f>
        <v>aquib.zawad@g.bracu.ac.bd</v>
      </c>
    </row>
    <row r="248">
      <c r="A248" s="130">
        <f>IFERROR(__xludf.DUMMYFUNCTION("""COMPUTED_VALUE"""),1.000056963E9)</f>
        <v>1000056963</v>
      </c>
      <c r="B248" s="130" t="str">
        <f>IFERROR(__xludf.DUMMYFUNCTION("""COMPUTED_VALUE"""),"Abid Hasan")</f>
        <v>Abid Hasan</v>
      </c>
      <c r="C248" s="131" t="str">
        <f>IFERROR(__xludf.DUMMYFUNCTION("""COMPUTED_VALUE"""),"General Member")</f>
        <v>General Member</v>
      </c>
      <c r="D248" s="130" t="str">
        <f>IFERROR(__xludf.DUMMYFUNCTION("""COMPUTED_VALUE"""),"abid.hasan1@g.bracu.ac.bd")</f>
        <v>abid.hasan1@g.bracu.ac.bd</v>
      </c>
    </row>
    <row r="249">
      <c r="A249" s="130">
        <f>IFERROR(__xludf.DUMMYFUNCTION("""COMPUTED_VALUE"""),2.4104096E7)</f>
        <v>24104096</v>
      </c>
      <c r="B249" s="130" t="str">
        <f>IFERROR(__xludf.DUMMYFUNCTION("""COMPUTED_VALUE"""),"Ifaz Akbar")</f>
        <v>Ifaz Akbar</v>
      </c>
      <c r="C249" s="131" t="str">
        <f>IFERROR(__xludf.DUMMYFUNCTION("""COMPUTED_VALUE"""),"General Member")</f>
        <v>General Member</v>
      </c>
      <c r="D249" s="130" t="str">
        <f>IFERROR(__xludf.DUMMYFUNCTION("""COMPUTED_VALUE"""),"Ifaz.akbar@g.bracu.ac.bd")</f>
        <v>Ifaz.akbar@g.bracu.ac.bd</v>
      </c>
    </row>
    <row r="250">
      <c r="A250" s="130">
        <f>IFERROR(__xludf.DUMMYFUNCTION("""COMPUTED_VALUE"""),2.4315034E7)</f>
        <v>24315034</v>
      </c>
      <c r="B250" s="130" t="str">
        <f>IFERROR(__xludf.DUMMYFUNCTION("""COMPUTED_VALUE"""),"Mohammed Sayed Anwar")</f>
        <v>Mohammed Sayed Anwar</v>
      </c>
      <c r="C250" s="131" t="str">
        <f>IFERROR(__xludf.DUMMYFUNCTION("""COMPUTED_VALUE"""),"General Member")</f>
        <v>General Member</v>
      </c>
      <c r="D250" s="130" t="str">
        <f>IFERROR(__xludf.DUMMYFUNCTION("""COMPUTED_VALUE"""),"Mohammed.sayed.anwar@g.bracu.ac.bd")</f>
        <v>Mohammed.sayed.anwar@g.bracu.ac.bd</v>
      </c>
    </row>
    <row r="251">
      <c r="A251" s="130">
        <f>IFERROR(__xludf.DUMMYFUNCTION("""COMPUTED_VALUE"""),2.3301585E7)</f>
        <v>23301585</v>
      </c>
      <c r="B251" s="130" t="str">
        <f>IFERROR(__xludf.DUMMYFUNCTION("""COMPUTED_VALUE"""),"Ahmed Abu Bakar")</f>
        <v>Ahmed Abu Bakar</v>
      </c>
      <c r="C251" s="131" t="str">
        <f>IFERROR(__xludf.DUMMYFUNCTION("""COMPUTED_VALUE"""),"General Member")</f>
        <v>General Member</v>
      </c>
      <c r="D251" s="130" t="str">
        <f>IFERROR(__xludf.DUMMYFUNCTION("""COMPUTED_VALUE"""),"ahmed.abu.bakar@g.bracu.ac.bd")</f>
        <v>ahmed.abu.bakar@g.bracu.ac.bd</v>
      </c>
    </row>
    <row r="252">
      <c r="A252" s="130">
        <f>IFERROR(__xludf.DUMMYFUNCTION("""COMPUTED_VALUE"""),2.410142E7)</f>
        <v>24101420</v>
      </c>
      <c r="B252" s="130" t="str">
        <f>IFERROR(__xludf.DUMMYFUNCTION("""COMPUTED_VALUE"""),"PRIYAM BASU")</f>
        <v>PRIYAM BASU</v>
      </c>
      <c r="C252" s="131" t="str">
        <f>IFERROR(__xludf.DUMMYFUNCTION("""COMPUTED_VALUE"""),"General Member")</f>
        <v>General Member</v>
      </c>
      <c r="D252" s="130" t="str">
        <f>IFERROR(__xludf.DUMMYFUNCTION("""COMPUTED_VALUE"""),"priyam.basu@g.bracu.ac.bd")</f>
        <v>priyam.basu@g.bracu.ac.bd</v>
      </c>
    </row>
    <row r="253">
      <c r="A253" s="130">
        <f>IFERROR(__xludf.DUMMYFUNCTION("""COMPUTED_VALUE"""),2.4201091E7)</f>
        <v>24201091</v>
      </c>
      <c r="B253" s="130" t="str">
        <f>IFERROR(__xludf.DUMMYFUNCTION("""COMPUTED_VALUE"""),"Negar Sultana Mim")</f>
        <v>Negar Sultana Mim</v>
      </c>
      <c r="C253" s="131" t="str">
        <f>IFERROR(__xludf.DUMMYFUNCTION("""COMPUTED_VALUE"""),"General Member")</f>
        <v>General Member</v>
      </c>
      <c r="D253" s="130" t="str">
        <f>IFERROR(__xludf.DUMMYFUNCTION("""COMPUTED_VALUE"""),"negar.sultana.mim@g.bracu.ac.bd")</f>
        <v>negar.sultana.mim@g.bracu.ac.bd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1.25"/>
    <col customWidth="1" min="3" max="3" width="14.0"/>
    <col customWidth="1" min="4" max="4" width="35.63"/>
  </cols>
  <sheetData>
    <row r="1" ht="22.5" customHeight="1">
      <c r="A1" s="132" t="s">
        <v>2976</v>
      </c>
      <c r="B1" s="132" t="s">
        <v>1</v>
      </c>
      <c r="C1" s="132" t="s">
        <v>3</v>
      </c>
      <c r="D1" s="132" t="s">
        <v>5</v>
      </c>
      <c r="E1" s="105"/>
    </row>
    <row r="2" ht="22.5" customHeight="1">
      <c r="A2" s="133">
        <f>IFERROR(__xludf.DUMMYFUNCTION("FILTER({All_Members!A2:A3556, All_Members!B2:B3556, All_Members!D2:D3556, All_Members!F2:F3556}, All_Members!C2:C3556 = ""Event Management"")"),2.3201521E7)</f>
        <v>23201521</v>
      </c>
      <c r="B2" s="133" t="str">
        <f>IFERROR(__xludf.DUMMYFUNCTION("""COMPUTED_VALUE"""),"Abdus Sami Rafi")</f>
        <v>Abdus Sami Rafi</v>
      </c>
      <c r="C2" s="133" t="str">
        <f>IFERROR(__xludf.DUMMYFUNCTION("""COMPUTED_VALUE"""),"Director")</f>
        <v>Director</v>
      </c>
      <c r="D2" s="133" t="str">
        <f>IFERROR(__xludf.DUMMYFUNCTION("""COMPUTED_VALUE"""),"abdus.sami.rafi@g.bracu.ac.bd")</f>
        <v>abdus.sami.rafi@g.bracu.ac.bd</v>
      </c>
      <c r="E2" s="105"/>
    </row>
    <row r="3" ht="22.5" customHeight="1">
      <c r="A3" s="133">
        <f>IFERROR(__xludf.DUMMYFUNCTION("""COMPUTED_VALUE"""),2.2299073E7)</f>
        <v>22299073</v>
      </c>
      <c r="B3" s="133" t="str">
        <f>IFERROR(__xludf.DUMMYFUNCTION("""COMPUTED_VALUE"""),"Nowrin Afrin")</f>
        <v>Nowrin Afrin</v>
      </c>
      <c r="C3" s="133" t="str">
        <f>IFERROR(__xludf.DUMMYFUNCTION("""COMPUTED_VALUE"""),"Director")</f>
        <v>Director</v>
      </c>
      <c r="D3" s="133" t="str">
        <f>IFERROR(__xludf.DUMMYFUNCTION("""COMPUTED_VALUE"""),"nowrin.afrin@g.bracu.ac.bd")</f>
        <v>nowrin.afrin@g.bracu.ac.bd</v>
      </c>
      <c r="E3" s="105"/>
    </row>
    <row r="4" ht="22.5" customHeight="1">
      <c r="A4" s="133">
        <f>IFERROR(__xludf.DUMMYFUNCTION("""COMPUTED_VALUE"""),2.3201576E7)</f>
        <v>23201576</v>
      </c>
      <c r="B4" s="133" t="str">
        <f>IFERROR(__xludf.DUMMYFUNCTION("""COMPUTED_VALUE"""),"Ifdita Hossain Chowdhury")</f>
        <v>Ifdita Hossain Chowdhury</v>
      </c>
      <c r="C4" s="133" t="str">
        <f>IFERROR(__xludf.DUMMYFUNCTION("""COMPUTED_VALUE"""),"Assistant Director")</f>
        <v>Assistant Director</v>
      </c>
      <c r="D4" s="133" t="str">
        <f>IFERROR(__xludf.DUMMYFUNCTION("""COMPUTED_VALUE"""),"ifdita.hossain.chowdhury@g.bracu.ac.bd")</f>
        <v>ifdita.hossain.chowdhury@g.bracu.ac.bd</v>
      </c>
      <c r="E4" s="105"/>
    </row>
    <row r="5" ht="22.5" customHeight="1">
      <c r="A5" s="133">
        <f>IFERROR(__xludf.DUMMYFUNCTION("""COMPUTED_VALUE"""),2.3201191E7)</f>
        <v>23201191</v>
      </c>
      <c r="B5" s="133" t="str">
        <f>IFERROR(__xludf.DUMMYFUNCTION("""COMPUTED_VALUE"""),"Muntasir Mubeen")</f>
        <v>Muntasir Mubeen</v>
      </c>
      <c r="C5" s="133" t="str">
        <f>IFERROR(__xludf.DUMMYFUNCTION("""COMPUTED_VALUE"""),"Assistant Director")</f>
        <v>Assistant Director</v>
      </c>
      <c r="D5" s="133" t="str">
        <f>IFERROR(__xludf.DUMMYFUNCTION("""COMPUTED_VALUE"""),"muntasir.mubeen@g.bracu.ac.bd")</f>
        <v>muntasir.mubeen@g.bracu.ac.bd</v>
      </c>
      <c r="E5" s="105"/>
    </row>
    <row r="6" ht="22.5" customHeight="1">
      <c r="A6" s="133">
        <f>IFERROR(__xludf.DUMMYFUNCTION("""COMPUTED_VALUE"""),2.3201605E7)</f>
        <v>23201605</v>
      </c>
      <c r="B6" s="133" t="str">
        <f>IFERROR(__xludf.DUMMYFUNCTION("""COMPUTED_VALUE"""),"Shafaitul Kabir Rudro")</f>
        <v>Shafaitul Kabir Rudro</v>
      </c>
      <c r="C6" s="133" t="str">
        <f>IFERROR(__xludf.DUMMYFUNCTION("""COMPUTED_VALUE"""),"Assistant Director")</f>
        <v>Assistant Director</v>
      </c>
      <c r="D6" s="133" t="str">
        <f>IFERROR(__xludf.DUMMYFUNCTION("""COMPUTED_VALUE"""),"shafaitul.kabir.rudro@g.bracu.ac.bd")</f>
        <v>shafaitul.kabir.rudro@g.bracu.ac.bd</v>
      </c>
      <c r="E6" s="105"/>
    </row>
    <row r="7" ht="22.5" customHeight="1">
      <c r="A7" s="133">
        <f>IFERROR(__xludf.DUMMYFUNCTION("""COMPUTED_VALUE"""),2.2201954E7)</f>
        <v>22201954</v>
      </c>
      <c r="B7" s="133" t="str">
        <f>IFERROR(__xludf.DUMMYFUNCTION("""COMPUTED_VALUE"""),"Tasnim Nida")</f>
        <v>Tasnim Nida</v>
      </c>
      <c r="C7" s="133" t="str">
        <f>IFERROR(__xludf.DUMMYFUNCTION("""COMPUTED_VALUE"""),"Assistant Director")</f>
        <v>Assistant Director</v>
      </c>
      <c r="D7" s="133" t="str">
        <f>IFERROR(__xludf.DUMMYFUNCTION("""COMPUTED_VALUE"""),"tasnim.nida@g.bracu.ac.bd")</f>
        <v>tasnim.nida@g.bracu.ac.bd</v>
      </c>
      <c r="E7" s="105"/>
    </row>
    <row r="8" ht="22.5" customHeight="1">
      <c r="A8" s="133">
        <f>IFERROR(__xludf.DUMMYFUNCTION("""COMPUTED_VALUE"""),2.4301544E7)</f>
        <v>24301544</v>
      </c>
      <c r="B8" s="133" t="str">
        <f>IFERROR(__xludf.DUMMYFUNCTION("""COMPUTED_VALUE"""),"Fahim al razy")</f>
        <v>Fahim al razy</v>
      </c>
      <c r="C8" s="133" t="str">
        <f>IFERROR(__xludf.DUMMYFUNCTION("""COMPUTED_VALUE"""),"Senior Executive")</f>
        <v>Senior Executive</v>
      </c>
      <c r="D8" s="133" t="str">
        <f>IFERROR(__xludf.DUMMYFUNCTION("""COMPUTED_VALUE"""),"fahim.al.razy@g.bracu.ac.bd")</f>
        <v>fahim.al.razy@g.bracu.ac.bd</v>
      </c>
      <c r="E8" s="105"/>
    </row>
    <row r="9" ht="22.5" customHeight="1">
      <c r="A9" s="133">
        <f>IFERROR(__xludf.DUMMYFUNCTION("""COMPUTED_VALUE"""),2.3301569E7)</f>
        <v>23301569</v>
      </c>
      <c r="B9" s="133" t="str">
        <f>IFERROR(__xludf.DUMMYFUNCTION("""COMPUTED_VALUE"""),"Md.Rahatul Islam Rahat")</f>
        <v>Md.Rahatul Islam Rahat</v>
      </c>
      <c r="C9" s="133" t="str">
        <f>IFERROR(__xludf.DUMMYFUNCTION("""COMPUTED_VALUE"""),"Senior Executive")</f>
        <v>Senior Executive</v>
      </c>
      <c r="D9" s="133" t="str">
        <f>IFERROR(__xludf.DUMMYFUNCTION("""COMPUTED_VALUE"""),"rahatul.islam.rahat@g.bracu.ac.bd")</f>
        <v>rahatul.islam.rahat@g.bracu.ac.bd</v>
      </c>
      <c r="E9" s="105"/>
    </row>
    <row r="10" ht="22.5" customHeight="1">
      <c r="A10" s="133">
        <f>IFERROR(__xludf.DUMMYFUNCTION("""COMPUTED_VALUE"""),2.3301342E7)</f>
        <v>23301342</v>
      </c>
      <c r="B10" s="133" t="str">
        <f>IFERROR(__xludf.DUMMYFUNCTION("""COMPUTED_VALUE"""),"Tayeb Islam Tosif")</f>
        <v>Tayeb Islam Tosif</v>
      </c>
      <c r="C10" s="133" t="str">
        <f>IFERROR(__xludf.DUMMYFUNCTION("""COMPUTED_VALUE"""),"Senior Executive")</f>
        <v>Senior Executive</v>
      </c>
      <c r="D10" s="133" t="str">
        <f>IFERROR(__xludf.DUMMYFUNCTION("""COMPUTED_VALUE"""),"tayeb.islam.tosif@g.bracu.ac.bd")</f>
        <v>tayeb.islam.tosif@g.bracu.ac.bd</v>
      </c>
      <c r="E10" s="105"/>
    </row>
    <row r="11" ht="22.5" customHeight="1">
      <c r="A11" s="133">
        <f>IFERROR(__xludf.DUMMYFUNCTION("""COMPUTED_VALUE"""),2.4301053E7)</f>
        <v>24301053</v>
      </c>
      <c r="B11" s="133" t="str">
        <f>IFERROR(__xludf.DUMMYFUNCTION("""COMPUTED_VALUE"""),"Zuhaer Mahtab Alif")</f>
        <v>Zuhaer Mahtab Alif</v>
      </c>
      <c r="C11" s="133" t="str">
        <f>IFERROR(__xludf.DUMMYFUNCTION("""COMPUTED_VALUE"""),"Senior Executive")</f>
        <v>Senior Executive</v>
      </c>
      <c r="D11" s="133" t="str">
        <f>IFERROR(__xludf.DUMMYFUNCTION("""COMPUTED_VALUE"""),"zuhaer.mahtab.alif@g.bracu.ac.bd")</f>
        <v>zuhaer.mahtab.alif@g.bracu.ac.bd</v>
      </c>
      <c r="E11" s="105"/>
    </row>
    <row r="12" ht="22.5" customHeight="1">
      <c r="A12" s="133">
        <f>IFERROR(__xludf.DUMMYFUNCTION("""COMPUTED_VALUE"""),2.4301415E7)</f>
        <v>24301415</v>
      </c>
      <c r="B12" s="133" t="str">
        <f>IFERROR(__xludf.DUMMYFUNCTION("""COMPUTED_VALUE"""),"Fahim Faisal")</f>
        <v>Fahim Faisal</v>
      </c>
      <c r="C12" s="133" t="str">
        <f>IFERROR(__xludf.DUMMYFUNCTION("""COMPUTED_VALUE"""),"Senior Executive")</f>
        <v>Senior Executive</v>
      </c>
      <c r="D12" s="133" t="str">
        <f>IFERROR(__xludf.DUMMYFUNCTION("""COMPUTED_VALUE"""),"fahim.faisal5@g.bracu.ac.bd")</f>
        <v>fahim.faisal5@g.bracu.ac.bd</v>
      </c>
      <c r="E12" s="105"/>
    </row>
    <row r="13" ht="22.5" customHeight="1">
      <c r="A13" s="133">
        <f>IFERROR(__xludf.DUMMYFUNCTION("""COMPUTED_VALUE"""),2.410123E7)</f>
        <v>24101230</v>
      </c>
      <c r="B13" s="133" t="str">
        <f>IFERROR(__xludf.DUMMYFUNCTION("""COMPUTED_VALUE"""),"Hibrul Anam Prantik")</f>
        <v>Hibrul Anam Prantik</v>
      </c>
      <c r="C13" s="133" t="str">
        <f>IFERROR(__xludf.DUMMYFUNCTION("""COMPUTED_VALUE"""),"Senior Executive")</f>
        <v>Senior Executive</v>
      </c>
      <c r="D13" s="133" t="str">
        <f>IFERROR(__xludf.DUMMYFUNCTION("""COMPUTED_VALUE"""),"hibrul.anam.prantik@g.bracu.ac.bd")</f>
        <v>hibrul.anam.prantik@g.bracu.ac.bd</v>
      </c>
      <c r="E13" s="105"/>
    </row>
    <row r="14" ht="22.5" customHeight="1">
      <c r="A14" s="133">
        <f>IFERROR(__xludf.DUMMYFUNCTION("""COMPUTED_VALUE"""),2.4101244E7)</f>
        <v>24101244</v>
      </c>
      <c r="B14" s="133" t="str">
        <f>IFERROR(__xludf.DUMMYFUNCTION("""COMPUTED_VALUE"""),"Talal Rahat Dipto")</f>
        <v>Talal Rahat Dipto</v>
      </c>
      <c r="C14" s="133" t="str">
        <f>IFERROR(__xludf.DUMMYFUNCTION("""COMPUTED_VALUE"""),"Senior Executive")</f>
        <v>Senior Executive</v>
      </c>
      <c r="D14" s="133" t="str">
        <f>IFERROR(__xludf.DUMMYFUNCTION("""COMPUTED_VALUE"""),"talal.rahat.dipto@g.bracu.ac.bd")</f>
        <v>talal.rahat.dipto@g.bracu.ac.bd</v>
      </c>
      <c r="E14" s="105"/>
    </row>
    <row r="15" ht="22.5" customHeight="1">
      <c r="A15" s="133">
        <f>IFERROR(__xludf.DUMMYFUNCTION("""COMPUTED_VALUE"""),2.4101299E7)</f>
        <v>24101299</v>
      </c>
      <c r="B15" s="133" t="str">
        <f>IFERROR(__xludf.DUMMYFUNCTION("""COMPUTED_VALUE"""),"Rakat-E-Jannat Raka")</f>
        <v>Rakat-E-Jannat Raka</v>
      </c>
      <c r="C15" s="133" t="str">
        <f>IFERROR(__xludf.DUMMYFUNCTION("""COMPUTED_VALUE"""),"Senior Executive")</f>
        <v>Senior Executive</v>
      </c>
      <c r="D15" s="133" t="str">
        <f>IFERROR(__xludf.DUMMYFUNCTION("""COMPUTED_VALUE"""),"rakat.ejannat.raka@g.bracu.ac.bd")</f>
        <v>rakat.ejannat.raka@g.bracu.ac.bd</v>
      </c>
      <c r="E15" s="105"/>
    </row>
    <row r="16" ht="22.5" customHeight="1">
      <c r="A16" s="133">
        <f>IFERROR(__xludf.DUMMYFUNCTION("""COMPUTED_VALUE"""),2.4101542E7)</f>
        <v>24101542</v>
      </c>
      <c r="B16" s="133" t="str">
        <f>IFERROR(__xludf.DUMMYFUNCTION("""COMPUTED_VALUE"""),"Fabiha Muzahid")</f>
        <v>Fabiha Muzahid</v>
      </c>
      <c r="C16" s="133" t="str">
        <f>IFERROR(__xludf.DUMMYFUNCTION("""COMPUTED_VALUE"""),"Senior Executive")</f>
        <v>Senior Executive</v>
      </c>
      <c r="D16" s="133" t="str">
        <f>IFERROR(__xludf.DUMMYFUNCTION("""COMPUTED_VALUE"""),"fabiha.muzahid@g.bracu.ac.bd")</f>
        <v>fabiha.muzahid@g.bracu.ac.bd</v>
      </c>
      <c r="E16" s="105"/>
    </row>
    <row r="17" ht="22.5" customHeight="1">
      <c r="A17" s="133">
        <f>IFERROR(__xludf.DUMMYFUNCTION("""COMPUTED_VALUE"""),2.4101551E7)</f>
        <v>24101551</v>
      </c>
      <c r="B17" s="133" t="str">
        <f>IFERROR(__xludf.DUMMYFUNCTION("""COMPUTED_VALUE"""),"LAMIA RAHMAN")</f>
        <v>LAMIA RAHMAN</v>
      </c>
      <c r="C17" s="133" t="str">
        <f>IFERROR(__xludf.DUMMYFUNCTION("""COMPUTED_VALUE"""),"Senior Executive")</f>
        <v>Senior Executive</v>
      </c>
      <c r="D17" s="133" t="str">
        <f>IFERROR(__xludf.DUMMYFUNCTION("""COMPUTED_VALUE"""),"lamia.rahman1@g.bracu.ac.bd")</f>
        <v>lamia.rahman1@g.bracu.ac.bd</v>
      </c>
      <c r="E17" s="105"/>
    </row>
    <row r="18" ht="22.5" customHeight="1">
      <c r="A18" s="133">
        <f>IFERROR(__xludf.DUMMYFUNCTION("""COMPUTED_VALUE"""),2.2301113E7)</f>
        <v>22301113</v>
      </c>
      <c r="B18" s="133" t="str">
        <f>IFERROR(__xludf.DUMMYFUNCTION("""COMPUTED_VALUE"""),"Saad Noman Adeeb")</f>
        <v>Saad Noman Adeeb</v>
      </c>
      <c r="C18" s="133" t="str">
        <f>IFERROR(__xludf.DUMMYFUNCTION("""COMPUTED_VALUE"""),"Senior Executive")</f>
        <v>Senior Executive</v>
      </c>
      <c r="D18" s="133" t="str">
        <f>IFERROR(__xludf.DUMMYFUNCTION("""COMPUTED_VALUE"""),"saad.noman.adeeb@g.bracu.ac.bd")</f>
        <v>saad.noman.adeeb@g.bracu.ac.bd</v>
      </c>
      <c r="E18" s="105"/>
    </row>
    <row r="19" ht="22.5" customHeight="1">
      <c r="A19" s="133">
        <f>IFERROR(__xludf.DUMMYFUNCTION("""COMPUTED_VALUE"""),2.2201362E7)</f>
        <v>22201362</v>
      </c>
      <c r="B19" s="133" t="str">
        <f>IFERROR(__xludf.DUMMYFUNCTION("""COMPUTED_VALUE"""),"Rudian Ahmed")</f>
        <v>Rudian Ahmed</v>
      </c>
      <c r="C19" s="133" t="str">
        <f>IFERROR(__xludf.DUMMYFUNCTION("""COMPUTED_VALUE"""),"Senior Executive")</f>
        <v>Senior Executive</v>
      </c>
      <c r="D19" s="133" t="str">
        <f>IFERROR(__xludf.DUMMYFUNCTION("""COMPUTED_VALUE"""),"rudian.ahmed@g.bracu.ac.bd")</f>
        <v>rudian.ahmed@g.bracu.ac.bd</v>
      </c>
      <c r="E19" s="105"/>
    </row>
    <row r="20" ht="22.5" customHeight="1">
      <c r="A20" s="133">
        <f>IFERROR(__xludf.DUMMYFUNCTION("""COMPUTED_VALUE"""),2.220121E7)</f>
        <v>22201210</v>
      </c>
      <c r="B20" s="133" t="str">
        <f>IFERROR(__xludf.DUMMYFUNCTION("""COMPUTED_VALUE"""),"Md. Nasimuzzaman Shakkhor")</f>
        <v>Md. Nasimuzzaman Shakkhor</v>
      </c>
      <c r="C20" s="133" t="str">
        <f>IFERROR(__xludf.DUMMYFUNCTION("""COMPUTED_VALUE"""),"Senior Executive")</f>
        <v>Senior Executive</v>
      </c>
      <c r="D20" s="133" t="str">
        <f>IFERROR(__xludf.DUMMYFUNCTION("""COMPUTED_VALUE"""),"md.nasimuzzaman.shakkhor@g.bracu.ac.bd")</f>
        <v>md.nasimuzzaman.shakkhor@g.bracu.ac.bd</v>
      </c>
      <c r="E20" s="105"/>
    </row>
    <row r="21" ht="22.5" customHeight="1">
      <c r="A21" s="133">
        <f>IFERROR(__xludf.DUMMYFUNCTION("""COMPUTED_VALUE"""),2.2101743E7)</f>
        <v>22101743</v>
      </c>
      <c r="B21" s="133" t="str">
        <f>IFERROR(__xludf.DUMMYFUNCTION("""COMPUTED_VALUE"""),"Wahid Saifullah Fida")</f>
        <v>Wahid Saifullah Fida</v>
      </c>
      <c r="C21" s="133" t="str">
        <f>IFERROR(__xludf.DUMMYFUNCTION("""COMPUTED_VALUE"""),"Senior Executive")</f>
        <v>Senior Executive</v>
      </c>
      <c r="D21" s="133" t="str">
        <f>IFERROR(__xludf.DUMMYFUNCTION("""COMPUTED_VALUE"""),"wahid.saifullah.fida@g.bracu.ac.bd")</f>
        <v>wahid.saifullah.fida@g.bracu.ac.bd</v>
      </c>
      <c r="E21" s="105"/>
    </row>
    <row r="22" ht="22.5" customHeight="1">
      <c r="A22" s="133">
        <f>IFERROR(__xludf.DUMMYFUNCTION("""COMPUTED_VALUE"""),2.2101278E7)</f>
        <v>22101278</v>
      </c>
      <c r="B22" s="133" t="str">
        <f>IFERROR(__xludf.DUMMYFUNCTION("""COMPUTED_VALUE"""),"Rafiad Zaman Khan")</f>
        <v>Rafiad Zaman Khan</v>
      </c>
      <c r="C22" s="133" t="str">
        <f>IFERROR(__xludf.DUMMYFUNCTION("""COMPUTED_VALUE"""),"Senior Executive")</f>
        <v>Senior Executive</v>
      </c>
      <c r="D22" s="133" t="str">
        <f>IFERROR(__xludf.DUMMYFUNCTION("""COMPUTED_VALUE"""),"rafiad.zaman.khan@g.bracu.ac.bd")</f>
        <v>rafiad.zaman.khan@g.bracu.ac.bd</v>
      </c>
      <c r="E22" s="105"/>
    </row>
    <row r="23" ht="22.5" customHeight="1">
      <c r="A23" s="133">
        <f>IFERROR(__xludf.DUMMYFUNCTION("""COMPUTED_VALUE"""),2.2101208E7)</f>
        <v>22101208</v>
      </c>
      <c r="B23" s="133" t="str">
        <f>IFERROR(__xludf.DUMMYFUNCTION("""COMPUTED_VALUE"""),"Zinia Ahmed Toushy")</f>
        <v>Zinia Ahmed Toushy</v>
      </c>
      <c r="C23" s="133" t="str">
        <f>IFERROR(__xludf.DUMMYFUNCTION("""COMPUTED_VALUE"""),"Senior Executive")</f>
        <v>Senior Executive</v>
      </c>
      <c r="D23" s="133" t="str">
        <f>IFERROR(__xludf.DUMMYFUNCTION("""COMPUTED_VALUE"""),"zinia.ahmed.toushy@g.bracu.ac.bd")</f>
        <v>zinia.ahmed.toushy@g.bracu.ac.bd</v>
      </c>
      <c r="E23" s="105"/>
    </row>
    <row r="24" ht="22.5" customHeight="1">
      <c r="A24" s="133">
        <f>IFERROR(__xludf.DUMMYFUNCTION("""COMPUTED_VALUE"""),2.2301398E7)</f>
        <v>22301398</v>
      </c>
      <c r="B24" s="133" t="str">
        <f>IFERROR(__xludf.DUMMYFUNCTION("""COMPUTED_VALUE"""),"Mubassir Rahman")</f>
        <v>Mubassir Rahman</v>
      </c>
      <c r="C24" s="133" t="str">
        <f>IFERROR(__xludf.DUMMYFUNCTION("""COMPUTED_VALUE"""),"Senior Executive")</f>
        <v>Senior Executive</v>
      </c>
      <c r="D24" s="133" t="str">
        <f>IFERROR(__xludf.DUMMYFUNCTION("""COMPUTED_VALUE"""),"mubassir.rahman@g.bracu.ac.bd")</f>
        <v>mubassir.rahman@g.bracu.ac.bd</v>
      </c>
      <c r="E24" s="105"/>
    </row>
    <row r="25" ht="22.5" customHeight="1">
      <c r="A25" s="133">
        <f>IFERROR(__xludf.DUMMYFUNCTION("""COMPUTED_VALUE"""),2.2101311E7)</f>
        <v>22101311</v>
      </c>
      <c r="B25" s="133" t="str">
        <f>IFERROR(__xludf.DUMMYFUNCTION("""COMPUTED_VALUE"""),"Md.Tanvirul Islam Rifat")</f>
        <v>Md.Tanvirul Islam Rifat</v>
      </c>
      <c r="C25" s="133" t="str">
        <f>IFERROR(__xludf.DUMMYFUNCTION("""COMPUTED_VALUE"""),"Senior Executive")</f>
        <v>Senior Executive</v>
      </c>
      <c r="D25" s="133" t="str">
        <f>IFERROR(__xludf.DUMMYFUNCTION("""COMPUTED_VALUE"""),"tanvirul.islam.rifat@g.bracu.ac.bd")</f>
        <v>tanvirul.islam.rifat@g.bracu.ac.bd</v>
      </c>
      <c r="E25" s="105"/>
    </row>
    <row r="26" ht="22.5" customHeight="1">
      <c r="A26" s="133">
        <f>IFERROR(__xludf.DUMMYFUNCTION("""COMPUTED_VALUE"""),2.2201747E7)</f>
        <v>22201747</v>
      </c>
      <c r="B26" s="133" t="str">
        <f>IFERROR(__xludf.DUMMYFUNCTION("""COMPUTED_VALUE"""),"Ishrat Jahan")</f>
        <v>Ishrat Jahan</v>
      </c>
      <c r="C26" s="133" t="str">
        <f>IFERROR(__xludf.DUMMYFUNCTION("""COMPUTED_VALUE"""),"Senior Executive")</f>
        <v>Senior Executive</v>
      </c>
      <c r="D26" s="133" t="str">
        <f>IFERROR(__xludf.DUMMYFUNCTION("""COMPUTED_VALUE"""),"ishrat.jahan7@g.bracu.ac.bd")</f>
        <v>ishrat.jahan7@g.bracu.ac.bd</v>
      </c>
      <c r="E26" s="105"/>
    </row>
    <row r="27" ht="22.5" customHeight="1">
      <c r="A27" s="133">
        <f>IFERROR(__xludf.DUMMYFUNCTION("""COMPUTED_VALUE"""),2.2201034E7)</f>
        <v>22201034</v>
      </c>
      <c r="B27" s="133" t="str">
        <f>IFERROR(__xludf.DUMMYFUNCTION("""COMPUTED_VALUE"""),"Mehjabin Mostare Momo")</f>
        <v>Mehjabin Mostare Momo</v>
      </c>
      <c r="C27" s="133" t="str">
        <f>IFERROR(__xludf.DUMMYFUNCTION("""COMPUTED_VALUE"""),"Senior Executive")</f>
        <v>Senior Executive</v>
      </c>
      <c r="D27" s="133" t="str">
        <f>IFERROR(__xludf.DUMMYFUNCTION("""COMPUTED_VALUE"""),"mehjabin.mostare.momo@g.bracu.ac.bd")</f>
        <v>mehjabin.mostare.momo@g.bracu.ac.bd</v>
      </c>
      <c r="E27" s="105"/>
    </row>
    <row r="28" ht="22.5" customHeight="1">
      <c r="A28" s="133">
        <f>IFERROR(__xludf.DUMMYFUNCTION("""COMPUTED_VALUE"""),2.4141115E7)</f>
        <v>24141115</v>
      </c>
      <c r="B28" s="133" t="str">
        <f>IFERROR(__xludf.DUMMYFUNCTION("""COMPUTED_VALUE"""),"Khandoker Wahiduzzaman Anik")</f>
        <v>Khandoker Wahiduzzaman Anik</v>
      </c>
      <c r="C28" s="134" t="str">
        <f>IFERROR(__xludf.DUMMYFUNCTION("""COMPUTED_VALUE"""),"Senior Executive")</f>
        <v>Senior Executive</v>
      </c>
      <c r="D28" s="134" t="str">
        <f>IFERROR(__xludf.DUMMYFUNCTION("""COMPUTED_VALUE"""),"khandoker.wahiduzzaman.anik@g.bracu.ac.bd")</f>
        <v>khandoker.wahiduzzaman.anik@g.bracu.ac.bd</v>
      </c>
      <c r="E28" s="105"/>
    </row>
    <row r="29" ht="22.5" customHeight="1">
      <c r="A29" s="133">
        <f>IFERROR(__xludf.DUMMYFUNCTION("""COMPUTED_VALUE"""),2.2101617E7)</f>
        <v>22101617</v>
      </c>
      <c r="B29" s="133" t="str">
        <f>IFERROR(__xludf.DUMMYFUNCTION("""COMPUTED_VALUE"""),"Suchitra Barua")</f>
        <v>Suchitra Barua</v>
      </c>
      <c r="C29" s="134" t="str">
        <f>IFERROR(__xludf.DUMMYFUNCTION("""COMPUTED_VALUE"""),"Senior Executive")</f>
        <v>Senior Executive</v>
      </c>
      <c r="D29" s="134" t="str">
        <f>IFERROR(__xludf.DUMMYFUNCTION("""COMPUTED_VALUE"""),"suchitra.barua@g.bracu.ac.bd")</f>
        <v>suchitra.barua@g.bracu.ac.bd</v>
      </c>
      <c r="E29" s="105"/>
    </row>
    <row r="30" ht="22.5" customHeight="1">
      <c r="A30" s="133">
        <f>IFERROR(__xludf.DUMMYFUNCTION("""COMPUTED_VALUE"""),2.4341276E7)</f>
        <v>24341276</v>
      </c>
      <c r="B30" s="133" t="str">
        <f>IFERROR(__xludf.DUMMYFUNCTION("""COMPUTED_VALUE"""),"Tawsif Islam Chowdhury")</f>
        <v>Tawsif Islam Chowdhury</v>
      </c>
      <c r="C30" s="134" t="str">
        <f>IFERROR(__xludf.DUMMYFUNCTION("""COMPUTED_VALUE"""),"Senior Executive")</f>
        <v>Senior Executive</v>
      </c>
      <c r="D30" s="134" t="str">
        <f>IFERROR(__xludf.DUMMYFUNCTION("""COMPUTED_VALUE"""),"tawsif.islam.chowdhury@g.bracu.ac.bd")</f>
        <v>tawsif.islam.chowdhury@g.bracu.ac.bd</v>
      </c>
      <c r="E30" s="105"/>
    </row>
    <row r="31" ht="22.5" customHeight="1">
      <c r="A31" s="133">
        <f>IFERROR(__xludf.DUMMYFUNCTION("""COMPUTED_VALUE"""),2.2101336E7)</f>
        <v>22101336</v>
      </c>
      <c r="B31" s="133" t="str">
        <f>IFERROR(__xludf.DUMMYFUNCTION("""COMPUTED_VALUE"""),"Mahfuza Raihana")</f>
        <v>Mahfuza Raihana</v>
      </c>
      <c r="C31" s="134" t="str">
        <f>IFERROR(__xludf.DUMMYFUNCTION("""COMPUTED_VALUE"""),"Senior Executive")</f>
        <v>Senior Executive</v>
      </c>
      <c r="D31" s="134" t="str">
        <f>IFERROR(__xludf.DUMMYFUNCTION("""COMPUTED_VALUE"""),"mahfuza.raihana@g.bracu.ac.bd")</f>
        <v>mahfuza.raihana@g.bracu.ac.bd</v>
      </c>
      <c r="E31" s="105"/>
    </row>
    <row r="32" ht="22.5" customHeight="1">
      <c r="A32" s="133">
        <f>IFERROR(__xludf.DUMMYFUNCTION("""COMPUTED_VALUE"""),2.2301412E7)</f>
        <v>22301412</v>
      </c>
      <c r="B32" s="133" t="str">
        <f>IFERROR(__xludf.DUMMYFUNCTION("""COMPUTED_VALUE"""),"Sinthia Khandoker")</f>
        <v>Sinthia Khandoker</v>
      </c>
      <c r="C32" s="134" t="str">
        <f>IFERROR(__xludf.DUMMYFUNCTION("""COMPUTED_VALUE"""),"Senior Executive")</f>
        <v>Senior Executive</v>
      </c>
      <c r="D32" s="134" t="str">
        <f>IFERROR(__xludf.DUMMYFUNCTION("""COMPUTED_VALUE"""),"sinthia.khandoker@g.bracu.ac.bd")</f>
        <v>sinthia.khandoker@g.bracu.ac.bd</v>
      </c>
      <c r="E32" s="105"/>
    </row>
    <row r="33" ht="22.5" customHeight="1">
      <c r="A33" s="133">
        <f>IFERROR(__xludf.DUMMYFUNCTION("""COMPUTED_VALUE"""),2.3203075E7)</f>
        <v>23203075</v>
      </c>
      <c r="B33" s="133" t="str">
        <f>IFERROR(__xludf.DUMMYFUNCTION("""COMPUTED_VALUE"""),"Sadia Siddique")</f>
        <v>Sadia Siddique</v>
      </c>
      <c r="C33" s="134" t="str">
        <f>IFERROR(__xludf.DUMMYFUNCTION("""COMPUTED_VALUE"""),"Senior Executive")</f>
        <v>Senior Executive</v>
      </c>
      <c r="D33" s="134" t="str">
        <f>IFERROR(__xludf.DUMMYFUNCTION("""COMPUTED_VALUE"""),"sadia.siddique@g.bracu.ac.bd")</f>
        <v>sadia.siddique@g.bracu.ac.bd</v>
      </c>
      <c r="E33" s="105"/>
    </row>
    <row r="34" ht="22.5" customHeight="1">
      <c r="A34" s="133">
        <f>IFERROR(__xludf.DUMMYFUNCTION("""COMPUTED_VALUE"""),2.2301692E7)</f>
        <v>22301692</v>
      </c>
      <c r="B34" s="133" t="str">
        <f>IFERROR(__xludf.DUMMYFUNCTION("""COMPUTED_VALUE"""),"Rafid Raihan Shadman")</f>
        <v>Rafid Raihan Shadman</v>
      </c>
      <c r="C34" s="134" t="str">
        <f>IFERROR(__xludf.DUMMYFUNCTION("""COMPUTED_VALUE"""),"Senior Executive")</f>
        <v>Senior Executive</v>
      </c>
      <c r="D34" s="134" t="str">
        <f>IFERROR(__xludf.DUMMYFUNCTION("""COMPUTED_VALUE"""),"rafid.raihan.shadman@g.bracu.ac.bd")</f>
        <v>rafid.raihan.shadman@g.bracu.ac.bd</v>
      </c>
      <c r="E34" s="105"/>
    </row>
    <row r="35" ht="22.5" customHeight="1">
      <c r="A35" s="133">
        <f>IFERROR(__xludf.DUMMYFUNCTION("""COMPUTED_VALUE"""),2.2301061E7)</f>
        <v>22301061</v>
      </c>
      <c r="B35" s="133" t="str">
        <f>IFERROR(__xludf.DUMMYFUNCTION("""COMPUTED_VALUE"""),"Faiaz Abrar Zaman Pronoy")</f>
        <v>Faiaz Abrar Zaman Pronoy</v>
      </c>
      <c r="C35" s="134" t="str">
        <f>IFERROR(__xludf.DUMMYFUNCTION("""COMPUTED_VALUE"""),"Senior Executive")</f>
        <v>Senior Executive</v>
      </c>
      <c r="D35" s="134" t="str">
        <f>IFERROR(__xludf.DUMMYFUNCTION("""COMPUTED_VALUE"""),"faiaz.abrar.zaman@g.bracu.ac.bd")</f>
        <v>faiaz.abrar.zaman@g.bracu.ac.bd</v>
      </c>
      <c r="E35" s="105"/>
    </row>
    <row r="36" ht="22.5" customHeight="1">
      <c r="A36" s="133">
        <f>IFERROR(__xludf.DUMMYFUNCTION("""COMPUTED_VALUE"""),2.2301269E7)</f>
        <v>22301269</v>
      </c>
      <c r="B36" s="133" t="str">
        <f>IFERROR(__xludf.DUMMYFUNCTION("""COMPUTED_VALUE"""),"Ahanaf Abid Sazid")</f>
        <v>Ahanaf Abid Sazid</v>
      </c>
      <c r="C36" s="134" t="str">
        <f>IFERROR(__xludf.DUMMYFUNCTION("""COMPUTED_VALUE"""),"Senior Executive")</f>
        <v>Senior Executive</v>
      </c>
      <c r="D36" s="134" t="str">
        <f>IFERROR(__xludf.DUMMYFUNCTION("""COMPUTED_VALUE"""),"ahanaf.abid.sazid@g.bracu.ac.bd")</f>
        <v>ahanaf.abid.sazid@g.bracu.ac.bd</v>
      </c>
      <c r="E36" s="105"/>
    </row>
    <row r="37" ht="22.5" customHeight="1">
      <c r="A37" s="133">
        <f>IFERROR(__xludf.DUMMYFUNCTION("""COMPUTED_VALUE"""),2.2201616E7)</f>
        <v>22201616</v>
      </c>
      <c r="B37" s="133" t="str">
        <f>IFERROR(__xludf.DUMMYFUNCTION("""COMPUTED_VALUE"""),"Jaky Ahmed Chowdhury")</f>
        <v>Jaky Ahmed Chowdhury</v>
      </c>
      <c r="C37" s="134" t="str">
        <f>IFERROR(__xludf.DUMMYFUNCTION("""COMPUTED_VALUE"""),"Senior Executive")</f>
        <v>Senior Executive</v>
      </c>
      <c r="D37" s="134" t="str">
        <f>IFERROR(__xludf.DUMMYFUNCTION("""COMPUTED_VALUE"""),"jaky.ahmed.chowdhury@g.bracu.ac.bd")</f>
        <v>jaky.ahmed.chowdhury@g.bracu.ac.bd</v>
      </c>
      <c r="E37" s="105"/>
    </row>
    <row r="38" ht="22.5" customHeight="1">
      <c r="A38" s="133">
        <f>IFERROR(__xludf.DUMMYFUNCTION("""COMPUTED_VALUE"""),2.2299295E7)</f>
        <v>22299295</v>
      </c>
      <c r="B38" s="133" t="str">
        <f>IFERROR(__xludf.DUMMYFUNCTION("""COMPUTED_VALUE"""),"Nabilah Hossain")</f>
        <v>Nabilah Hossain</v>
      </c>
      <c r="C38" s="134" t="str">
        <f>IFERROR(__xludf.DUMMYFUNCTION("""COMPUTED_VALUE"""),"Senior Executive")</f>
        <v>Senior Executive</v>
      </c>
      <c r="D38" s="134" t="str">
        <f>IFERROR(__xludf.DUMMYFUNCTION("""COMPUTED_VALUE"""),"nabilah.hossain@g.bracu.ac.bd")</f>
        <v>nabilah.hossain@g.bracu.ac.bd</v>
      </c>
      <c r="E38" s="105"/>
    </row>
    <row r="39" ht="22.5" customHeight="1">
      <c r="A39" s="133">
        <f>IFERROR(__xludf.DUMMYFUNCTION("""COMPUTED_VALUE"""),2.3301392E7)</f>
        <v>23301392</v>
      </c>
      <c r="B39" s="133" t="str">
        <f>IFERROR(__xludf.DUMMYFUNCTION("""COMPUTED_VALUE"""),"Muhammad Mostafa Habib Zawad")</f>
        <v>Muhammad Mostafa Habib Zawad</v>
      </c>
      <c r="C39" s="134" t="str">
        <f>IFERROR(__xludf.DUMMYFUNCTION("""COMPUTED_VALUE"""),"Senior Executive")</f>
        <v>Senior Executive</v>
      </c>
      <c r="D39" s="134" t="str">
        <f>IFERROR(__xludf.DUMMYFUNCTION("""COMPUTED_VALUE"""),"mostafa.habib.zawad@g.bracu.ac.bd")</f>
        <v>mostafa.habib.zawad@g.bracu.ac.bd</v>
      </c>
      <c r="E39" s="105"/>
    </row>
    <row r="40" ht="22.5" customHeight="1">
      <c r="A40" s="133">
        <f>IFERROR(__xludf.DUMMYFUNCTION("""COMPUTED_VALUE"""),2.2301175E7)</f>
        <v>22301175</v>
      </c>
      <c r="B40" s="133" t="str">
        <f>IFERROR(__xludf.DUMMYFUNCTION("""COMPUTED_VALUE"""),"Rifat Hasan Nazim")</f>
        <v>Rifat Hasan Nazim</v>
      </c>
      <c r="C40" s="134" t="str">
        <f>IFERROR(__xludf.DUMMYFUNCTION("""COMPUTED_VALUE"""),"Senior Executive")</f>
        <v>Senior Executive</v>
      </c>
      <c r="D40" s="134" t="str">
        <f>IFERROR(__xludf.DUMMYFUNCTION("""COMPUTED_VALUE"""),"rifat.hasan.nazim@g.bracu.ac.bd")</f>
        <v>rifat.hasan.nazim@g.bracu.ac.bd</v>
      </c>
      <c r="E40" s="105"/>
    </row>
    <row r="41" ht="22.5" customHeight="1">
      <c r="A41" s="133">
        <f>IFERROR(__xludf.DUMMYFUNCTION("""COMPUTED_VALUE"""),2.4201455E7)</f>
        <v>24201455</v>
      </c>
      <c r="B41" s="133" t="str">
        <f>IFERROR(__xludf.DUMMYFUNCTION("""COMPUTED_VALUE"""),"Hossain Tasnim Rumki")</f>
        <v>Hossain Tasnim Rumki</v>
      </c>
      <c r="C41" s="134" t="str">
        <f>IFERROR(__xludf.DUMMYFUNCTION("""COMPUTED_VALUE"""),"Senior Executive")</f>
        <v>Senior Executive</v>
      </c>
      <c r="D41" s="134" t="str">
        <f>IFERROR(__xludf.DUMMYFUNCTION("""COMPUTED_VALUE"""),"hossain.tasnim.rumki@g.bracu.ac.bd")</f>
        <v>hossain.tasnim.rumki@g.bracu.ac.bd</v>
      </c>
      <c r="E41" s="105"/>
    </row>
    <row r="42" ht="22.5" customHeight="1">
      <c r="A42" s="133">
        <f>IFERROR(__xludf.DUMMYFUNCTION("""COMPUTED_VALUE"""),2.4101261E7)</f>
        <v>24101261</v>
      </c>
      <c r="B42" s="133" t="str">
        <f>IFERROR(__xludf.DUMMYFUNCTION("""COMPUTED_VALUE"""),"S.M Nafeu Al Sikder")</f>
        <v>S.M Nafeu Al Sikder</v>
      </c>
      <c r="C42" s="134" t="str">
        <f>IFERROR(__xludf.DUMMYFUNCTION("""COMPUTED_VALUE"""),"Senior Executive")</f>
        <v>Senior Executive</v>
      </c>
      <c r="D42" s="134" t="str">
        <f>IFERROR(__xludf.DUMMYFUNCTION("""COMPUTED_VALUE"""),"nafeu.al.sikder@g.bracu.ac.bd")</f>
        <v>nafeu.al.sikder@g.bracu.ac.bd</v>
      </c>
      <c r="E42" s="105"/>
    </row>
    <row r="43" ht="22.5" customHeight="1">
      <c r="A43" s="133">
        <f>IFERROR(__xludf.DUMMYFUNCTION("""COMPUTED_VALUE"""),1.000054231E9)</f>
        <v>1000054231</v>
      </c>
      <c r="B43" s="133" t="str">
        <f>IFERROR(__xludf.DUMMYFUNCTION("""COMPUTED_VALUE"""),"Rafia Nigar Noor")</f>
        <v>Rafia Nigar Noor</v>
      </c>
      <c r="C43" s="134" t="str">
        <f>IFERROR(__xludf.DUMMYFUNCTION("""COMPUTED_VALUE"""),"Senior Executive")</f>
        <v>Senior Executive</v>
      </c>
      <c r="D43" s="134" t="str">
        <f>IFERROR(__xludf.DUMMYFUNCTION("""COMPUTED_VALUE"""),"rafia.nigar.noor@g.bracu.ac.bd")</f>
        <v>rafia.nigar.noor@g.bracu.ac.bd</v>
      </c>
      <c r="E43" s="105"/>
    </row>
    <row r="44" ht="22.5" customHeight="1">
      <c r="A44" s="133">
        <f>IFERROR(__xludf.DUMMYFUNCTION("""COMPUTED_VALUE"""),1.000058846E9)</f>
        <v>1000058846</v>
      </c>
      <c r="B44" s="133" t="str">
        <f>IFERROR(__xludf.DUMMYFUNCTION("""COMPUTED_VALUE"""),"Tanbir Ahmed")</f>
        <v>Tanbir Ahmed</v>
      </c>
      <c r="C44" s="134" t="str">
        <f>IFERROR(__xludf.DUMMYFUNCTION("""COMPUTED_VALUE"""),"Executive")</f>
        <v>Executive</v>
      </c>
      <c r="D44" s="134" t="str">
        <f>IFERROR(__xludf.DUMMYFUNCTION("""COMPUTED_VALUE"""),"tanbir.ahmed@g.bracu.ac.bd")</f>
        <v>tanbir.ahmed@g.bracu.ac.bd</v>
      </c>
      <c r="E44" s="105"/>
    </row>
    <row r="45" ht="22.5" customHeight="1">
      <c r="A45" s="133">
        <f>IFERROR(__xludf.DUMMYFUNCTION("""COMPUTED_VALUE"""),2.4101534E7)</f>
        <v>24101534</v>
      </c>
      <c r="B45" s="133" t="str">
        <f>IFERROR(__xludf.DUMMYFUNCTION("""COMPUTED_VALUE"""),"RIFA SANJIDA")</f>
        <v>RIFA SANJIDA</v>
      </c>
      <c r="C45" s="134" t="str">
        <f>IFERROR(__xludf.DUMMYFUNCTION("""COMPUTED_VALUE"""),"Executive")</f>
        <v>Executive</v>
      </c>
      <c r="D45" s="134" t="str">
        <f>IFERROR(__xludf.DUMMYFUNCTION("""COMPUTED_VALUE"""),"rifa.sanjida@g.bracu.ac.bd")</f>
        <v>rifa.sanjida@g.bracu.ac.bd</v>
      </c>
      <c r="E45" s="105"/>
    </row>
    <row r="46" ht="22.5" customHeight="1">
      <c r="A46" s="133">
        <f>IFERROR(__xludf.DUMMYFUNCTION("""COMPUTED_VALUE"""),2.3301632E7)</f>
        <v>23301632</v>
      </c>
      <c r="B46" s="133" t="str">
        <f>IFERROR(__xludf.DUMMYFUNCTION("""COMPUTED_VALUE"""),"Faiza Islam")</f>
        <v>Faiza Islam</v>
      </c>
      <c r="C46" s="134" t="str">
        <f>IFERROR(__xludf.DUMMYFUNCTION("""COMPUTED_VALUE"""),"Executive")</f>
        <v>Executive</v>
      </c>
      <c r="D46" s="134" t="str">
        <f>IFERROR(__xludf.DUMMYFUNCTION("""COMPUTED_VALUE"""),"faiza.islam@g.bracu.ac.bd")</f>
        <v>faiza.islam@g.bracu.ac.bd</v>
      </c>
      <c r="E46" s="105"/>
    </row>
    <row r="47" ht="22.5" customHeight="1">
      <c r="A47" s="133">
        <f>IFERROR(__xludf.DUMMYFUNCTION("""COMPUTED_VALUE"""),2.4141041E7)</f>
        <v>24141041</v>
      </c>
      <c r="B47" s="133" t="str">
        <f>IFERROR(__xludf.DUMMYFUNCTION("""COMPUTED_VALUE"""),"Nuzhat Saadat")</f>
        <v>Nuzhat Saadat</v>
      </c>
      <c r="C47" s="134" t="str">
        <f>IFERROR(__xludf.DUMMYFUNCTION("""COMPUTED_VALUE"""),"Executive")</f>
        <v>Executive</v>
      </c>
      <c r="D47" s="134" t="str">
        <f>IFERROR(__xludf.DUMMYFUNCTION("""COMPUTED_VALUE"""),"nuzhat.saadat@g.bracu.ac.bd")</f>
        <v>nuzhat.saadat@g.bracu.ac.bd</v>
      </c>
      <c r="E47" s="105"/>
    </row>
    <row r="48" ht="22.5" customHeight="1">
      <c r="A48" s="133">
        <f>IFERROR(__xludf.DUMMYFUNCTION("""COMPUTED_VALUE"""),2.3201079E7)</f>
        <v>23201079</v>
      </c>
      <c r="B48" s="133" t="str">
        <f>IFERROR(__xludf.DUMMYFUNCTION("""COMPUTED_VALUE"""),"Nafisa Tahsin")</f>
        <v>Nafisa Tahsin</v>
      </c>
      <c r="C48" s="134" t="str">
        <f>IFERROR(__xludf.DUMMYFUNCTION("""COMPUTED_VALUE"""),"Executive")</f>
        <v>Executive</v>
      </c>
      <c r="D48" s="134" t="str">
        <f>IFERROR(__xludf.DUMMYFUNCTION("""COMPUTED_VALUE"""),"nafisa.tahsin1@g.bracu.ac.bd")</f>
        <v>nafisa.tahsin1@g.bracu.ac.bd</v>
      </c>
      <c r="E48" s="105"/>
    </row>
    <row r="49" ht="22.5" customHeight="1">
      <c r="A49" s="133">
        <f>IFERROR(__xludf.DUMMYFUNCTION("""COMPUTED_VALUE"""),2.4121018E7)</f>
        <v>24121018</v>
      </c>
      <c r="B49" s="133" t="str">
        <f>IFERROR(__xludf.DUMMYFUNCTION("""COMPUTED_VALUE"""),"Ahana Roy")</f>
        <v>Ahana Roy</v>
      </c>
      <c r="C49" s="134" t="str">
        <f>IFERROR(__xludf.DUMMYFUNCTION("""COMPUTED_VALUE"""),"Executive")</f>
        <v>Executive</v>
      </c>
      <c r="D49" s="134" t="str">
        <f>IFERROR(__xludf.DUMMYFUNCTION("""COMPUTED_VALUE"""),"ahana.roy@g.bracu.ac.bd")</f>
        <v>ahana.roy@g.bracu.ac.bd</v>
      </c>
      <c r="E49" s="105"/>
    </row>
    <row r="50" ht="22.5" customHeight="1">
      <c r="A50" s="133">
        <f>IFERROR(__xludf.DUMMYFUNCTION("""COMPUTED_VALUE"""),1.000054989E9)</f>
        <v>1000054989</v>
      </c>
      <c r="B50" s="133" t="str">
        <f>IFERROR(__xludf.DUMMYFUNCTION("""COMPUTED_VALUE"""),"Bushra Binte Nozir")</f>
        <v>Bushra Binte Nozir</v>
      </c>
      <c r="C50" s="134" t="str">
        <f>IFERROR(__xludf.DUMMYFUNCTION("""COMPUTED_VALUE"""),"Executive")</f>
        <v>Executive</v>
      </c>
      <c r="D50" s="134" t="str">
        <f>IFERROR(__xludf.DUMMYFUNCTION("""COMPUTED_VALUE"""),"bushra.binte.nozir@g.bracu.ac.bd")</f>
        <v>bushra.binte.nozir@g.bracu.ac.bd</v>
      </c>
      <c r="E50" s="105"/>
    </row>
    <row r="51" ht="22.5" customHeight="1">
      <c r="A51" s="133">
        <f>IFERROR(__xludf.DUMMYFUNCTION("""COMPUTED_VALUE"""),2.4201123E7)</f>
        <v>24201123</v>
      </c>
      <c r="B51" s="133" t="str">
        <f>IFERROR(__xludf.DUMMYFUNCTION("""COMPUTED_VALUE"""),"Abdullah Al Aosaf")</f>
        <v>Abdullah Al Aosaf</v>
      </c>
      <c r="C51" s="134" t="str">
        <f>IFERROR(__xludf.DUMMYFUNCTION("""COMPUTED_VALUE"""),"Executive")</f>
        <v>Executive</v>
      </c>
      <c r="D51" s="134" t="str">
        <f>IFERROR(__xludf.DUMMYFUNCTION("""COMPUTED_VALUE"""),"abdullah.al.aosaf@g.bracu.ac.bd")</f>
        <v>abdullah.al.aosaf@g.bracu.ac.bd</v>
      </c>
      <c r="E51" s="105"/>
    </row>
    <row r="52" ht="22.5" customHeight="1">
      <c r="A52" s="133">
        <f>IFERROR(__xludf.DUMMYFUNCTION("""COMPUTED_VALUE"""),2.4201153E7)</f>
        <v>24201153</v>
      </c>
      <c r="B52" s="133" t="str">
        <f>IFERROR(__xludf.DUMMYFUNCTION("""COMPUTED_VALUE"""),"Abdullah Al Sadi")</f>
        <v>Abdullah Al Sadi</v>
      </c>
      <c r="C52" s="134" t="str">
        <f>IFERROR(__xludf.DUMMYFUNCTION("""COMPUTED_VALUE"""),"Executive")</f>
        <v>Executive</v>
      </c>
      <c r="D52" s="134" t="str">
        <f>IFERROR(__xludf.DUMMYFUNCTION("""COMPUTED_VALUE"""),"abdullah.al.sadi@g.bracu.ac.bd")</f>
        <v>abdullah.al.sadi@g.bracu.ac.bd</v>
      </c>
      <c r="E52" s="105"/>
    </row>
    <row r="53" ht="22.5" customHeight="1">
      <c r="A53" s="133">
        <f>IFERROR(__xludf.DUMMYFUNCTION("""COMPUTED_VALUE"""),2.4226205E7)</f>
        <v>24226205</v>
      </c>
      <c r="B53" s="133" t="str">
        <f>IFERROR(__xludf.DUMMYFUNCTION("""COMPUTED_VALUE"""),"Fardin Zaman")</f>
        <v>Fardin Zaman</v>
      </c>
      <c r="C53" s="134" t="str">
        <f>IFERROR(__xludf.DUMMYFUNCTION("""COMPUTED_VALUE"""),"Executive")</f>
        <v>Executive</v>
      </c>
      <c r="D53" s="134" t="str">
        <f>IFERROR(__xludf.DUMMYFUNCTION("""COMPUTED_VALUE"""),"fardin.zaman1@g.bracu.ac.bd")</f>
        <v>fardin.zaman1@g.bracu.ac.bd</v>
      </c>
      <c r="E53" s="105"/>
    </row>
    <row r="54" ht="22.5" customHeight="1">
      <c r="A54" s="133">
        <f>IFERROR(__xludf.DUMMYFUNCTION("""COMPUTED_VALUE"""),1.000055729E9)</f>
        <v>1000055729</v>
      </c>
      <c r="B54" s="133" t="str">
        <f>IFERROR(__xludf.DUMMYFUNCTION("""COMPUTED_VALUE"""),"Md. Fazle Taseen Bhuiyan")</f>
        <v>Md. Fazle Taseen Bhuiyan</v>
      </c>
      <c r="C54" s="134" t="str">
        <f>IFERROR(__xludf.DUMMYFUNCTION("""COMPUTED_VALUE"""),"Executive")</f>
        <v>Executive</v>
      </c>
      <c r="D54" s="134" t="str">
        <f>IFERROR(__xludf.DUMMYFUNCTION("""COMPUTED_VALUE"""),"fazle.taseen.bhuiyan@g.bracu.ac.bd")</f>
        <v>fazle.taseen.bhuiyan@g.bracu.ac.bd</v>
      </c>
      <c r="E54" s="105"/>
    </row>
    <row r="55" ht="22.5" customHeight="1">
      <c r="A55" s="133">
        <f>IFERROR(__xludf.DUMMYFUNCTION("""COMPUTED_VALUE"""),1.000056707E9)</f>
        <v>1000056707</v>
      </c>
      <c r="B55" s="133" t="str">
        <f>IFERROR(__xludf.DUMMYFUNCTION("""COMPUTED_VALUE"""),"Nishad Islam Utso")</f>
        <v>Nishad Islam Utso</v>
      </c>
      <c r="C55" s="134" t="str">
        <f>IFERROR(__xludf.DUMMYFUNCTION("""COMPUTED_VALUE"""),"Executive")</f>
        <v>Executive</v>
      </c>
      <c r="D55" s="134" t="str">
        <f>IFERROR(__xludf.DUMMYFUNCTION("""COMPUTED_VALUE"""),"nishad.islam.utso@g.bracu.ac.bd")</f>
        <v>nishad.islam.utso@g.bracu.ac.bd</v>
      </c>
      <c r="E55" s="105"/>
    </row>
    <row r="56" ht="22.5" customHeight="1">
      <c r="A56" s="133">
        <f>IFERROR(__xludf.DUMMYFUNCTION("""COMPUTED_VALUE"""),2.320119E7)</f>
        <v>23201190</v>
      </c>
      <c r="B56" s="133" t="str">
        <f>IFERROR(__xludf.DUMMYFUNCTION("""COMPUTED_VALUE"""),"Shams Tahmid")</f>
        <v>Shams Tahmid</v>
      </c>
      <c r="C56" s="134" t="str">
        <f>IFERROR(__xludf.DUMMYFUNCTION("""COMPUTED_VALUE"""),"Executive")</f>
        <v>Executive</v>
      </c>
      <c r="D56" s="134" t="str">
        <f>IFERROR(__xludf.DUMMYFUNCTION("""COMPUTED_VALUE"""),"shams.tahmid.malitha@g.bracu.ac.bd")</f>
        <v>shams.tahmid.malitha@g.bracu.ac.bd</v>
      </c>
      <c r="E56" s="105"/>
    </row>
    <row r="57" ht="22.5" customHeight="1">
      <c r="A57" s="133">
        <f>IFERROR(__xludf.DUMMYFUNCTION("""COMPUTED_VALUE"""),2.4101528E7)</f>
        <v>24101528</v>
      </c>
      <c r="B57" s="133" t="str">
        <f>IFERROR(__xludf.DUMMYFUNCTION("""COMPUTED_VALUE"""),"Dibbyajoti Chatterjee Kabbya")</f>
        <v>Dibbyajoti Chatterjee Kabbya</v>
      </c>
      <c r="C57" s="134" t="str">
        <f>IFERROR(__xludf.DUMMYFUNCTION("""COMPUTED_VALUE"""),"Executive")</f>
        <v>Executive</v>
      </c>
      <c r="D57" s="134" t="str">
        <f>IFERROR(__xludf.DUMMYFUNCTION("""COMPUTED_VALUE"""),"dibbyajoti.chatterjee.kabbya@g.bracu.ac.bd")</f>
        <v>dibbyajoti.chatterjee.kabbya@g.bracu.ac.bd</v>
      </c>
      <c r="E57" s="105"/>
    </row>
    <row r="58" ht="22.5" customHeight="1">
      <c r="A58" s="133">
        <f>IFERROR(__xludf.DUMMYFUNCTION("""COMPUTED_VALUE"""),2.3301128E7)</f>
        <v>23301128</v>
      </c>
      <c r="B58" s="133" t="str">
        <f>IFERROR(__xludf.DUMMYFUNCTION("""COMPUTED_VALUE"""),"Sadman Shabab")</f>
        <v>Sadman Shabab</v>
      </c>
      <c r="C58" s="134" t="str">
        <f>IFERROR(__xludf.DUMMYFUNCTION("""COMPUTED_VALUE"""),"Executive")</f>
        <v>Executive</v>
      </c>
      <c r="D58" s="134" t="str">
        <f>IFERROR(__xludf.DUMMYFUNCTION("""COMPUTED_VALUE"""),"sadman.shabab@g.bracu.ac.bd")</f>
        <v>sadman.shabab@g.bracu.ac.bd</v>
      </c>
      <c r="E58" s="105"/>
    </row>
    <row r="59" ht="22.5" customHeight="1">
      <c r="A59" s="133">
        <f>IFERROR(__xludf.DUMMYFUNCTION("""COMPUTED_VALUE"""),2.4201352E7)</f>
        <v>24201352</v>
      </c>
      <c r="B59" s="133" t="str">
        <f>IFERROR(__xludf.DUMMYFUNCTION("""COMPUTED_VALUE"""),"Suryatapa Sinha")</f>
        <v>Suryatapa Sinha</v>
      </c>
      <c r="C59" s="134" t="str">
        <f>IFERROR(__xludf.DUMMYFUNCTION("""COMPUTED_VALUE"""),"Executive")</f>
        <v>Executive</v>
      </c>
      <c r="D59" s="134" t="str">
        <f>IFERROR(__xludf.DUMMYFUNCTION("""COMPUTED_VALUE"""),"suryatapa.sinha@g.bracu.ac.bd")</f>
        <v>suryatapa.sinha@g.bracu.ac.bd</v>
      </c>
      <c r="E59" s="105"/>
    </row>
    <row r="60" ht="22.5" customHeight="1">
      <c r="A60" s="133">
        <f>IFERROR(__xludf.DUMMYFUNCTION("""COMPUTED_VALUE"""),1.000054587E9)</f>
        <v>1000054587</v>
      </c>
      <c r="B60" s="133" t="str">
        <f>IFERROR(__xludf.DUMMYFUNCTION("""COMPUTED_VALUE"""),"Md Ataullah Biswas")</f>
        <v>Md Ataullah Biswas</v>
      </c>
      <c r="C60" s="134" t="str">
        <f>IFERROR(__xludf.DUMMYFUNCTION("""COMPUTED_VALUE"""),"Executive")</f>
        <v>Executive</v>
      </c>
      <c r="D60" s="134" t="str">
        <f>IFERROR(__xludf.DUMMYFUNCTION("""COMPUTED_VALUE"""),"md.ataullah.biswas@g.bracu.ac.bd")</f>
        <v>md.ataullah.biswas@g.bracu.ac.bd</v>
      </c>
      <c r="E60" s="105"/>
    </row>
    <row r="61" ht="22.5" customHeight="1">
      <c r="A61" s="133">
        <f>IFERROR(__xludf.DUMMYFUNCTION("""COMPUTED_VALUE"""),1.000056915E9)</f>
        <v>1000056915</v>
      </c>
      <c r="B61" s="133" t="str">
        <f>IFERROR(__xludf.DUMMYFUNCTION("""COMPUTED_VALUE"""),"Sk Mehedi Hassan")</f>
        <v>Sk Mehedi Hassan</v>
      </c>
      <c r="C61" s="134" t="str">
        <f>IFERROR(__xludf.DUMMYFUNCTION("""COMPUTED_VALUE"""),"Executive")</f>
        <v>Executive</v>
      </c>
      <c r="D61" s="134" t="str">
        <f>IFERROR(__xludf.DUMMYFUNCTION("""COMPUTED_VALUE"""),"sk.mehedi.hassan@g.bracu.ac.bd")</f>
        <v>sk.mehedi.hassan@g.bracu.ac.bd</v>
      </c>
      <c r="E61" s="105"/>
    </row>
    <row r="62" ht="22.5" customHeight="1">
      <c r="A62" s="133">
        <f>IFERROR(__xludf.DUMMYFUNCTION("""COMPUTED_VALUE"""),1.000056816E9)</f>
        <v>1000056816</v>
      </c>
      <c r="B62" s="133" t="str">
        <f>IFERROR(__xludf.DUMMYFUNCTION("""COMPUTED_VALUE"""),"Mirza Galib")</f>
        <v>Mirza Galib</v>
      </c>
      <c r="C62" s="134" t="str">
        <f>IFERROR(__xludf.DUMMYFUNCTION("""COMPUTED_VALUE"""),"Executive")</f>
        <v>Executive</v>
      </c>
      <c r="D62" s="134" t="str">
        <f>IFERROR(__xludf.DUMMYFUNCTION("""COMPUTED_VALUE"""),"mirza.galib@g.bracu.ac.bd")</f>
        <v>mirza.galib@g.bracu.ac.bd</v>
      </c>
      <c r="E62" s="105"/>
    </row>
    <row r="63" ht="22.5" customHeight="1">
      <c r="A63" s="133">
        <f>IFERROR(__xludf.DUMMYFUNCTION("""COMPUTED_VALUE"""),2.2301143E7)</f>
        <v>22301143</v>
      </c>
      <c r="B63" s="133" t="str">
        <f>IFERROR(__xludf.DUMMYFUNCTION("""COMPUTED_VALUE"""),"Ridhwanur Rahman Khan")</f>
        <v>Ridhwanur Rahman Khan</v>
      </c>
      <c r="C63" s="134" t="str">
        <f>IFERROR(__xludf.DUMMYFUNCTION("""COMPUTED_VALUE"""),"Executive")</f>
        <v>Executive</v>
      </c>
      <c r="D63" s="134" t="str">
        <f>IFERROR(__xludf.DUMMYFUNCTION("""COMPUTED_VALUE"""),"ridhwanur.rahman.khan@g.bracu.ac.bd")</f>
        <v>ridhwanur.rahman.khan@g.bracu.ac.bd</v>
      </c>
      <c r="E63" s="105"/>
    </row>
    <row r="64" ht="22.5" customHeight="1">
      <c r="A64" s="133">
        <f>IFERROR(__xludf.DUMMYFUNCTION("""COMPUTED_VALUE"""),2.2299107E7)</f>
        <v>22299107</v>
      </c>
      <c r="B64" s="133" t="str">
        <f>IFERROR(__xludf.DUMMYFUNCTION("""COMPUTED_VALUE"""),"Tahsin Ahmed")</f>
        <v>Tahsin Ahmed</v>
      </c>
      <c r="C64" s="134" t="str">
        <f>IFERROR(__xludf.DUMMYFUNCTION("""COMPUTED_VALUE"""),"Executive")</f>
        <v>Executive</v>
      </c>
      <c r="D64" s="134" t="str">
        <f>IFERROR(__xludf.DUMMYFUNCTION("""COMPUTED_VALUE"""),"tahsin.ahmed2@g.bracu.ac.bd")</f>
        <v>tahsin.ahmed2@g.bracu.ac.bd</v>
      </c>
      <c r="E64" s="105"/>
    </row>
    <row r="65" ht="22.5" customHeight="1">
      <c r="A65" s="133">
        <f>IFERROR(__xludf.DUMMYFUNCTION("""COMPUTED_VALUE"""),2.2201671E7)</f>
        <v>22201671</v>
      </c>
      <c r="B65" s="133" t="str">
        <f>IFERROR(__xludf.DUMMYFUNCTION("""COMPUTED_VALUE"""),"Kaniz Fatema Kanta")</f>
        <v>Kaniz Fatema Kanta</v>
      </c>
      <c r="C65" s="134" t="str">
        <f>IFERROR(__xludf.DUMMYFUNCTION("""COMPUTED_VALUE"""),"Executive")</f>
        <v>Executive</v>
      </c>
      <c r="D65" s="134" t="str">
        <f>IFERROR(__xludf.DUMMYFUNCTION("""COMPUTED_VALUE"""),"kaniz.fatema.kanta@g.bracu.ac.bd")</f>
        <v>kaniz.fatema.kanta@g.bracu.ac.bd</v>
      </c>
      <c r="E65" s="105"/>
    </row>
    <row r="66" ht="22.5" customHeight="1">
      <c r="A66" s="133">
        <f>IFERROR(__xludf.DUMMYFUNCTION("""COMPUTED_VALUE"""),2.2101759E7)</f>
        <v>22101759</v>
      </c>
      <c r="B66" s="133" t="str">
        <f>IFERROR(__xludf.DUMMYFUNCTION("""COMPUTED_VALUE"""),"Md Rafiqul Islam")</f>
        <v>Md Rafiqul Islam</v>
      </c>
      <c r="C66" s="134" t="str">
        <f>IFERROR(__xludf.DUMMYFUNCTION("""COMPUTED_VALUE"""),"Executive")</f>
        <v>Executive</v>
      </c>
      <c r="D66" s="134" t="str">
        <f>IFERROR(__xludf.DUMMYFUNCTION("""COMPUTED_VALUE"""),"md.rafiqul.islam2@g.bracu.ac.bd")</f>
        <v>md.rafiqul.islam2@g.bracu.ac.bd</v>
      </c>
      <c r="E66" s="105"/>
    </row>
    <row r="67" ht="22.5" customHeight="1">
      <c r="A67" s="133">
        <f>IFERROR(__xludf.DUMMYFUNCTION("""COMPUTED_VALUE"""),2.2101755E7)</f>
        <v>22101755</v>
      </c>
      <c r="B67" s="133" t="str">
        <f>IFERROR(__xludf.DUMMYFUNCTION("""COMPUTED_VALUE"""),"Salma Akter")</f>
        <v>Salma Akter</v>
      </c>
      <c r="C67" s="134" t="str">
        <f>IFERROR(__xludf.DUMMYFUNCTION("""COMPUTED_VALUE"""),"Executive")</f>
        <v>Executive</v>
      </c>
      <c r="D67" s="134" t="str">
        <f>IFERROR(__xludf.DUMMYFUNCTION("""COMPUTED_VALUE"""),"salma.akter@g.bracu.ac.bd")</f>
        <v>salma.akter@g.bracu.ac.bd</v>
      </c>
      <c r="E67" s="105"/>
    </row>
    <row r="68" ht="22.5" customHeight="1">
      <c r="A68" s="133">
        <f>IFERROR(__xludf.DUMMYFUNCTION("""COMPUTED_VALUE"""),2.2101728E7)</f>
        <v>22101728</v>
      </c>
      <c r="B68" s="133" t="str">
        <f>IFERROR(__xludf.DUMMYFUNCTION("""COMPUTED_VALUE"""),"Rabaya Farzana Sikder")</f>
        <v>Rabaya Farzana Sikder</v>
      </c>
      <c r="C68" s="134" t="str">
        <f>IFERROR(__xludf.DUMMYFUNCTION("""COMPUTED_VALUE"""),"Executive")</f>
        <v>Executive</v>
      </c>
      <c r="D68" s="134" t="str">
        <f>IFERROR(__xludf.DUMMYFUNCTION("""COMPUTED_VALUE"""),"rabaya.farzana.sikder@g.bracu.ac.bd")</f>
        <v>rabaya.farzana.sikder@g.bracu.ac.bd</v>
      </c>
      <c r="E68" s="105"/>
    </row>
    <row r="69" ht="22.5" customHeight="1">
      <c r="A69" s="133">
        <f>IFERROR(__xludf.DUMMYFUNCTION("""COMPUTED_VALUE"""),2.2101704E7)</f>
        <v>22101704</v>
      </c>
      <c r="B69" s="133" t="str">
        <f>IFERROR(__xludf.DUMMYFUNCTION("""COMPUTED_VALUE"""),"Md Sohan")</f>
        <v>Md Sohan</v>
      </c>
      <c r="C69" s="134" t="str">
        <f>IFERROR(__xludf.DUMMYFUNCTION("""COMPUTED_VALUE"""),"Executive")</f>
        <v>Executive</v>
      </c>
      <c r="D69" s="134" t="str">
        <f>IFERROR(__xludf.DUMMYFUNCTION("""COMPUTED_VALUE"""),"saad.bin.sohan@g.bracu.ac.bd")</f>
        <v>saad.bin.sohan@g.bracu.ac.bd</v>
      </c>
      <c r="E69" s="105"/>
    </row>
    <row r="70" ht="22.5" customHeight="1">
      <c r="A70" s="133">
        <f>IFERROR(__xludf.DUMMYFUNCTION("""COMPUTED_VALUE"""),2.2101273E7)</f>
        <v>22101273</v>
      </c>
      <c r="B70" s="133" t="str">
        <f>IFERROR(__xludf.DUMMYFUNCTION("""COMPUTED_VALUE"""),"Md. Salman Pasha")</f>
        <v>Md. Salman Pasha</v>
      </c>
      <c r="C70" s="134" t="str">
        <f>IFERROR(__xludf.DUMMYFUNCTION("""COMPUTED_VALUE"""),"Executive")</f>
        <v>Executive</v>
      </c>
      <c r="D70" s="134" t="str">
        <f>IFERROR(__xludf.DUMMYFUNCTION("""COMPUTED_VALUE"""),"md.salman.pasha@g.bracu.ac.bd")</f>
        <v>md.salman.pasha@g.bracu.ac.bd</v>
      </c>
      <c r="E70" s="105"/>
    </row>
    <row r="71" ht="22.5" customHeight="1">
      <c r="A71" s="133">
        <f>IFERROR(__xludf.DUMMYFUNCTION("""COMPUTED_VALUE"""),2.2101268E7)</f>
        <v>22101268</v>
      </c>
      <c r="B71" s="133" t="str">
        <f>IFERROR(__xludf.DUMMYFUNCTION("""COMPUTED_VALUE"""),"Md. Rakibur Rahman Shovon")</f>
        <v>Md. Rakibur Rahman Shovon</v>
      </c>
      <c r="C71" s="134" t="str">
        <f>IFERROR(__xludf.DUMMYFUNCTION("""COMPUTED_VALUE"""),"Executive")</f>
        <v>Executive</v>
      </c>
      <c r="D71" s="134" t="str">
        <f>IFERROR(__xludf.DUMMYFUNCTION("""COMPUTED_VALUE"""),"rakibur.rahman.shovon@g.bracu.ac.bd")</f>
        <v>rakibur.rahman.shovon@g.bracu.ac.bd</v>
      </c>
      <c r="E71" s="105"/>
    </row>
    <row r="72" ht="22.5" customHeight="1">
      <c r="A72" s="133">
        <f>IFERROR(__xludf.DUMMYFUNCTION("""COMPUTED_VALUE"""),2.2101265E7)</f>
        <v>22101265</v>
      </c>
      <c r="B72" s="133" t="str">
        <f>IFERROR(__xludf.DUMMYFUNCTION("""COMPUTED_VALUE"""),"Mohammad Omar Rusham")</f>
        <v>Mohammad Omar Rusham</v>
      </c>
      <c r="C72" s="134" t="str">
        <f>IFERROR(__xludf.DUMMYFUNCTION("""COMPUTED_VALUE"""),"Executive")</f>
        <v>Executive</v>
      </c>
      <c r="D72" s="134" t="str">
        <f>IFERROR(__xludf.DUMMYFUNCTION("""COMPUTED_VALUE"""),"mohammad.omar.rusham@g.bracu.ac.bd")</f>
        <v>mohammad.omar.rusham@g.bracu.ac.bd</v>
      </c>
      <c r="E72" s="105"/>
    </row>
    <row r="73" ht="22.5" customHeight="1">
      <c r="A73" s="133">
        <f>IFERROR(__xludf.DUMMYFUNCTION("""COMPUTED_VALUE"""),2.2101215E7)</f>
        <v>22101215</v>
      </c>
      <c r="B73" s="133" t="str">
        <f>IFERROR(__xludf.DUMMYFUNCTION("""COMPUTED_VALUE"""),"Mustafina Joarder")</f>
        <v>Mustafina Joarder</v>
      </c>
      <c r="C73" s="134" t="str">
        <f>IFERROR(__xludf.DUMMYFUNCTION("""COMPUTED_VALUE"""),"Executive")</f>
        <v>Executive</v>
      </c>
      <c r="D73" s="134" t="str">
        <f>IFERROR(__xludf.DUMMYFUNCTION("""COMPUTED_VALUE"""),"mustafina.joarder@g.bracu.ac.bd")</f>
        <v>mustafina.joarder@g.bracu.ac.bd</v>
      </c>
      <c r="E73" s="105"/>
    </row>
    <row r="74" ht="22.5" customHeight="1">
      <c r="A74" s="133">
        <f>IFERROR(__xludf.DUMMYFUNCTION("""COMPUTED_VALUE"""),2.210118E7)</f>
        <v>22101180</v>
      </c>
      <c r="B74" s="133" t="str">
        <f>IFERROR(__xludf.DUMMYFUNCTION("""COMPUTED_VALUE"""),"Rifah Jahan Tamanna")</f>
        <v>Rifah Jahan Tamanna</v>
      </c>
      <c r="C74" s="134" t="str">
        <f>IFERROR(__xludf.DUMMYFUNCTION("""COMPUTED_VALUE"""),"Executive")</f>
        <v>Executive</v>
      </c>
      <c r="D74" s="134" t="str">
        <f>IFERROR(__xludf.DUMMYFUNCTION("""COMPUTED_VALUE"""),"rifah.jahan.tamanna@g.bracu.ac.bd")</f>
        <v>rifah.jahan.tamanna@g.bracu.ac.bd</v>
      </c>
      <c r="E74" s="105"/>
    </row>
    <row r="75" ht="22.5" customHeight="1">
      <c r="A75" s="133">
        <f>IFERROR(__xludf.DUMMYFUNCTION("""COMPUTED_VALUE"""),2.3301553E7)</f>
        <v>23301553</v>
      </c>
      <c r="B75" s="133" t="str">
        <f>IFERROR(__xludf.DUMMYFUNCTION("""COMPUTED_VALUE"""),"Nusrat Zahin Chowdhury")</f>
        <v>Nusrat Zahin Chowdhury</v>
      </c>
      <c r="C75" s="134" t="str">
        <f>IFERROR(__xludf.DUMMYFUNCTION("""COMPUTED_VALUE"""),"Executive")</f>
        <v>Executive</v>
      </c>
      <c r="D75" s="134" t="str">
        <f>IFERROR(__xludf.DUMMYFUNCTION("""COMPUTED_VALUE"""),"nusrat.zahin.chowdhury@g.bracu.ac.bd")</f>
        <v>nusrat.zahin.chowdhury@g.bracu.ac.bd</v>
      </c>
      <c r="E75" s="105"/>
    </row>
    <row r="76" ht="22.5" customHeight="1">
      <c r="A76" s="133">
        <f>IFERROR(__xludf.DUMMYFUNCTION("""COMPUTED_VALUE"""),2.3301475E7)</f>
        <v>23301475</v>
      </c>
      <c r="B76" s="133" t="str">
        <f>IFERROR(__xludf.DUMMYFUNCTION("""COMPUTED_VALUE"""),"Syed Maruf Kabir")</f>
        <v>Syed Maruf Kabir</v>
      </c>
      <c r="C76" s="134" t="str">
        <f>IFERROR(__xludf.DUMMYFUNCTION("""COMPUTED_VALUE"""),"Executive")</f>
        <v>Executive</v>
      </c>
      <c r="D76" s="134" t="str">
        <f>IFERROR(__xludf.DUMMYFUNCTION("""COMPUTED_VALUE"""),"syed.maruf.kabir@g.bracu.ac.bd")</f>
        <v>syed.maruf.kabir@g.bracu.ac.bd</v>
      </c>
      <c r="E76" s="105"/>
    </row>
    <row r="77" ht="22.5" customHeight="1">
      <c r="A77" s="133">
        <f>IFERROR(__xludf.DUMMYFUNCTION("""COMPUTED_VALUE"""),2.3101417E7)</f>
        <v>23101417</v>
      </c>
      <c r="B77" s="133" t="str">
        <f>IFERROR(__xludf.DUMMYFUNCTION("""COMPUTED_VALUE"""),"Siratim Mustakim")</f>
        <v>Siratim Mustakim</v>
      </c>
      <c r="C77" s="134" t="str">
        <f>IFERROR(__xludf.DUMMYFUNCTION("""COMPUTED_VALUE"""),"Executive")</f>
        <v>Executive</v>
      </c>
      <c r="D77" s="134" t="str">
        <f>IFERROR(__xludf.DUMMYFUNCTION("""COMPUTED_VALUE"""),"siratim.mustakim@g.bracu.ac.bd")</f>
        <v>siratim.mustakim@g.bracu.ac.bd</v>
      </c>
      <c r="E77" s="105"/>
    </row>
    <row r="78" ht="22.5" customHeight="1">
      <c r="A78" s="133">
        <f>IFERROR(__xludf.DUMMYFUNCTION("""COMPUTED_VALUE"""),2.3101156E7)</f>
        <v>23101156</v>
      </c>
      <c r="B78" s="133" t="str">
        <f>IFERROR(__xludf.DUMMYFUNCTION("""COMPUTED_VALUE"""),"Mohammad Shamin Ihsan")</f>
        <v>Mohammad Shamin Ihsan</v>
      </c>
      <c r="C78" s="134" t="str">
        <f>IFERROR(__xludf.DUMMYFUNCTION("""COMPUTED_VALUE"""),"Executive")</f>
        <v>Executive</v>
      </c>
      <c r="D78" s="134" t="str">
        <f>IFERROR(__xludf.DUMMYFUNCTION("""COMPUTED_VALUE"""),"mohammad.shamin.ihsan@g.bracu.ac.bd")</f>
        <v>mohammad.shamin.ihsan@g.bracu.ac.bd</v>
      </c>
      <c r="E78" s="105"/>
    </row>
    <row r="79" ht="22.5" customHeight="1">
      <c r="A79" s="133">
        <f>IFERROR(__xludf.DUMMYFUNCTION("""COMPUTED_VALUE"""),2.3101067E7)</f>
        <v>23101067</v>
      </c>
      <c r="B79" s="133" t="str">
        <f>IFERROR(__xludf.DUMMYFUNCTION("""COMPUTED_VALUE"""),"Nowshin Zahan")</f>
        <v>Nowshin Zahan</v>
      </c>
      <c r="C79" s="134" t="str">
        <f>IFERROR(__xludf.DUMMYFUNCTION("""COMPUTED_VALUE"""),"Executive")</f>
        <v>Executive</v>
      </c>
      <c r="D79" s="134" t="str">
        <f>IFERROR(__xludf.DUMMYFUNCTION("""COMPUTED_VALUE"""),"nowshin.zahan@g.bracu.ac.bd")</f>
        <v>nowshin.zahan@g.bracu.ac.bd</v>
      </c>
      <c r="E79" s="105"/>
    </row>
    <row r="80" ht="22.5" customHeight="1">
      <c r="A80" s="133">
        <f>IFERROR(__xludf.DUMMYFUNCTION("""COMPUTED_VALUE"""),2.23011E7)</f>
        <v>22301100</v>
      </c>
      <c r="B80" s="133" t="str">
        <f>IFERROR(__xludf.DUMMYFUNCTION("""COMPUTED_VALUE"""),"Tanvir Ahmed Maruf")</f>
        <v>Tanvir Ahmed Maruf</v>
      </c>
      <c r="C80" s="134" t="str">
        <f>IFERROR(__xludf.DUMMYFUNCTION("""COMPUTED_VALUE"""),"Executive")</f>
        <v>Executive</v>
      </c>
      <c r="D80" s="134" t="str">
        <f>IFERROR(__xludf.DUMMYFUNCTION("""COMPUTED_VALUE"""),"tanvir.ahmed.maruf@g.bracu.ac.bd")</f>
        <v>tanvir.ahmed.maruf@g.bracu.ac.bd</v>
      </c>
      <c r="E80" s="105"/>
    </row>
    <row r="81" ht="22.5" customHeight="1">
      <c r="A81" s="133">
        <f>IFERROR(__xludf.DUMMYFUNCTION("""COMPUTED_VALUE"""),2.2101344E7)</f>
        <v>22101344</v>
      </c>
      <c r="B81" s="133" t="str">
        <f>IFERROR(__xludf.DUMMYFUNCTION("""COMPUTED_VALUE"""),"Ayesha Siddika")</f>
        <v>Ayesha Siddika</v>
      </c>
      <c r="C81" s="134" t="str">
        <f>IFERROR(__xludf.DUMMYFUNCTION("""COMPUTED_VALUE"""),"Executive")</f>
        <v>Executive</v>
      </c>
      <c r="D81" s="134" t="str">
        <f>IFERROR(__xludf.DUMMYFUNCTION("""COMPUTED_VALUE"""),"ayesha.siddika4@g.bracu.ac.bd")</f>
        <v>ayesha.siddika4@g.bracu.ac.bd</v>
      </c>
      <c r="E81" s="105"/>
    </row>
    <row r="82" ht="22.5" customHeight="1">
      <c r="A82" s="133">
        <f>IFERROR(__xludf.DUMMYFUNCTION("""COMPUTED_VALUE"""),2.220171E7)</f>
        <v>22201710</v>
      </c>
      <c r="B82" s="133" t="str">
        <f>IFERROR(__xludf.DUMMYFUNCTION("""COMPUTED_VALUE"""),"Md. Jubaid Hasan")</f>
        <v>Md. Jubaid Hasan</v>
      </c>
      <c r="C82" s="134" t="str">
        <f>IFERROR(__xludf.DUMMYFUNCTION("""COMPUTED_VALUE"""),"Executive")</f>
        <v>Executive</v>
      </c>
      <c r="D82" s="134" t="str">
        <f>IFERROR(__xludf.DUMMYFUNCTION("""COMPUTED_VALUE"""),"md.jubaid.hasan@g.bracu.ac.bd")</f>
        <v>md.jubaid.hasan@g.bracu.ac.bd</v>
      </c>
      <c r="E82" s="105"/>
    </row>
    <row r="83" ht="22.5" customHeight="1">
      <c r="A83" s="133">
        <f>IFERROR(__xludf.DUMMYFUNCTION("""COMPUTED_VALUE"""),2.220143E7)</f>
        <v>22201430</v>
      </c>
      <c r="B83" s="133" t="str">
        <f>IFERROR(__xludf.DUMMYFUNCTION("""COMPUTED_VALUE"""),"Labina Mehrin")</f>
        <v>Labina Mehrin</v>
      </c>
      <c r="C83" s="134" t="str">
        <f>IFERROR(__xludf.DUMMYFUNCTION("""COMPUTED_VALUE"""),"Executive")</f>
        <v>Executive</v>
      </c>
      <c r="D83" s="134" t="str">
        <f>IFERROR(__xludf.DUMMYFUNCTION("""COMPUTED_VALUE"""),"labina.mehrin@g.bracu.ac.bd")</f>
        <v>labina.mehrin@g.bracu.ac.bd</v>
      </c>
      <c r="E83" s="105"/>
    </row>
    <row r="84" ht="22.5" customHeight="1">
      <c r="A84" s="133">
        <f>IFERROR(__xludf.DUMMYFUNCTION("""COMPUTED_VALUE"""),2.2201266E7)</f>
        <v>22201266</v>
      </c>
      <c r="B84" s="133" t="str">
        <f>IFERROR(__xludf.DUMMYFUNCTION("""COMPUTED_VALUE"""),"Nazim Mahmud Zishan")</f>
        <v>Nazim Mahmud Zishan</v>
      </c>
      <c r="C84" s="134" t="str">
        <f>IFERROR(__xludf.DUMMYFUNCTION("""COMPUTED_VALUE"""),"Executive")</f>
        <v>Executive</v>
      </c>
      <c r="D84" s="134" t="str">
        <f>IFERROR(__xludf.DUMMYFUNCTION("""COMPUTED_VALUE"""),"nazim.mahmud.zishan@g.bracu.ac.bd")</f>
        <v>nazim.mahmud.zishan@g.bracu.ac.bd</v>
      </c>
      <c r="E84" s="105"/>
    </row>
    <row r="85" ht="22.5" customHeight="1">
      <c r="A85" s="133">
        <f>IFERROR(__xludf.DUMMYFUNCTION("""COMPUTED_VALUE"""),2.1201075E7)</f>
        <v>21201075</v>
      </c>
      <c r="B85" s="133" t="str">
        <f>IFERROR(__xludf.DUMMYFUNCTION("""COMPUTED_VALUE"""),"Mamduda Nahar Khanom")</f>
        <v>Mamduda Nahar Khanom</v>
      </c>
      <c r="C85" s="134" t="str">
        <f>IFERROR(__xludf.DUMMYFUNCTION("""COMPUTED_VALUE"""),"Executive")</f>
        <v>Executive</v>
      </c>
      <c r="D85" s="134" t="str">
        <f>IFERROR(__xludf.DUMMYFUNCTION("""COMPUTED_VALUE"""),"mamduda.nahar.khanom@g.bracu.ac.bd")</f>
        <v>mamduda.nahar.khanom@g.bracu.ac.bd</v>
      </c>
      <c r="E85" s="105"/>
    </row>
    <row r="86" ht="22.5" customHeight="1">
      <c r="A86" s="133">
        <f>IFERROR(__xludf.DUMMYFUNCTION("""COMPUTED_VALUE"""),2.210154E7)</f>
        <v>22101540</v>
      </c>
      <c r="B86" s="133" t="str">
        <f>IFERROR(__xludf.DUMMYFUNCTION("""COMPUTED_VALUE"""),"Md.Borhan Uddin")</f>
        <v>Md.Borhan Uddin</v>
      </c>
      <c r="C86" s="134" t="str">
        <f>IFERROR(__xludf.DUMMYFUNCTION("""COMPUTED_VALUE"""),"Executive")</f>
        <v>Executive</v>
      </c>
      <c r="D86" s="134" t="str">
        <f>IFERROR(__xludf.DUMMYFUNCTION("""COMPUTED_VALUE"""),"md.borhan.uddin@g.bracu.ac.bd")</f>
        <v>md.borhan.uddin@g.bracu.ac.bd</v>
      </c>
      <c r="E86" s="105"/>
    </row>
    <row r="87" ht="22.5" customHeight="1">
      <c r="A87" s="133">
        <f>IFERROR(__xludf.DUMMYFUNCTION("""COMPUTED_VALUE"""),2.330156E7)</f>
        <v>23301560</v>
      </c>
      <c r="B87" s="133" t="str">
        <f>IFERROR(__xludf.DUMMYFUNCTION("""COMPUTED_VALUE"""),"Naimur Rahman Sifat")</f>
        <v>Naimur Rahman Sifat</v>
      </c>
      <c r="C87" s="134" t="str">
        <f>IFERROR(__xludf.DUMMYFUNCTION("""COMPUTED_VALUE"""),"Executive")</f>
        <v>Executive</v>
      </c>
      <c r="D87" s="134" t="str">
        <f>IFERROR(__xludf.DUMMYFUNCTION("""COMPUTED_VALUE"""),"naimur.rahman.sifat@g.bracu.ac.bd")</f>
        <v>naimur.rahman.sifat@g.bracu.ac.bd</v>
      </c>
      <c r="E87" s="105"/>
    </row>
    <row r="88" ht="22.5" customHeight="1">
      <c r="A88" s="133">
        <f>IFERROR(__xludf.DUMMYFUNCTION("""COMPUTED_VALUE"""),2.2201858E7)</f>
        <v>22201858</v>
      </c>
      <c r="B88" s="133" t="str">
        <f>IFERROR(__xludf.DUMMYFUNCTION("""COMPUTED_VALUE"""),"Nashid A Sikder Amio")</f>
        <v>Nashid A Sikder Amio</v>
      </c>
      <c r="C88" s="134" t="str">
        <f>IFERROR(__xludf.DUMMYFUNCTION("""COMPUTED_VALUE"""),"Executive")</f>
        <v>Executive</v>
      </c>
      <c r="D88" s="134" t="str">
        <f>IFERROR(__xludf.DUMMYFUNCTION("""COMPUTED_VALUE"""),"nashid.a.sikder@g.bracu.ac.bd")</f>
        <v>nashid.a.sikder@g.bracu.ac.bd</v>
      </c>
      <c r="E88" s="105"/>
    </row>
    <row r="89" ht="22.5" customHeight="1">
      <c r="A89" s="133">
        <f>IFERROR(__xludf.DUMMYFUNCTION("""COMPUTED_VALUE"""),2.4101654E7)</f>
        <v>24101654</v>
      </c>
      <c r="B89" s="133" t="str">
        <f>IFERROR(__xludf.DUMMYFUNCTION("""COMPUTED_VALUE"""),"Simanta Majumder")</f>
        <v>Simanta Majumder</v>
      </c>
      <c r="C89" s="134" t="str">
        <f>IFERROR(__xludf.DUMMYFUNCTION("""COMPUTED_VALUE"""),"Executive")</f>
        <v>Executive</v>
      </c>
      <c r="D89" s="134" t="str">
        <f>IFERROR(__xludf.DUMMYFUNCTION("""COMPUTED_VALUE"""),"simanta.majumdar@g.bracu.ac.bd")</f>
        <v>simanta.majumdar@g.bracu.ac.bd</v>
      </c>
      <c r="E89" s="105"/>
    </row>
    <row r="90" ht="22.5" customHeight="1">
      <c r="A90" s="133">
        <f>IFERROR(__xludf.DUMMYFUNCTION("""COMPUTED_VALUE"""),2.4341187E7)</f>
        <v>24341187</v>
      </c>
      <c r="B90" s="133" t="str">
        <f>IFERROR(__xludf.DUMMYFUNCTION("""COMPUTED_VALUE"""),"Md Zarif Latif")</f>
        <v>Md Zarif Latif</v>
      </c>
      <c r="C90" s="134" t="str">
        <f>IFERROR(__xludf.DUMMYFUNCTION("""COMPUTED_VALUE"""),"Executive")</f>
        <v>Executive</v>
      </c>
      <c r="D90" s="134" t="str">
        <f>IFERROR(__xludf.DUMMYFUNCTION("""COMPUTED_VALUE"""),"md.zarif.latif@g.bracu.ac.bd")</f>
        <v>md.zarif.latif@g.bracu.ac.bd</v>
      </c>
      <c r="E90" s="105"/>
    </row>
    <row r="91" ht="22.5" customHeight="1">
      <c r="A91" s="133">
        <f>IFERROR(__xludf.DUMMYFUNCTION("""COMPUTED_VALUE"""),2.430127E7)</f>
        <v>24301270</v>
      </c>
      <c r="B91" s="133" t="str">
        <f>IFERROR(__xludf.DUMMYFUNCTION("""COMPUTED_VALUE"""),"zunaid mahmood")</f>
        <v>zunaid mahmood</v>
      </c>
      <c r="C91" s="134" t="str">
        <f>IFERROR(__xludf.DUMMYFUNCTION("""COMPUTED_VALUE"""),"Executive")</f>
        <v>Executive</v>
      </c>
      <c r="D91" s="134" t="str">
        <f>IFERROR(__xludf.DUMMYFUNCTION("""COMPUTED_VALUE"""),"zunaid.mahmood@g.bracu.ac.bd")</f>
        <v>zunaid.mahmood@g.bracu.ac.bd</v>
      </c>
      <c r="E91" s="105"/>
    </row>
    <row r="92" ht="22.5" customHeight="1">
      <c r="A92" s="133">
        <f>IFERROR(__xludf.DUMMYFUNCTION("""COMPUTED_VALUE"""),2.220127E7)</f>
        <v>22201270</v>
      </c>
      <c r="B92" s="133" t="str">
        <f>IFERROR(__xludf.DUMMYFUNCTION("""COMPUTED_VALUE"""),"Salma Jahan Shila")</f>
        <v>Salma Jahan Shila</v>
      </c>
      <c r="C92" s="134" t="str">
        <f>IFERROR(__xludf.DUMMYFUNCTION("""COMPUTED_VALUE"""),"Executive")</f>
        <v>Executive</v>
      </c>
      <c r="D92" s="134" t="str">
        <f>IFERROR(__xludf.DUMMYFUNCTION("""COMPUTED_VALUE"""),"salma.jahan.shila@g.bracu.ac.bd")</f>
        <v>salma.jahan.shila@g.bracu.ac.bd</v>
      </c>
      <c r="E92" s="105"/>
    </row>
    <row r="93" ht="22.5" customHeight="1">
      <c r="A93" s="133">
        <f>IFERROR(__xludf.DUMMYFUNCTION("""COMPUTED_VALUE"""),2.4301234E7)</f>
        <v>24301234</v>
      </c>
      <c r="B93" s="133" t="str">
        <f>IFERROR(__xludf.DUMMYFUNCTION("""COMPUTED_VALUE"""),"Fahim Alam")</f>
        <v>Fahim Alam</v>
      </c>
      <c r="C93" s="134" t="str">
        <f>IFERROR(__xludf.DUMMYFUNCTION("""COMPUTED_VALUE"""),"Executive")</f>
        <v>Executive</v>
      </c>
      <c r="D93" s="134" t="str">
        <f>IFERROR(__xludf.DUMMYFUNCTION("""COMPUTED_VALUE"""),"fahim.alam@g.bracu.ac.bd")</f>
        <v>fahim.alam@g.bracu.ac.bd</v>
      </c>
      <c r="E93" s="105"/>
    </row>
    <row r="94" ht="22.5" customHeight="1">
      <c r="A94" s="133">
        <f>IFERROR(__xludf.DUMMYFUNCTION("""COMPUTED_VALUE"""),2.4341184E7)</f>
        <v>24341184</v>
      </c>
      <c r="B94" s="133" t="str">
        <f>IFERROR(__xludf.DUMMYFUNCTION("""COMPUTED_VALUE"""),"Md. Asaduzzaman")</f>
        <v>Md. Asaduzzaman</v>
      </c>
      <c r="C94" s="134" t="str">
        <f>IFERROR(__xludf.DUMMYFUNCTION("""COMPUTED_VALUE"""),"Executive")</f>
        <v>Executive</v>
      </c>
      <c r="D94" s="134" t="str">
        <f>IFERROR(__xludf.DUMMYFUNCTION("""COMPUTED_VALUE"""),"md.asaduzzaman1@g.bracu.ac.bd")</f>
        <v>md.asaduzzaman1@g.bracu.ac.bd</v>
      </c>
      <c r="E94" s="105"/>
    </row>
    <row r="95" ht="22.5" customHeight="1">
      <c r="A95" s="133">
        <f>IFERROR(__xludf.DUMMYFUNCTION("""COMPUTED_VALUE"""),2.4110029E7)</f>
        <v>24110029</v>
      </c>
      <c r="B95" s="133" t="str">
        <f>IFERROR(__xludf.DUMMYFUNCTION("""COMPUTED_VALUE"""),"Kaniz Farhana oishi")</f>
        <v>Kaniz Farhana oishi</v>
      </c>
      <c r="C95" s="134" t="str">
        <f>IFERROR(__xludf.DUMMYFUNCTION("""COMPUTED_VALUE"""),"Executive")</f>
        <v>Executive</v>
      </c>
      <c r="D95" s="134" t="str">
        <f>IFERROR(__xludf.DUMMYFUNCTION("""COMPUTED_VALUE"""),"kaniz.farhana.oishi@g.bracu.ac.bd")</f>
        <v>kaniz.farhana.oishi@g.bracu.ac.bd</v>
      </c>
      <c r="E95" s="105"/>
    </row>
    <row r="96" ht="22.5" customHeight="1">
      <c r="A96" s="133">
        <f>IFERROR(__xludf.DUMMYFUNCTION("""COMPUTED_VALUE"""),2.22993E7)</f>
        <v>22299300</v>
      </c>
      <c r="B96" s="133" t="str">
        <f>IFERROR(__xludf.DUMMYFUNCTION("""COMPUTED_VALUE"""),"Tajrian Parvez Tuba")</f>
        <v>Tajrian Parvez Tuba</v>
      </c>
      <c r="C96" s="134" t="str">
        <f>IFERROR(__xludf.DUMMYFUNCTION("""COMPUTED_VALUE"""),"Executive")</f>
        <v>Executive</v>
      </c>
      <c r="D96" s="134" t="str">
        <f>IFERROR(__xludf.DUMMYFUNCTION("""COMPUTED_VALUE"""),"tajrian.parvez.tuba@g.bracu.ac.bd")</f>
        <v>tajrian.parvez.tuba@g.bracu.ac.bd</v>
      </c>
      <c r="E96" s="105"/>
    </row>
    <row r="97" ht="22.5" customHeight="1">
      <c r="A97" s="133">
        <f>IFERROR(__xludf.DUMMYFUNCTION("""COMPUTED_VALUE"""),2.3101351E7)</f>
        <v>23101351</v>
      </c>
      <c r="B97" s="133" t="str">
        <f>IFERROR(__xludf.DUMMYFUNCTION("""COMPUTED_VALUE"""),"Zannatul Fardaus")</f>
        <v>Zannatul Fardaus</v>
      </c>
      <c r="C97" s="134" t="str">
        <f>IFERROR(__xludf.DUMMYFUNCTION("""COMPUTED_VALUE"""),"Executive")</f>
        <v>Executive</v>
      </c>
      <c r="D97" s="134" t="str">
        <f>IFERROR(__xludf.DUMMYFUNCTION("""COMPUTED_VALUE"""),"zannatul.fardaus@g.bracu.ac.bd")</f>
        <v>zannatul.fardaus@g.bracu.ac.bd</v>
      </c>
      <c r="E97" s="105"/>
    </row>
    <row r="98" ht="22.5" customHeight="1">
      <c r="A98" s="133">
        <f>IFERROR(__xludf.DUMMYFUNCTION("""COMPUTED_VALUE"""),2.4341158E7)</f>
        <v>24341158</v>
      </c>
      <c r="B98" s="133" t="str">
        <f>IFERROR(__xludf.DUMMYFUNCTION("""COMPUTED_VALUE"""),"Irtiza Tasnimah")</f>
        <v>Irtiza Tasnimah</v>
      </c>
      <c r="C98" s="134" t="str">
        <f>IFERROR(__xludf.DUMMYFUNCTION("""COMPUTED_VALUE"""),"Executive")</f>
        <v>Executive</v>
      </c>
      <c r="D98" s="134" t="str">
        <f>IFERROR(__xludf.DUMMYFUNCTION("""COMPUTED_VALUE"""),"irtiza.tasnimah@g.bracu.ac.bd")</f>
        <v>irtiza.tasnimah@g.bracu.ac.bd</v>
      </c>
      <c r="E98" s="105"/>
    </row>
    <row r="99" ht="22.5" customHeight="1">
      <c r="A99" s="133">
        <f>IFERROR(__xludf.DUMMYFUNCTION("""COMPUTED_VALUE"""),2.1301392E7)</f>
        <v>21301392</v>
      </c>
      <c r="B99" s="133" t="str">
        <f>IFERROR(__xludf.DUMMYFUNCTION("""COMPUTED_VALUE"""),"Md. Atik Shahriar")</f>
        <v>Md. Atik Shahriar</v>
      </c>
      <c r="C99" s="134" t="str">
        <f>IFERROR(__xludf.DUMMYFUNCTION("""COMPUTED_VALUE"""),"Executive")</f>
        <v>Executive</v>
      </c>
      <c r="D99" s="134" t="str">
        <f>IFERROR(__xludf.DUMMYFUNCTION("""COMPUTED_VALUE"""),"md.atik.shahriar@g.bracu.ac.bd")</f>
        <v>md.atik.shahriar@g.bracu.ac.bd</v>
      </c>
      <c r="E99" s="105"/>
    </row>
    <row r="100" ht="22.5" customHeight="1">
      <c r="A100" s="133">
        <f>IFERROR(__xludf.DUMMYFUNCTION("""COMPUTED_VALUE"""),2.3141016E7)</f>
        <v>23141016</v>
      </c>
      <c r="B100" s="133" t="str">
        <f>IFERROR(__xludf.DUMMYFUNCTION("""COMPUTED_VALUE"""),"Niloy Roy")</f>
        <v>Niloy Roy</v>
      </c>
      <c r="C100" s="134" t="str">
        <f>IFERROR(__xludf.DUMMYFUNCTION("""COMPUTED_VALUE"""),"Executive")</f>
        <v>Executive</v>
      </c>
      <c r="D100" s="134" t="str">
        <f>IFERROR(__xludf.DUMMYFUNCTION("""COMPUTED_VALUE"""),"niloy.roy@g.bracu.ac.bd")</f>
        <v>niloy.roy@g.bracu.ac.bd</v>
      </c>
      <c r="E100" s="105"/>
    </row>
    <row r="101" ht="22.5" customHeight="1">
      <c r="A101" s="133">
        <f>IFERROR(__xludf.DUMMYFUNCTION("""COMPUTED_VALUE"""),2.2299193E7)</f>
        <v>22299193</v>
      </c>
      <c r="B101" s="133" t="str">
        <f>IFERROR(__xludf.DUMMYFUNCTION("""COMPUTED_VALUE"""),"Sadiatul Jannat")</f>
        <v>Sadiatul Jannat</v>
      </c>
      <c r="C101" s="134" t="str">
        <f>IFERROR(__xludf.DUMMYFUNCTION("""COMPUTED_VALUE"""),"Executive")</f>
        <v>Executive</v>
      </c>
      <c r="D101" s="134" t="str">
        <f>IFERROR(__xludf.DUMMYFUNCTION("""COMPUTED_VALUE"""),"sadiatul.jannat@g.bracu.ac.bd")</f>
        <v>sadiatul.jannat@g.bracu.ac.bd</v>
      </c>
      <c r="E101" s="105"/>
    </row>
    <row r="102" ht="22.5" customHeight="1">
      <c r="A102" s="133">
        <f>IFERROR(__xludf.DUMMYFUNCTION("""COMPUTED_VALUE"""),2.4101613E7)</f>
        <v>24101613</v>
      </c>
      <c r="B102" s="133" t="str">
        <f>IFERROR(__xludf.DUMMYFUNCTION("""COMPUTED_VALUE"""),"Kazi Jubaer Faruk")</f>
        <v>Kazi Jubaer Faruk</v>
      </c>
      <c r="C102" s="134" t="str">
        <f>IFERROR(__xludf.DUMMYFUNCTION("""COMPUTED_VALUE"""),"Executive")</f>
        <v>Executive</v>
      </c>
      <c r="D102" s="134" t="str">
        <f>IFERROR(__xludf.DUMMYFUNCTION("""COMPUTED_VALUE"""),"kazi.jubaer.faruk@g.bracu.ac.bd")</f>
        <v>kazi.jubaer.faruk@g.bracu.ac.bd</v>
      </c>
      <c r="E102" s="105"/>
    </row>
    <row r="103" ht="22.5" customHeight="1">
      <c r="A103" s="133">
        <f>IFERROR(__xludf.DUMMYFUNCTION("""COMPUTED_VALUE"""),2.320159E7)</f>
        <v>23201590</v>
      </c>
      <c r="B103" s="133" t="str">
        <f>IFERROR(__xludf.DUMMYFUNCTION("""COMPUTED_VALUE"""),"MD.ASHFAQUZZAMAN")</f>
        <v>MD.ASHFAQUZZAMAN</v>
      </c>
      <c r="C103" s="134" t="str">
        <f>IFERROR(__xludf.DUMMYFUNCTION("""COMPUTED_VALUE"""),"Executive")</f>
        <v>Executive</v>
      </c>
      <c r="D103" s="134" t="str">
        <f>IFERROR(__xludf.DUMMYFUNCTION("""COMPUTED_VALUE"""),"md.ashfaquzzaman@g.bracu.ac.bd")</f>
        <v>md.ashfaquzzaman@g.bracu.ac.bd</v>
      </c>
      <c r="E103" s="105"/>
    </row>
    <row r="104" ht="22.5" customHeight="1">
      <c r="A104" s="133">
        <f>IFERROR(__xludf.DUMMYFUNCTION("""COMPUTED_VALUE"""),2.3201049E7)</f>
        <v>23201049</v>
      </c>
      <c r="B104" s="133" t="str">
        <f>IFERROR(__xludf.DUMMYFUNCTION("""COMPUTED_VALUE"""),"Md. Abid Rahman")</f>
        <v>Md. Abid Rahman</v>
      </c>
      <c r="C104" s="134" t="str">
        <f>IFERROR(__xludf.DUMMYFUNCTION("""COMPUTED_VALUE"""),"Executive")</f>
        <v>Executive</v>
      </c>
      <c r="D104" s="134" t="str">
        <f>IFERROR(__xludf.DUMMYFUNCTION("""COMPUTED_VALUE"""),"md.abid.rahman@g.bracu.ac.bd")</f>
        <v>md.abid.rahman@g.bracu.ac.bd</v>
      </c>
      <c r="E104" s="105"/>
    </row>
    <row r="105" ht="22.5" customHeight="1">
      <c r="A105" s="133">
        <f>IFERROR(__xludf.DUMMYFUNCTION("""COMPUTED_VALUE"""),2.4226118E7)</f>
        <v>24226118</v>
      </c>
      <c r="B105" s="133" t="str">
        <f>IFERROR(__xludf.DUMMYFUNCTION("""COMPUTED_VALUE"""),"Nigella Binte Khair")</f>
        <v>Nigella Binte Khair</v>
      </c>
      <c r="C105" s="134" t="str">
        <f>IFERROR(__xludf.DUMMYFUNCTION("""COMPUTED_VALUE"""),"Executive")</f>
        <v>Executive</v>
      </c>
      <c r="D105" s="134" t="str">
        <f>IFERROR(__xludf.DUMMYFUNCTION("""COMPUTED_VALUE"""),"nigella.binte.khair@g.bracu.ac.bd")</f>
        <v>nigella.binte.khair@g.bracu.ac.bd</v>
      </c>
      <c r="E105" s="105"/>
    </row>
    <row r="106" ht="22.5" customHeight="1">
      <c r="A106" s="133">
        <f>IFERROR(__xludf.DUMMYFUNCTION("""COMPUTED_VALUE"""),2.4204302E7)</f>
        <v>24204302</v>
      </c>
      <c r="B106" s="133" t="str">
        <f>IFERROR(__xludf.DUMMYFUNCTION("""COMPUTED_VALUE"""),"Md. Farhan Shahriar")</f>
        <v>Md. Farhan Shahriar</v>
      </c>
      <c r="C106" s="134" t="str">
        <f>IFERROR(__xludf.DUMMYFUNCTION("""COMPUTED_VALUE"""),"Executive")</f>
        <v>Executive</v>
      </c>
      <c r="D106" s="134" t="str">
        <f>IFERROR(__xludf.DUMMYFUNCTION("""COMPUTED_VALUE"""),"md.farhan.shahriar@g.bracu.ac.bd")</f>
        <v>md.farhan.shahriar@g.bracu.ac.bd</v>
      </c>
      <c r="E106" s="105"/>
    </row>
    <row r="107" ht="22.5" customHeight="1">
      <c r="A107" s="133">
        <f>IFERROR(__xludf.DUMMYFUNCTION("""COMPUTED_VALUE"""),2.3301374E7)</f>
        <v>23301374</v>
      </c>
      <c r="B107" s="133" t="str">
        <f>IFERROR(__xludf.DUMMYFUNCTION("""COMPUTED_VALUE"""),"Ananda Raj Bhowmik Aditya")</f>
        <v>Ananda Raj Bhowmik Aditya</v>
      </c>
      <c r="C107" s="134" t="str">
        <f>IFERROR(__xludf.DUMMYFUNCTION("""COMPUTED_VALUE"""),"Executive")</f>
        <v>Executive</v>
      </c>
      <c r="D107" s="134" t="str">
        <f>IFERROR(__xludf.DUMMYFUNCTION("""COMPUTED_VALUE"""),"anandaraj.bhowmik.aditya@g.bracu.ac.bd")</f>
        <v>anandaraj.bhowmik.aditya@g.bracu.ac.bd</v>
      </c>
      <c r="E107" s="105"/>
    </row>
    <row r="108" ht="22.5" customHeight="1">
      <c r="A108" s="133">
        <f>IFERROR(__xludf.DUMMYFUNCTION("""COMPUTED_VALUE"""),1.000054027E9)</f>
        <v>1000054027</v>
      </c>
      <c r="B108" s="133" t="str">
        <f>IFERROR(__xludf.DUMMYFUNCTION("""COMPUTED_VALUE"""),"Arnob Banik")</f>
        <v>Arnob Banik</v>
      </c>
      <c r="C108" s="134" t="str">
        <f>IFERROR(__xludf.DUMMYFUNCTION("""COMPUTED_VALUE"""),"Executive")</f>
        <v>Executive</v>
      </c>
      <c r="D108" s="134" t="str">
        <f>IFERROR(__xludf.DUMMYFUNCTION("""COMPUTED_VALUE"""),"arnob.banik@g.bracu.ac.bd")</f>
        <v>arnob.banik@g.bracu.ac.bd</v>
      </c>
      <c r="E108" s="105"/>
    </row>
    <row r="109" ht="22.5" customHeight="1">
      <c r="A109" s="133">
        <f>IFERROR(__xludf.DUMMYFUNCTION("""COMPUTED_VALUE"""),1.000054141E9)</f>
        <v>1000054141</v>
      </c>
      <c r="B109" s="133" t="str">
        <f>IFERROR(__xludf.DUMMYFUNCTION("""COMPUTED_VALUE"""),"Fabiha Nower")</f>
        <v>Fabiha Nower</v>
      </c>
      <c r="C109" s="134" t="str">
        <f>IFERROR(__xludf.DUMMYFUNCTION("""COMPUTED_VALUE"""),"Executive")</f>
        <v>Executive</v>
      </c>
      <c r="D109" s="134" t="str">
        <f>IFERROR(__xludf.DUMMYFUNCTION("""COMPUTED_VALUE"""),"fabiha.nower@g.bracu.ac.bd")</f>
        <v>fabiha.nower@g.bracu.ac.bd</v>
      </c>
      <c r="E109" s="105"/>
    </row>
    <row r="110" ht="22.5" customHeight="1">
      <c r="A110" s="133">
        <f>IFERROR(__xludf.DUMMYFUNCTION("""COMPUTED_VALUE"""),1.000054452E9)</f>
        <v>1000054452</v>
      </c>
      <c r="B110" s="133" t="str">
        <f>IFERROR(__xludf.DUMMYFUNCTION("""COMPUTED_VALUE"""),"Muktadin Ahmed Bhuiyan")</f>
        <v>Muktadin Ahmed Bhuiyan</v>
      </c>
      <c r="C110" s="134" t="str">
        <f>IFERROR(__xludf.DUMMYFUNCTION("""COMPUTED_VALUE"""),"Executive")</f>
        <v>Executive</v>
      </c>
      <c r="D110" s="134" t="str">
        <f>IFERROR(__xludf.DUMMYFUNCTION("""COMPUTED_VALUE"""),"muktadin.ahmed.bhuiyan@g.bracu.ac.bd")</f>
        <v>muktadin.ahmed.bhuiyan@g.bracu.ac.bd</v>
      </c>
      <c r="E110" s="105"/>
    </row>
    <row r="111" ht="22.5" customHeight="1">
      <c r="A111" s="133">
        <f>IFERROR(__xludf.DUMMYFUNCTION("""COMPUTED_VALUE"""),1.000055371E9)</f>
        <v>1000055371</v>
      </c>
      <c r="B111" s="133" t="str">
        <f>IFERROR(__xludf.DUMMYFUNCTION("""COMPUTED_VALUE"""),"Anika Nawar Anannya")</f>
        <v>Anika Nawar Anannya</v>
      </c>
      <c r="C111" s="134" t="str">
        <f>IFERROR(__xludf.DUMMYFUNCTION("""COMPUTED_VALUE"""),"Executive")</f>
        <v>Executive</v>
      </c>
      <c r="D111" s="134" t="str">
        <f>IFERROR(__xludf.DUMMYFUNCTION("""COMPUTED_VALUE"""),"anika.nawar.anannya@g.bracu.ac.bd")</f>
        <v>anika.nawar.anannya@g.bracu.ac.bd</v>
      </c>
      <c r="E111" s="105"/>
    </row>
    <row r="112" ht="22.5" customHeight="1">
      <c r="A112" s="133">
        <f>IFERROR(__xludf.DUMMYFUNCTION("""COMPUTED_VALUE"""),1.000055468E9)</f>
        <v>1000055468</v>
      </c>
      <c r="B112" s="133" t="str">
        <f>IFERROR(__xludf.DUMMYFUNCTION("""COMPUTED_VALUE"""),"Meherub Mahmud Shahed")</f>
        <v>Meherub Mahmud Shahed</v>
      </c>
      <c r="C112" s="134" t="str">
        <f>IFERROR(__xludf.DUMMYFUNCTION("""COMPUTED_VALUE"""),"Executive")</f>
        <v>Executive</v>
      </c>
      <c r="D112" s="134" t="str">
        <f>IFERROR(__xludf.DUMMYFUNCTION("""COMPUTED_VALUE"""),"meherub.mahmud.shahed@g.bracu.ac.bd")</f>
        <v>meherub.mahmud.shahed@g.bracu.ac.bd</v>
      </c>
      <c r="E112" s="105"/>
    </row>
    <row r="113" ht="22.5" customHeight="1">
      <c r="A113" s="133">
        <f>IFERROR(__xludf.DUMMYFUNCTION("""COMPUTED_VALUE"""),2.334105E7)</f>
        <v>23341050</v>
      </c>
      <c r="B113" s="133" t="str">
        <f>IFERROR(__xludf.DUMMYFUNCTION("""COMPUTED_VALUE"""),"Mahadi Araf Siddike")</f>
        <v>Mahadi Araf Siddike</v>
      </c>
      <c r="C113" s="134" t="str">
        <f>IFERROR(__xludf.DUMMYFUNCTION("""COMPUTED_VALUE"""),"General Member")</f>
        <v>General Member</v>
      </c>
      <c r="D113" s="134" t="str">
        <f>IFERROR(__xludf.DUMMYFUNCTION("""COMPUTED_VALUE"""),"mahadi.araf.siddike@g.bracu.ac.bd")</f>
        <v>mahadi.araf.siddike@g.bracu.ac.bd</v>
      </c>
      <c r="E113" s="105"/>
    </row>
    <row r="114" ht="22.5" customHeight="1">
      <c r="A114" s="133">
        <f>IFERROR(__xludf.DUMMYFUNCTION("""COMPUTED_VALUE"""),2.3341042E7)</f>
        <v>23341042</v>
      </c>
      <c r="B114" s="133" t="str">
        <f>IFERROR(__xludf.DUMMYFUNCTION("""COMPUTED_VALUE"""),"Debashish Das")</f>
        <v>Debashish Das</v>
      </c>
      <c r="C114" s="134" t="str">
        <f>IFERROR(__xludf.DUMMYFUNCTION("""COMPUTED_VALUE"""),"General Member")</f>
        <v>General Member</v>
      </c>
      <c r="D114" s="134" t="str">
        <f>IFERROR(__xludf.DUMMYFUNCTION("""COMPUTED_VALUE"""),"debashish.das@g.bracu.ac.bd")</f>
        <v>debashish.das@g.bracu.ac.bd</v>
      </c>
      <c r="E114" s="105"/>
    </row>
    <row r="115" ht="22.5" customHeight="1">
      <c r="A115" s="133">
        <f>IFERROR(__xludf.DUMMYFUNCTION("""COMPUTED_VALUE"""),2.3304207E7)</f>
        <v>23304207</v>
      </c>
      <c r="B115" s="133" t="str">
        <f>IFERROR(__xludf.DUMMYFUNCTION("""COMPUTED_VALUE"""),"Quazi Mufrad Mahid")</f>
        <v>Quazi Mufrad Mahid</v>
      </c>
      <c r="C115" s="134" t="str">
        <f>IFERROR(__xludf.DUMMYFUNCTION("""COMPUTED_VALUE"""),"General Member")</f>
        <v>General Member</v>
      </c>
      <c r="D115" s="134" t="str">
        <f>IFERROR(__xludf.DUMMYFUNCTION("""COMPUTED_VALUE"""),"quazi.mufrad.mahid@g.bracu.ac.bd")</f>
        <v>quazi.mufrad.mahid@g.bracu.ac.bd</v>
      </c>
      <c r="E115" s="105"/>
    </row>
    <row r="116" ht="22.5" customHeight="1">
      <c r="A116" s="133">
        <f>IFERROR(__xludf.DUMMYFUNCTION("""COMPUTED_VALUE"""),2.3301565E7)</f>
        <v>23301565</v>
      </c>
      <c r="B116" s="133" t="str">
        <f>IFERROR(__xludf.DUMMYFUNCTION("""COMPUTED_VALUE"""),"Md.Abdullah Bin Islam")</f>
        <v>Md.Abdullah Bin Islam</v>
      </c>
      <c r="C116" s="134" t="str">
        <f>IFERROR(__xludf.DUMMYFUNCTION("""COMPUTED_VALUE"""),"General Member")</f>
        <v>General Member</v>
      </c>
      <c r="D116" s="134" t="str">
        <f>IFERROR(__xludf.DUMMYFUNCTION("""COMPUTED_VALUE"""),"abdullah.bin.islam@g.bracu.ac.bd")</f>
        <v>abdullah.bin.islam@g.bracu.ac.bd</v>
      </c>
      <c r="E116" s="105"/>
    </row>
    <row r="117" ht="22.5" customHeight="1">
      <c r="A117" s="133">
        <f>IFERROR(__xludf.DUMMYFUNCTION("""COMPUTED_VALUE"""),2.3301439E7)</f>
        <v>23301439</v>
      </c>
      <c r="B117" s="133" t="str">
        <f>IFERROR(__xludf.DUMMYFUNCTION("""COMPUTED_VALUE"""),"Aorko Shikder")</f>
        <v>Aorko Shikder</v>
      </c>
      <c r="C117" s="134" t="str">
        <f>IFERROR(__xludf.DUMMYFUNCTION("""COMPUTED_VALUE"""),"General Member")</f>
        <v>General Member</v>
      </c>
      <c r="D117" s="134" t="str">
        <f>IFERROR(__xludf.DUMMYFUNCTION("""COMPUTED_VALUE"""),"aorko.shikder@g.bracu.ac.bd")</f>
        <v>aorko.shikder@g.bracu.ac.bd</v>
      </c>
      <c r="E117" s="105"/>
    </row>
    <row r="118" ht="22.5" customHeight="1">
      <c r="A118" s="133">
        <f>IFERROR(__xludf.DUMMYFUNCTION("""COMPUTED_VALUE"""),2.3301332E7)</f>
        <v>23301332</v>
      </c>
      <c r="B118" s="133" t="str">
        <f>IFERROR(__xludf.DUMMYFUNCTION("""COMPUTED_VALUE"""),"Ahmad Azwad Raeed")</f>
        <v>Ahmad Azwad Raeed</v>
      </c>
      <c r="C118" s="134" t="str">
        <f>IFERROR(__xludf.DUMMYFUNCTION("""COMPUTED_VALUE"""),"General Member")</f>
        <v>General Member</v>
      </c>
      <c r="D118" s="134" t="str">
        <f>IFERROR(__xludf.DUMMYFUNCTION("""COMPUTED_VALUE"""),"ahmad.azwad.raeed@g.bracu.ac.bd")</f>
        <v>ahmad.azwad.raeed@g.bracu.ac.bd</v>
      </c>
      <c r="E118" s="105"/>
    </row>
    <row r="119" ht="22.5" customHeight="1">
      <c r="A119" s="133">
        <f>IFERROR(__xludf.DUMMYFUNCTION("""COMPUTED_VALUE"""),2.3301278E7)</f>
        <v>23301278</v>
      </c>
      <c r="B119" s="133" t="str">
        <f>IFERROR(__xludf.DUMMYFUNCTION("""COMPUTED_VALUE"""),"Prachurzo Ray")</f>
        <v>Prachurzo Ray</v>
      </c>
      <c r="C119" s="134" t="str">
        <f>IFERROR(__xludf.DUMMYFUNCTION("""COMPUTED_VALUE"""),"General Member")</f>
        <v>General Member</v>
      </c>
      <c r="D119" s="134" t="str">
        <f>IFERROR(__xludf.DUMMYFUNCTION("""COMPUTED_VALUE"""),"prachurzo.ray@g.bracu.ac.bd")</f>
        <v>prachurzo.ray@g.bracu.ac.bd</v>
      </c>
      <c r="E119" s="105"/>
    </row>
    <row r="120" ht="22.5" customHeight="1">
      <c r="A120" s="133">
        <f>IFERROR(__xludf.DUMMYFUNCTION("""COMPUTED_VALUE"""),2.3301225E7)</f>
        <v>23301225</v>
      </c>
      <c r="B120" s="133" t="str">
        <f>IFERROR(__xludf.DUMMYFUNCTION("""COMPUTED_VALUE"""),"Fahmida Haque Tropa")</f>
        <v>Fahmida Haque Tropa</v>
      </c>
      <c r="C120" s="134" t="str">
        <f>IFERROR(__xludf.DUMMYFUNCTION("""COMPUTED_VALUE"""),"General Member")</f>
        <v>General Member</v>
      </c>
      <c r="D120" s="134" t="str">
        <f>IFERROR(__xludf.DUMMYFUNCTION("""COMPUTED_VALUE"""),"fahmida.haque.tropa@g.bracu.ac.bd")</f>
        <v>fahmida.haque.tropa@g.bracu.ac.bd</v>
      </c>
      <c r="E120" s="105"/>
    </row>
    <row r="121" ht="22.5" customHeight="1">
      <c r="A121" s="133">
        <f>IFERROR(__xludf.DUMMYFUNCTION("""COMPUTED_VALUE"""),2.3301198E7)</f>
        <v>23301198</v>
      </c>
      <c r="B121" s="133" t="str">
        <f>IFERROR(__xludf.DUMMYFUNCTION("""COMPUTED_VALUE"""),"Ds Paul")</f>
        <v>Ds Paul</v>
      </c>
      <c r="C121" s="134" t="str">
        <f>IFERROR(__xludf.DUMMYFUNCTION("""COMPUTED_VALUE"""),"General Member")</f>
        <v>General Member</v>
      </c>
      <c r="D121" s="134" t="str">
        <f>IFERROR(__xludf.DUMMYFUNCTION("""COMPUTED_VALUE"""),"dibyojyuti.paul.srijan@g.bracu.ac.bd")</f>
        <v>dibyojyuti.paul.srijan@g.bracu.ac.bd</v>
      </c>
      <c r="E121" s="105"/>
    </row>
    <row r="122" ht="22.5" customHeight="1">
      <c r="A122" s="133">
        <f>IFERROR(__xludf.DUMMYFUNCTION("""COMPUTED_VALUE"""),2.3301196E7)</f>
        <v>23301196</v>
      </c>
      <c r="B122" s="133" t="str">
        <f>IFERROR(__xludf.DUMMYFUNCTION("""COMPUTED_VALUE"""),"Naurose Farhan Mostafa")</f>
        <v>Naurose Farhan Mostafa</v>
      </c>
      <c r="C122" s="134" t="str">
        <f>IFERROR(__xludf.DUMMYFUNCTION("""COMPUTED_VALUE"""),"General Member")</f>
        <v>General Member</v>
      </c>
      <c r="D122" s="134" t="str">
        <f>IFERROR(__xludf.DUMMYFUNCTION("""COMPUTED_VALUE"""),"naurose.farhan.mostafa@g.bracu.ac.bd")</f>
        <v>naurose.farhan.mostafa@g.bracu.ac.bd</v>
      </c>
      <c r="E122" s="105"/>
    </row>
    <row r="123" ht="22.5" customHeight="1">
      <c r="A123" s="133">
        <f>IFERROR(__xludf.DUMMYFUNCTION("""COMPUTED_VALUE"""),2.3301155E7)</f>
        <v>23301155</v>
      </c>
      <c r="B123" s="133" t="str">
        <f>IFERROR(__xludf.DUMMYFUNCTION("""COMPUTED_VALUE"""),"Md. Sajid Hossain")</f>
        <v>Md. Sajid Hossain</v>
      </c>
      <c r="C123" s="134" t="str">
        <f>IFERROR(__xludf.DUMMYFUNCTION("""COMPUTED_VALUE"""),"General Member")</f>
        <v>General Member</v>
      </c>
      <c r="D123" s="134" t="str">
        <f>IFERROR(__xludf.DUMMYFUNCTION("""COMPUTED_VALUE"""),"md.sajid.hossain1@g.bracu.ac.bd")</f>
        <v>md.sajid.hossain1@g.bracu.ac.bd</v>
      </c>
      <c r="E123" s="105"/>
    </row>
    <row r="124" ht="22.5" customHeight="1">
      <c r="A124" s="133">
        <f>IFERROR(__xludf.DUMMYFUNCTION("""COMPUTED_VALUE"""),2.3301149E7)</f>
        <v>23301149</v>
      </c>
      <c r="B124" s="133" t="str">
        <f>IFERROR(__xludf.DUMMYFUNCTION("""COMPUTED_VALUE"""),"Fauzia Abida Raida")</f>
        <v>Fauzia Abida Raida</v>
      </c>
      <c r="C124" s="134" t="str">
        <f>IFERROR(__xludf.DUMMYFUNCTION("""COMPUTED_VALUE"""),"General Member")</f>
        <v>General Member</v>
      </c>
      <c r="D124" s="134" t="str">
        <f>IFERROR(__xludf.DUMMYFUNCTION("""COMPUTED_VALUE"""),"fauzia.abida.raida@g.bracu.ac.bd")</f>
        <v>fauzia.abida.raida@g.bracu.ac.bd</v>
      </c>
      <c r="E124" s="105"/>
    </row>
    <row r="125" ht="22.5" customHeight="1">
      <c r="A125" s="133">
        <f>IFERROR(__xludf.DUMMYFUNCTION("""COMPUTED_VALUE"""),2.3301076E7)</f>
        <v>23301076</v>
      </c>
      <c r="B125" s="133" t="str">
        <f>IFERROR(__xludf.DUMMYFUNCTION("""COMPUTED_VALUE"""),"Shamsul Huda Md. Ishmamul Hye")</f>
        <v>Shamsul Huda Md. Ishmamul Hye</v>
      </c>
      <c r="C125" s="134" t="str">
        <f>IFERROR(__xludf.DUMMYFUNCTION("""COMPUTED_VALUE"""),"General Member")</f>
        <v>General Member</v>
      </c>
      <c r="D125" s="134" t="str">
        <f>IFERROR(__xludf.DUMMYFUNCTION("""COMPUTED_VALUE"""),"shamsulhuda.md.ishmam@g.bracu.ac.bd")</f>
        <v>shamsulhuda.md.ishmam@g.bracu.ac.bd</v>
      </c>
      <c r="E125" s="105"/>
    </row>
    <row r="126" ht="22.5" customHeight="1">
      <c r="A126" s="133">
        <f>IFERROR(__xludf.DUMMYFUNCTION("""COMPUTED_VALUE"""),2.3301054E7)</f>
        <v>23301054</v>
      </c>
      <c r="B126" s="133" t="str">
        <f>IFERROR(__xludf.DUMMYFUNCTION("""COMPUTED_VALUE"""),"Abrar Alek Hossain")</f>
        <v>Abrar Alek Hossain</v>
      </c>
      <c r="C126" s="134" t="str">
        <f>IFERROR(__xludf.DUMMYFUNCTION("""COMPUTED_VALUE"""),"General Member")</f>
        <v>General Member</v>
      </c>
      <c r="D126" s="134" t="str">
        <f>IFERROR(__xludf.DUMMYFUNCTION("""COMPUTED_VALUE"""),"abrar.alek.hossain@g.bracu.ac.bd")</f>
        <v>abrar.alek.hossain@g.bracu.ac.bd</v>
      </c>
      <c r="E126" s="105"/>
    </row>
    <row r="127" ht="22.5" customHeight="1">
      <c r="A127" s="133">
        <f>IFERROR(__xludf.DUMMYFUNCTION("""COMPUTED_VALUE"""),2.324103E7)</f>
        <v>23241030</v>
      </c>
      <c r="B127" s="133" t="str">
        <f>IFERROR(__xludf.DUMMYFUNCTION("""COMPUTED_VALUE"""),"Nafees Sadat Sayeem")</f>
        <v>Nafees Sadat Sayeem</v>
      </c>
      <c r="C127" s="134" t="str">
        <f>IFERROR(__xludf.DUMMYFUNCTION("""COMPUTED_VALUE"""),"General Member")</f>
        <v>General Member</v>
      </c>
      <c r="D127" s="134" t="str">
        <f>IFERROR(__xludf.DUMMYFUNCTION("""COMPUTED_VALUE"""),"nafees.sadat.sayeem@g.bracu.ac.bd")</f>
        <v>nafees.sadat.sayeem@g.bracu.ac.bd</v>
      </c>
      <c r="E127" s="105"/>
    </row>
    <row r="128" ht="22.5" customHeight="1">
      <c r="A128" s="133">
        <f>IFERROR(__xludf.DUMMYFUNCTION("""COMPUTED_VALUE"""),2.324101E7)</f>
        <v>23241010</v>
      </c>
      <c r="B128" s="133" t="str">
        <f>IFERROR(__xludf.DUMMYFUNCTION("""COMPUTED_VALUE"""),"Zafra Musarrat Islam")</f>
        <v>Zafra Musarrat Islam</v>
      </c>
      <c r="C128" s="134" t="str">
        <f>IFERROR(__xludf.DUMMYFUNCTION("""COMPUTED_VALUE"""),"General Member")</f>
        <v>General Member</v>
      </c>
      <c r="D128" s="134" t="str">
        <f>IFERROR(__xludf.DUMMYFUNCTION("""COMPUTED_VALUE"""),"zafra.musarrat.islam@g.bracu.ac.bd")</f>
        <v>zafra.musarrat.islam@g.bracu.ac.bd</v>
      </c>
      <c r="E128" s="105"/>
    </row>
    <row r="129" ht="22.5" customHeight="1">
      <c r="A129" s="133">
        <f>IFERROR(__xludf.DUMMYFUNCTION("""COMPUTED_VALUE"""),2.3241007E7)</f>
        <v>23241007</v>
      </c>
      <c r="B129" s="133" t="str">
        <f>IFERROR(__xludf.DUMMYFUNCTION("""COMPUTED_VALUE"""),"Yeamin Alam")</f>
        <v>Yeamin Alam</v>
      </c>
      <c r="C129" s="134" t="str">
        <f>IFERROR(__xludf.DUMMYFUNCTION("""COMPUTED_VALUE"""),"General Member")</f>
        <v>General Member</v>
      </c>
      <c r="D129" s="134" t="str">
        <f>IFERROR(__xludf.DUMMYFUNCTION("""COMPUTED_VALUE"""),"yeamin.alam@g.bracu.ac.bd")</f>
        <v>yeamin.alam@g.bracu.ac.bd</v>
      </c>
      <c r="E129" s="105"/>
    </row>
    <row r="130" ht="22.5" customHeight="1">
      <c r="A130" s="133">
        <f>IFERROR(__xludf.DUMMYFUNCTION("""COMPUTED_VALUE"""),2.3215018E7)</f>
        <v>23215018</v>
      </c>
      <c r="B130" s="133" t="str">
        <f>IFERROR(__xludf.DUMMYFUNCTION("""COMPUTED_VALUE"""),"Sayeduz Zaman")</f>
        <v>Sayeduz Zaman</v>
      </c>
      <c r="C130" s="134" t="str">
        <f>IFERROR(__xludf.DUMMYFUNCTION("""COMPUTED_VALUE"""),"General Member")</f>
        <v>General Member</v>
      </c>
      <c r="D130" s="134" t="str">
        <f>IFERROR(__xludf.DUMMYFUNCTION("""COMPUTED_VALUE"""),"sayeduz.zaman@g.bracu.ac.bd")</f>
        <v>sayeduz.zaman@g.bracu.ac.bd</v>
      </c>
      <c r="E130" s="105"/>
    </row>
    <row r="131" ht="22.5" customHeight="1">
      <c r="A131" s="133">
        <f>IFERROR(__xludf.DUMMYFUNCTION("""COMPUTED_VALUE"""),2.3203064E7)</f>
        <v>23203064</v>
      </c>
      <c r="B131" s="133" t="str">
        <f>IFERROR(__xludf.DUMMYFUNCTION("""COMPUTED_VALUE"""),"Humaira Tanha")</f>
        <v>Humaira Tanha</v>
      </c>
      <c r="C131" s="134" t="str">
        <f>IFERROR(__xludf.DUMMYFUNCTION("""COMPUTED_VALUE"""),"General Member")</f>
        <v>General Member</v>
      </c>
      <c r="D131" s="134" t="str">
        <f>IFERROR(__xludf.DUMMYFUNCTION("""COMPUTED_VALUE"""),"humaira.tanha@g.bracu.ac.bd")</f>
        <v>humaira.tanha@g.bracu.ac.bd</v>
      </c>
      <c r="E131" s="105"/>
    </row>
    <row r="132" ht="22.5" customHeight="1">
      <c r="A132" s="133">
        <f>IFERROR(__xludf.DUMMYFUNCTION("""COMPUTED_VALUE"""),2.3201642E7)</f>
        <v>23201642</v>
      </c>
      <c r="B132" s="133" t="str">
        <f>IFERROR(__xludf.DUMMYFUNCTION("""COMPUTED_VALUE"""),"Ittehad Ahmed Tausif")</f>
        <v>Ittehad Ahmed Tausif</v>
      </c>
      <c r="C132" s="134" t="str">
        <f>IFERROR(__xludf.DUMMYFUNCTION("""COMPUTED_VALUE"""),"General Member")</f>
        <v>General Member</v>
      </c>
      <c r="D132" s="134" t="str">
        <f>IFERROR(__xludf.DUMMYFUNCTION("""COMPUTED_VALUE"""),"ittehad.ahmed.tausif@g.bracu.ac.bd")</f>
        <v>ittehad.ahmed.tausif@g.bracu.ac.bd</v>
      </c>
      <c r="E132" s="105"/>
    </row>
    <row r="133" ht="22.5" customHeight="1">
      <c r="A133" s="133">
        <f>IFERROR(__xludf.DUMMYFUNCTION("""COMPUTED_VALUE"""),2.3201607E7)</f>
        <v>23201607</v>
      </c>
      <c r="B133" s="133" t="str">
        <f>IFERROR(__xludf.DUMMYFUNCTION("""COMPUTED_VALUE"""),"Umme Habiba Ishme")</f>
        <v>Umme Habiba Ishme</v>
      </c>
      <c r="C133" s="134" t="str">
        <f>IFERROR(__xludf.DUMMYFUNCTION("""COMPUTED_VALUE"""),"General Member")</f>
        <v>General Member</v>
      </c>
      <c r="D133" s="134" t="str">
        <f>IFERROR(__xludf.DUMMYFUNCTION("""COMPUTED_VALUE"""),"umme.habiba.ishme@g.bracu.ac.bd")</f>
        <v>umme.habiba.ishme@g.bracu.ac.bd</v>
      </c>
      <c r="E133" s="105"/>
    </row>
    <row r="134" ht="22.5" customHeight="1">
      <c r="A134" s="133">
        <f>IFERROR(__xludf.DUMMYFUNCTION("""COMPUTED_VALUE"""),2.3201595E7)</f>
        <v>23201595</v>
      </c>
      <c r="B134" s="133" t="str">
        <f>IFERROR(__xludf.DUMMYFUNCTION("""COMPUTED_VALUE"""),"Aishik Saurav")</f>
        <v>Aishik Saurav</v>
      </c>
      <c r="C134" s="134" t="str">
        <f>IFERROR(__xludf.DUMMYFUNCTION("""COMPUTED_VALUE"""),"General Member")</f>
        <v>General Member</v>
      </c>
      <c r="D134" s="134" t="str">
        <f>IFERROR(__xludf.DUMMYFUNCTION("""COMPUTED_VALUE"""),"aishik.saurav@g.bracu.ac.bd")</f>
        <v>aishik.saurav@g.bracu.ac.bd</v>
      </c>
      <c r="E134" s="105"/>
    </row>
    <row r="135" ht="22.5" customHeight="1">
      <c r="A135" s="133">
        <f>IFERROR(__xludf.DUMMYFUNCTION("""COMPUTED_VALUE"""),2.3201593E7)</f>
        <v>23201593</v>
      </c>
      <c r="B135" s="133" t="str">
        <f>IFERROR(__xludf.DUMMYFUNCTION("""COMPUTED_VALUE"""),"Tawhid Hasan")</f>
        <v>Tawhid Hasan</v>
      </c>
      <c r="C135" s="134" t="str">
        <f>IFERROR(__xludf.DUMMYFUNCTION("""COMPUTED_VALUE"""),"General Member")</f>
        <v>General Member</v>
      </c>
      <c r="D135" s="134" t="str">
        <f>IFERROR(__xludf.DUMMYFUNCTION("""COMPUTED_VALUE"""),"tawhid.hasan@g.bracu.ac.bd")</f>
        <v>tawhid.hasan@g.bracu.ac.bd</v>
      </c>
      <c r="E135" s="105"/>
    </row>
    <row r="136" ht="22.5" customHeight="1">
      <c r="A136" s="133">
        <f>IFERROR(__xludf.DUMMYFUNCTION("""COMPUTED_VALUE"""),2.320157E7)</f>
        <v>23201570</v>
      </c>
      <c r="B136" s="133" t="str">
        <f>IFERROR(__xludf.DUMMYFUNCTION("""COMPUTED_VALUE"""),"Tanvir Islam")</f>
        <v>Tanvir Islam</v>
      </c>
      <c r="C136" s="134" t="str">
        <f>IFERROR(__xludf.DUMMYFUNCTION("""COMPUTED_VALUE"""),"General Member")</f>
        <v>General Member</v>
      </c>
      <c r="D136" s="134" t="str">
        <f>IFERROR(__xludf.DUMMYFUNCTION("""COMPUTED_VALUE"""),"tanvir.islam5@g.bracu.ac.bd")</f>
        <v>tanvir.islam5@g.bracu.ac.bd</v>
      </c>
      <c r="E136" s="105"/>
    </row>
    <row r="137" ht="22.5" customHeight="1">
      <c r="A137" s="133">
        <f>IFERROR(__xludf.DUMMYFUNCTION("""COMPUTED_VALUE"""),2.3201568E7)</f>
        <v>23201568</v>
      </c>
      <c r="B137" s="133" t="str">
        <f>IFERROR(__xludf.DUMMYFUNCTION("""COMPUTED_VALUE"""),"Md. Mursalin Biswas Shishir")</f>
        <v>Md. Mursalin Biswas Shishir</v>
      </c>
      <c r="C137" s="134" t="str">
        <f>IFERROR(__xludf.DUMMYFUNCTION("""COMPUTED_VALUE"""),"General Member")</f>
        <v>General Member</v>
      </c>
      <c r="D137" s="134" t="str">
        <f>IFERROR(__xludf.DUMMYFUNCTION("""COMPUTED_VALUE"""),"mursalin.biswas.shishir@g.bracu.ac.bd")</f>
        <v>mursalin.biswas.shishir@g.bracu.ac.bd</v>
      </c>
      <c r="E137" s="105"/>
    </row>
    <row r="138" ht="22.5" customHeight="1">
      <c r="A138" s="133">
        <f>IFERROR(__xludf.DUMMYFUNCTION("""COMPUTED_VALUE"""),2.3201518E7)</f>
        <v>23201518</v>
      </c>
      <c r="B138" s="133" t="str">
        <f>IFERROR(__xludf.DUMMYFUNCTION("""COMPUTED_VALUE"""),"Jawadul Arham")</f>
        <v>Jawadul Arham</v>
      </c>
      <c r="C138" s="134" t="str">
        <f>IFERROR(__xludf.DUMMYFUNCTION("""COMPUTED_VALUE"""),"General Member")</f>
        <v>General Member</v>
      </c>
      <c r="D138" s="134" t="str">
        <f>IFERROR(__xludf.DUMMYFUNCTION("""COMPUTED_VALUE"""),"jawadul.arham@g.bracu.ac.bd")</f>
        <v>jawadul.arham@g.bracu.ac.bd</v>
      </c>
      <c r="E138" s="105"/>
    </row>
    <row r="139" ht="22.5" customHeight="1">
      <c r="A139" s="133">
        <f>IFERROR(__xludf.DUMMYFUNCTION("""COMPUTED_VALUE"""),2.3201395E7)</f>
        <v>23201395</v>
      </c>
      <c r="B139" s="133" t="str">
        <f>IFERROR(__xludf.DUMMYFUNCTION("""COMPUTED_VALUE"""),"Shaikh Tajwar Xion")</f>
        <v>Shaikh Tajwar Xion</v>
      </c>
      <c r="C139" s="134" t="str">
        <f>IFERROR(__xludf.DUMMYFUNCTION("""COMPUTED_VALUE"""),"General Member")</f>
        <v>General Member</v>
      </c>
      <c r="D139" s="134" t="str">
        <f>IFERROR(__xludf.DUMMYFUNCTION("""COMPUTED_VALUE"""),"shaikh.tajwar.xion@g.bracu.ac.bd")</f>
        <v>shaikh.tajwar.xion@g.bracu.ac.bd</v>
      </c>
      <c r="E139" s="105"/>
    </row>
    <row r="140" ht="22.5" customHeight="1">
      <c r="A140" s="133">
        <f>IFERROR(__xludf.DUMMYFUNCTION("""COMPUTED_VALUE"""),2.3201179E7)</f>
        <v>23201179</v>
      </c>
      <c r="B140" s="133" t="str">
        <f>IFERROR(__xludf.DUMMYFUNCTION("""COMPUTED_VALUE"""),"Tawsiyat Chowdhury Mahin")</f>
        <v>Tawsiyat Chowdhury Mahin</v>
      </c>
      <c r="C140" s="134" t="str">
        <f>IFERROR(__xludf.DUMMYFUNCTION("""COMPUTED_VALUE"""),"General Member")</f>
        <v>General Member</v>
      </c>
      <c r="D140" s="134" t="str">
        <f>IFERROR(__xludf.DUMMYFUNCTION("""COMPUTED_VALUE"""),"tawsiyat.chowdhury.mahin@g.bracu.ac.bd")</f>
        <v>tawsiyat.chowdhury.mahin@g.bracu.ac.bd</v>
      </c>
      <c r="E140" s="105"/>
    </row>
    <row r="141" ht="22.5" customHeight="1">
      <c r="A141" s="133">
        <f>IFERROR(__xludf.DUMMYFUNCTION("""COMPUTED_VALUE"""),2.3201164E7)</f>
        <v>23201164</v>
      </c>
      <c r="B141" s="133" t="str">
        <f>IFERROR(__xludf.DUMMYFUNCTION("""COMPUTED_VALUE"""),"Ishraq Ahmed")</f>
        <v>Ishraq Ahmed</v>
      </c>
      <c r="C141" s="134" t="str">
        <f>IFERROR(__xludf.DUMMYFUNCTION("""COMPUTED_VALUE"""),"General Member")</f>
        <v>General Member</v>
      </c>
      <c r="D141" s="134" t="str">
        <f>IFERROR(__xludf.DUMMYFUNCTION("""COMPUTED_VALUE"""),"ishraq.ahmed1@g.bracu.ac.bd")</f>
        <v>ishraq.ahmed1@g.bracu.ac.bd</v>
      </c>
      <c r="E141" s="105"/>
    </row>
    <row r="142" ht="22.5" customHeight="1">
      <c r="A142" s="133">
        <f>IFERROR(__xludf.DUMMYFUNCTION("""COMPUTED_VALUE"""),2.3201162E7)</f>
        <v>23201162</v>
      </c>
      <c r="B142" s="133" t="str">
        <f>IFERROR(__xludf.DUMMYFUNCTION("""COMPUTED_VALUE"""),"Sumaiya Islam Aritra")</f>
        <v>Sumaiya Islam Aritra</v>
      </c>
      <c r="C142" s="134" t="str">
        <f>IFERROR(__xludf.DUMMYFUNCTION("""COMPUTED_VALUE"""),"General Member")</f>
        <v>General Member</v>
      </c>
      <c r="D142" s="134" t="str">
        <f>IFERROR(__xludf.DUMMYFUNCTION("""COMPUTED_VALUE"""),"sumaiya.islam.aritra@g.bracu.ac.bd")</f>
        <v>sumaiya.islam.aritra@g.bracu.ac.bd</v>
      </c>
      <c r="E142" s="105"/>
    </row>
    <row r="143" ht="22.5" customHeight="1">
      <c r="A143" s="133">
        <f>IFERROR(__xludf.DUMMYFUNCTION("""COMPUTED_VALUE"""),2.3201151E7)</f>
        <v>23201151</v>
      </c>
      <c r="B143" s="133" t="str">
        <f>IFERROR(__xludf.DUMMYFUNCTION("""COMPUTED_VALUE"""),"Mahir Al Muntaqim")</f>
        <v>Mahir Al Muntaqim</v>
      </c>
      <c r="C143" s="134" t="str">
        <f>IFERROR(__xludf.DUMMYFUNCTION("""COMPUTED_VALUE"""),"General Member")</f>
        <v>General Member</v>
      </c>
      <c r="D143" s="134" t="str">
        <f>IFERROR(__xludf.DUMMYFUNCTION("""COMPUTED_VALUE"""),"mahir.al.muntaqim@g.bracu.ac.bd")</f>
        <v>mahir.al.muntaqim@g.bracu.ac.bd</v>
      </c>
      <c r="E143" s="105"/>
    </row>
    <row r="144" ht="22.5" customHeight="1">
      <c r="A144" s="133">
        <f>IFERROR(__xludf.DUMMYFUNCTION("""COMPUTED_VALUE"""),2.3201145E7)</f>
        <v>23201145</v>
      </c>
      <c r="B144" s="133" t="str">
        <f>IFERROR(__xludf.DUMMYFUNCTION("""COMPUTED_VALUE"""),"Rakib Shahriar")</f>
        <v>Rakib Shahriar</v>
      </c>
      <c r="C144" s="134" t="str">
        <f>IFERROR(__xludf.DUMMYFUNCTION("""COMPUTED_VALUE"""),"General Member")</f>
        <v>General Member</v>
      </c>
      <c r="D144" s="134" t="str">
        <f>IFERROR(__xludf.DUMMYFUNCTION("""COMPUTED_VALUE"""),"rakib.shahriar@g.bracu.ac.bd")</f>
        <v>rakib.shahriar@g.bracu.ac.bd</v>
      </c>
      <c r="E144" s="105"/>
    </row>
    <row r="145" ht="22.5" customHeight="1">
      <c r="A145" s="133">
        <f>IFERROR(__xludf.DUMMYFUNCTION("""COMPUTED_VALUE"""),2.3201023E7)</f>
        <v>23201023</v>
      </c>
      <c r="B145" s="133" t="str">
        <f>IFERROR(__xludf.DUMMYFUNCTION("""COMPUTED_VALUE"""),"Abdullah Al Faisal")</f>
        <v>Abdullah Al Faisal</v>
      </c>
      <c r="C145" s="134" t="str">
        <f>IFERROR(__xludf.DUMMYFUNCTION("""COMPUTED_VALUE"""),"General Member")</f>
        <v>General Member</v>
      </c>
      <c r="D145" s="134" t="str">
        <f>IFERROR(__xludf.DUMMYFUNCTION("""COMPUTED_VALUE"""),"abdullah.al.faisal1@g.bracu.ac.bd")</f>
        <v>abdullah.al.faisal1@g.bracu.ac.bd</v>
      </c>
      <c r="E145" s="105"/>
    </row>
    <row r="146" ht="22.5" customHeight="1">
      <c r="A146" s="133">
        <f>IFERROR(__xludf.DUMMYFUNCTION("""COMPUTED_VALUE"""),2.320101E7)</f>
        <v>23201010</v>
      </c>
      <c r="B146" s="133" t="str">
        <f>IFERROR(__xludf.DUMMYFUNCTION("""COMPUTED_VALUE"""),"Tasnia Rahman")</f>
        <v>Tasnia Rahman</v>
      </c>
      <c r="C146" s="134" t="str">
        <f>IFERROR(__xludf.DUMMYFUNCTION("""COMPUTED_VALUE"""),"General Member")</f>
        <v>General Member</v>
      </c>
      <c r="D146" s="134" t="str">
        <f>IFERROR(__xludf.DUMMYFUNCTION("""COMPUTED_VALUE"""),"tasnia.rahman3@g.bracu.ac.bd")</f>
        <v>tasnia.rahman3@g.bracu.ac.bd</v>
      </c>
      <c r="E146" s="105"/>
    </row>
    <row r="147" ht="22.5" customHeight="1">
      <c r="A147" s="133">
        <f>IFERROR(__xludf.DUMMYFUNCTION("""COMPUTED_VALUE"""),2.314101E7)</f>
        <v>23141010</v>
      </c>
      <c r="B147" s="133" t="str">
        <f>IFERROR(__xludf.DUMMYFUNCTION("""COMPUTED_VALUE"""),"Tanvir Ishtiaq")</f>
        <v>Tanvir Ishtiaq</v>
      </c>
      <c r="C147" s="134" t="str">
        <f>IFERROR(__xludf.DUMMYFUNCTION("""COMPUTED_VALUE"""),"General Member")</f>
        <v>General Member</v>
      </c>
      <c r="D147" s="134" t="str">
        <f>IFERROR(__xludf.DUMMYFUNCTION("""COMPUTED_VALUE"""),"tanvir.ishtiaq@g.bracu.ac.bd")</f>
        <v>tanvir.ishtiaq@g.bracu.ac.bd</v>
      </c>
      <c r="E147" s="105"/>
    </row>
    <row r="148" ht="22.5" customHeight="1">
      <c r="A148" s="133">
        <f>IFERROR(__xludf.DUMMYFUNCTION("""COMPUTED_VALUE"""),2.3126048E7)</f>
        <v>23126048</v>
      </c>
      <c r="B148" s="133" t="str">
        <f>IFERROR(__xludf.DUMMYFUNCTION("""COMPUTED_VALUE"""),"Antar Nath")</f>
        <v>Antar Nath</v>
      </c>
      <c r="C148" s="134" t="str">
        <f>IFERROR(__xludf.DUMMYFUNCTION("""COMPUTED_VALUE"""),"General Member")</f>
        <v>General Member</v>
      </c>
      <c r="D148" s="134" t="str">
        <f>IFERROR(__xludf.DUMMYFUNCTION("""COMPUTED_VALUE"""),"antar.nath@g.bracu.ac.bd")</f>
        <v>antar.nath@g.bracu.ac.bd</v>
      </c>
      <c r="E148" s="105"/>
    </row>
    <row r="149" ht="22.5" customHeight="1">
      <c r="A149" s="133">
        <f>IFERROR(__xludf.DUMMYFUNCTION("""COMPUTED_VALUE"""),2.3121093E7)</f>
        <v>23121093</v>
      </c>
      <c r="B149" s="133" t="str">
        <f>IFERROR(__xludf.DUMMYFUNCTION("""COMPUTED_VALUE"""),"Shahjahan Hossain Sakib")</f>
        <v>Shahjahan Hossain Sakib</v>
      </c>
      <c r="C149" s="134" t="str">
        <f>IFERROR(__xludf.DUMMYFUNCTION("""COMPUTED_VALUE"""),"General Member")</f>
        <v>General Member</v>
      </c>
      <c r="D149" s="134" t="str">
        <f>IFERROR(__xludf.DUMMYFUNCTION("""COMPUTED_VALUE"""),"shahjahan.hossain.sakib@g.bracu.ac.bd")</f>
        <v>shahjahan.hossain.sakib@g.bracu.ac.bd</v>
      </c>
      <c r="E149" s="105"/>
    </row>
    <row r="150" ht="22.5" customHeight="1">
      <c r="A150" s="133">
        <f>IFERROR(__xludf.DUMMYFUNCTION("""COMPUTED_VALUE"""),2.3111002E7)</f>
        <v>23111002</v>
      </c>
      <c r="B150" s="133" t="str">
        <f>IFERROR(__xludf.DUMMYFUNCTION("""COMPUTED_VALUE"""),"Haniah Mokhtar")</f>
        <v>Haniah Mokhtar</v>
      </c>
      <c r="C150" s="134" t="str">
        <f>IFERROR(__xludf.DUMMYFUNCTION("""COMPUTED_VALUE"""),"General Member")</f>
        <v>General Member</v>
      </c>
      <c r="D150" s="134" t="str">
        <f>IFERROR(__xludf.DUMMYFUNCTION("""COMPUTED_VALUE"""),"haniah.mokhtar@g.bracu.ac.bd")</f>
        <v>haniah.mokhtar@g.bracu.ac.bd</v>
      </c>
      <c r="E150" s="105"/>
    </row>
    <row r="151" ht="22.5" customHeight="1">
      <c r="A151" s="133">
        <f>IFERROR(__xludf.DUMMYFUNCTION("""COMPUTED_VALUE"""),2.3101518E7)</f>
        <v>23101518</v>
      </c>
      <c r="B151" s="133" t="str">
        <f>IFERROR(__xludf.DUMMYFUNCTION("""COMPUTED_VALUE"""),"Salman Farsi")</f>
        <v>Salman Farsi</v>
      </c>
      <c r="C151" s="134" t="str">
        <f>IFERROR(__xludf.DUMMYFUNCTION("""COMPUTED_VALUE"""),"General Member")</f>
        <v>General Member</v>
      </c>
      <c r="D151" s="134" t="str">
        <f>IFERROR(__xludf.DUMMYFUNCTION("""COMPUTED_VALUE"""),"salman.farsi@g.bracu.ac.bd")</f>
        <v>salman.farsi@g.bracu.ac.bd</v>
      </c>
      <c r="E151" s="105"/>
    </row>
    <row r="152" ht="22.5" customHeight="1">
      <c r="A152" s="133">
        <f>IFERROR(__xludf.DUMMYFUNCTION("""COMPUTED_VALUE"""),2.31015E7)</f>
        <v>23101500</v>
      </c>
      <c r="B152" s="133" t="str">
        <f>IFERROR(__xludf.DUMMYFUNCTION("""COMPUTED_VALUE"""),"Ohidul Hossain")</f>
        <v>Ohidul Hossain</v>
      </c>
      <c r="C152" s="134" t="str">
        <f>IFERROR(__xludf.DUMMYFUNCTION("""COMPUTED_VALUE"""),"General Member")</f>
        <v>General Member</v>
      </c>
      <c r="D152" s="134" t="str">
        <f>IFERROR(__xludf.DUMMYFUNCTION("""COMPUTED_VALUE"""),"ohidul.hossain@g.bracu.ac.bd")</f>
        <v>ohidul.hossain@g.bracu.ac.bd</v>
      </c>
      <c r="E152" s="105"/>
    </row>
    <row r="153" ht="22.5" customHeight="1">
      <c r="A153" s="133">
        <f>IFERROR(__xludf.DUMMYFUNCTION("""COMPUTED_VALUE"""),2.3101492E7)</f>
        <v>23101492</v>
      </c>
      <c r="B153" s="133" t="str">
        <f>IFERROR(__xludf.DUMMYFUNCTION("""COMPUTED_VALUE"""),"K S Sazid Abesh")</f>
        <v>K S Sazid Abesh</v>
      </c>
      <c r="C153" s="134" t="str">
        <f>IFERROR(__xludf.DUMMYFUNCTION("""COMPUTED_VALUE"""),"General Member")</f>
        <v>General Member</v>
      </c>
      <c r="D153" s="134" t="str">
        <f>IFERROR(__xludf.DUMMYFUNCTION("""COMPUTED_VALUE"""),"ks.sazid.abesh@g.bracu.ac.bd")</f>
        <v>ks.sazid.abesh@g.bracu.ac.bd</v>
      </c>
      <c r="E153" s="105"/>
    </row>
    <row r="154" ht="22.5" customHeight="1">
      <c r="A154" s="133">
        <f>IFERROR(__xludf.DUMMYFUNCTION("""COMPUTED_VALUE"""),2.3101491E7)</f>
        <v>23101491</v>
      </c>
      <c r="B154" s="133" t="str">
        <f>IFERROR(__xludf.DUMMYFUNCTION("""COMPUTED_VALUE"""),"Aurora Bintay Mostafa")</f>
        <v>Aurora Bintay Mostafa</v>
      </c>
      <c r="C154" s="134" t="str">
        <f>IFERROR(__xludf.DUMMYFUNCTION("""COMPUTED_VALUE"""),"General Member")</f>
        <v>General Member</v>
      </c>
      <c r="D154" s="134" t="str">
        <f>IFERROR(__xludf.DUMMYFUNCTION("""COMPUTED_VALUE"""),"Aurora.Bintay.mostafa@g.bracu.ac.bd")</f>
        <v>Aurora.Bintay.mostafa@g.bracu.ac.bd</v>
      </c>
      <c r="E154" s="105"/>
    </row>
    <row r="155" ht="22.5" customHeight="1">
      <c r="A155" s="133">
        <f>IFERROR(__xludf.DUMMYFUNCTION("""COMPUTED_VALUE"""),2.3101475E7)</f>
        <v>23101475</v>
      </c>
      <c r="B155" s="133" t="str">
        <f>IFERROR(__xludf.DUMMYFUNCTION("""COMPUTED_VALUE"""),"Israt Hossain")</f>
        <v>Israt Hossain</v>
      </c>
      <c r="C155" s="134" t="str">
        <f>IFERROR(__xludf.DUMMYFUNCTION("""COMPUTED_VALUE"""),"General Member")</f>
        <v>General Member</v>
      </c>
      <c r="D155" s="134" t="str">
        <f>IFERROR(__xludf.DUMMYFUNCTION("""COMPUTED_VALUE"""),"israt.hossain@g.bracu.ac.bd")</f>
        <v>israt.hossain@g.bracu.ac.bd</v>
      </c>
      <c r="E155" s="105"/>
    </row>
    <row r="156" ht="22.5" customHeight="1">
      <c r="A156" s="133">
        <f>IFERROR(__xludf.DUMMYFUNCTION("""COMPUTED_VALUE"""),2.3101466E7)</f>
        <v>23101466</v>
      </c>
      <c r="B156" s="133" t="str">
        <f>IFERROR(__xludf.DUMMYFUNCTION("""COMPUTED_VALUE"""),"Maliha Binte Shamim")</f>
        <v>Maliha Binte Shamim</v>
      </c>
      <c r="C156" s="134" t="str">
        <f>IFERROR(__xludf.DUMMYFUNCTION("""COMPUTED_VALUE"""),"General Member")</f>
        <v>General Member</v>
      </c>
      <c r="D156" s="134" t="str">
        <f>IFERROR(__xludf.DUMMYFUNCTION("""COMPUTED_VALUE"""),"maliha.binte.shamim@g.bracu.ac.bd")</f>
        <v>maliha.binte.shamim@g.bracu.ac.bd</v>
      </c>
      <c r="E156" s="105"/>
    </row>
    <row r="157" ht="22.5" customHeight="1">
      <c r="A157" s="133">
        <f>IFERROR(__xludf.DUMMYFUNCTION("""COMPUTED_VALUE"""),2.3101445E7)</f>
        <v>23101445</v>
      </c>
      <c r="B157" s="133" t="str">
        <f>IFERROR(__xludf.DUMMYFUNCTION("""COMPUTED_VALUE"""),"Sifatul Karim")</f>
        <v>Sifatul Karim</v>
      </c>
      <c r="C157" s="134" t="str">
        <f>IFERROR(__xludf.DUMMYFUNCTION("""COMPUTED_VALUE"""),"General Member")</f>
        <v>General Member</v>
      </c>
      <c r="D157" s="134" t="str">
        <f>IFERROR(__xludf.DUMMYFUNCTION("""COMPUTED_VALUE"""),"sifatul.karim@g.bracu.ac.bd")</f>
        <v>sifatul.karim@g.bracu.ac.bd</v>
      </c>
      <c r="E157" s="105"/>
    </row>
    <row r="158" ht="22.5" customHeight="1">
      <c r="A158" s="133">
        <f>IFERROR(__xludf.DUMMYFUNCTION("""COMPUTED_VALUE"""),2.3101398E7)</f>
        <v>23101398</v>
      </c>
      <c r="B158" s="133" t="str">
        <f>IFERROR(__xludf.DUMMYFUNCTION("""COMPUTED_VALUE"""),"Sadia Naima Nawar")</f>
        <v>Sadia Naima Nawar</v>
      </c>
      <c r="C158" s="134" t="str">
        <f>IFERROR(__xludf.DUMMYFUNCTION("""COMPUTED_VALUE"""),"General Member")</f>
        <v>General Member</v>
      </c>
      <c r="D158" s="134" t="str">
        <f>IFERROR(__xludf.DUMMYFUNCTION("""COMPUTED_VALUE"""),"sadia.naima.nawar@g.bracu.ac.bd")</f>
        <v>sadia.naima.nawar@g.bracu.ac.bd</v>
      </c>
      <c r="E158" s="105"/>
    </row>
    <row r="159" ht="22.5" customHeight="1">
      <c r="A159" s="133">
        <f>IFERROR(__xludf.DUMMYFUNCTION("""COMPUTED_VALUE"""),2.3101395E7)</f>
        <v>23101395</v>
      </c>
      <c r="B159" s="133" t="str">
        <f>IFERROR(__xludf.DUMMYFUNCTION("""COMPUTED_VALUE"""),"Md. Junain Muntasir")</f>
        <v>Md. Junain Muntasir</v>
      </c>
      <c r="C159" s="134" t="str">
        <f>IFERROR(__xludf.DUMMYFUNCTION("""COMPUTED_VALUE"""),"General Member")</f>
        <v>General Member</v>
      </c>
      <c r="D159" s="134" t="str">
        <f>IFERROR(__xludf.DUMMYFUNCTION("""COMPUTED_VALUE"""),"md.junain.muntasir@g.bracu.ac.bd")</f>
        <v>md.junain.muntasir@g.bracu.ac.bd</v>
      </c>
      <c r="E159" s="105"/>
    </row>
    <row r="160" ht="22.5" customHeight="1">
      <c r="A160" s="133">
        <f>IFERROR(__xludf.DUMMYFUNCTION("""COMPUTED_VALUE"""),2.3101366E7)</f>
        <v>23101366</v>
      </c>
      <c r="B160" s="133" t="str">
        <f>IFERROR(__xludf.DUMMYFUNCTION("""COMPUTED_VALUE"""),"Jubair Al Baky")</f>
        <v>Jubair Al Baky</v>
      </c>
      <c r="C160" s="134" t="str">
        <f>IFERROR(__xludf.DUMMYFUNCTION("""COMPUTED_VALUE"""),"General Member")</f>
        <v>General Member</v>
      </c>
      <c r="D160" s="134" t="str">
        <f>IFERROR(__xludf.DUMMYFUNCTION("""COMPUTED_VALUE"""),"jubair.al.baky@g.bracu.ac.bd")</f>
        <v>jubair.al.baky@g.bracu.ac.bd</v>
      </c>
      <c r="E160" s="105"/>
    </row>
    <row r="161" ht="22.5" customHeight="1">
      <c r="A161" s="133">
        <f>IFERROR(__xludf.DUMMYFUNCTION("""COMPUTED_VALUE"""),2.310136E7)</f>
        <v>23101360</v>
      </c>
      <c r="B161" s="133" t="str">
        <f>IFERROR(__xludf.DUMMYFUNCTION("""COMPUTED_VALUE"""),"Toasin Ahmed")</f>
        <v>Toasin Ahmed</v>
      </c>
      <c r="C161" s="134" t="str">
        <f>IFERROR(__xludf.DUMMYFUNCTION("""COMPUTED_VALUE"""),"General Member")</f>
        <v>General Member</v>
      </c>
      <c r="D161" s="134" t="str">
        <f>IFERROR(__xludf.DUMMYFUNCTION("""COMPUTED_VALUE"""),"toasin.ahmed@g.bracu.ac.bd")</f>
        <v>toasin.ahmed@g.bracu.ac.bd</v>
      </c>
      <c r="E161" s="105"/>
    </row>
    <row r="162" ht="22.5" customHeight="1">
      <c r="A162" s="133">
        <f>IFERROR(__xludf.DUMMYFUNCTION("""COMPUTED_VALUE"""),2.3101357E7)</f>
        <v>23101357</v>
      </c>
      <c r="B162" s="133" t="str">
        <f>IFERROR(__xludf.DUMMYFUNCTION("""COMPUTED_VALUE"""),"Md.Samin Awsaf Rahman")</f>
        <v>Md.Samin Awsaf Rahman</v>
      </c>
      <c r="C162" s="134" t="str">
        <f>IFERROR(__xludf.DUMMYFUNCTION("""COMPUTED_VALUE"""),"General Member")</f>
        <v>General Member</v>
      </c>
      <c r="D162" s="134" t="str">
        <f>IFERROR(__xludf.DUMMYFUNCTION("""COMPUTED_VALUE"""),"samin.awsaf.rahman@g.bracu.ac.bd")</f>
        <v>samin.awsaf.rahman@g.bracu.ac.bd</v>
      </c>
      <c r="E162" s="105"/>
    </row>
    <row r="163" ht="22.5" customHeight="1">
      <c r="A163" s="133">
        <f>IFERROR(__xludf.DUMMYFUNCTION("""COMPUTED_VALUE"""),2.3101322E7)</f>
        <v>23101322</v>
      </c>
      <c r="B163" s="133" t="str">
        <f>IFERROR(__xludf.DUMMYFUNCTION("""COMPUTED_VALUE"""),"H.M Muid")</f>
        <v>H.M Muid</v>
      </c>
      <c r="C163" s="134" t="str">
        <f>IFERROR(__xludf.DUMMYFUNCTION("""COMPUTED_VALUE"""),"General Member")</f>
        <v>General Member</v>
      </c>
      <c r="D163" s="134" t="str">
        <f>IFERROR(__xludf.DUMMYFUNCTION("""COMPUTED_VALUE"""),"hm.muid@g.bracu.ac.bd")</f>
        <v>hm.muid@g.bracu.ac.bd</v>
      </c>
      <c r="E163" s="105"/>
    </row>
    <row r="164" ht="22.5" customHeight="1">
      <c r="A164" s="133">
        <f>IFERROR(__xludf.DUMMYFUNCTION("""COMPUTED_VALUE"""),2.3101319E7)</f>
        <v>23101319</v>
      </c>
      <c r="B164" s="133" t="str">
        <f>IFERROR(__xludf.DUMMYFUNCTION("""COMPUTED_VALUE"""),"Arafat Islam Siam")</f>
        <v>Arafat Islam Siam</v>
      </c>
      <c r="C164" s="134" t="str">
        <f>IFERROR(__xludf.DUMMYFUNCTION("""COMPUTED_VALUE"""),"General Member")</f>
        <v>General Member</v>
      </c>
      <c r="D164" s="134" t="str">
        <f>IFERROR(__xludf.DUMMYFUNCTION("""COMPUTED_VALUE"""),"arafat.islam.siam@g.bracu.ac.bd")</f>
        <v>arafat.islam.siam@g.bracu.ac.bd</v>
      </c>
      <c r="E164" s="105"/>
    </row>
    <row r="165" ht="22.5" customHeight="1">
      <c r="A165" s="133">
        <f>IFERROR(__xludf.DUMMYFUNCTION("""COMPUTED_VALUE"""),2.3101316E7)</f>
        <v>23101316</v>
      </c>
      <c r="B165" s="133" t="str">
        <f>IFERROR(__xludf.DUMMYFUNCTION("""COMPUTED_VALUE"""),"Md. Sakib Hossain")</f>
        <v>Md. Sakib Hossain</v>
      </c>
      <c r="C165" s="134" t="str">
        <f>IFERROR(__xludf.DUMMYFUNCTION("""COMPUTED_VALUE"""),"General Member")</f>
        <v>General Member</v>
      </c>
      <c r="D165" s="134" t="str">
        <f>IFERROR(__xludf.DUMMYFUNCTION("""COMPUTED_VALUE"""),"md.sakib.hossain2@g.bracu.ac.bd")</f>
        <v>md.sakib.hossain2@g.bracu.ac.bd</v>
      </c>
      <c r="E165" s="105"/>
    </row>
    <row r="166" ht="22.5" customHeight="1">
      <c r="A166" s="133">
        <f>IFERROR(__xludf.DUMMYFUNCTION("""COMPUTED_VALUE"""),2.3101295E7)</f>
        <v>23101295</v>
      </c>
      <c r="B166" s="133" t="str">
        <f>IFERROR(__xludf.DUMMYFUNCTION("""COMPUTED_VALUE"""),"Shouvik Banik")</f>
        <v>Shouvik Banik</v>
      </c>
      <c r="C166" s="134" t="str">
        <f>IFERROR(__xludf.DUMMYFUNCTION("""COMPUTED_VALUE"""),"General Member")</f>
        <v>General Member</v>
      </c>
      <c r="D166" s="134" t="str">
        <f>IFERROR(__xludf.DUMMYFUNCTION("""COMPUTED_VALUE"""),"shouvik.banik@g.bracu.ac.bd")</f>
        <v>shouvik.banik@g.bracu.ac.bd</v>
      </c>
      <c r="E166" s="105"/>
    </row>
    <row r="167" ht="22.5" customHeight="1">
      <c r="A167" s="133">
        <f>IFERROR(__xludf.DUMMYFUNCTION("""COMPUTED_VALUE"""),2.3101292E7)</f>
        <v>23101292</v>
      </c>
      <c r="B167" s="133" t="str">
        <f>IFERROR(__xludf.DUMMYFUNCTION("""COMPUTED_VALUE"""),"Asif Mahmud Bin Goni")</f>
        <v>Asif Mahmud Bin Goni</v>
      </c>
      <c r="C167" s="134" t="str">
        <f>IFERROR(__xludf.DUMMYFUNCTION("""COMPUTED_VALUE"""),"General Member")</f>
        <v>General Member</v>
      </c>
      <c r="D167" s="134" t="str">
        <f>IFERROR(__xludf.DUMMYFUNCTION("""COMPUTED_VALUE"""),"asifmahmud.bin.goni@g.bracu.ac.bd")</f>
        <v>asifmahmud.bin.goni@g.bracu.ac.bd</v>
      </c>
      <c r="E167" s="105"/>
    </row>
    <row r="168" ht="22.5" customHeight="1">
      <c r="A168" s="133">
        <f>IFERROR(__xludf.DUMMYFUNCTION("""COMPUTED_VALUE"""),2.3101255E7)</f>
        <v>23101255</v>
      </c>
      <c r="B168" s="133" t="str">
        <f>IFERROR(__xludf.DUMMYFUNCTION("""COMPUTED_VALUE"""),"Omar Faruk")</f>
        <v>Omar Faruk</v>
      </c>
      <c r="C168" s="134" t="str">
        <f>IFERROR(__xludf.DUMMYFUNCTION("""COMPUTED_VALUE"""),"General Member")</f>
        <v>General Member</v>
      </c>
      <c r="D168" s="134" t="str">
        <f>IFERROR(__xludf.DUMMYFUNCTION("""COMPUTED_VALUE"""),"omar.faruk2@g.bracu.ac.bd")</f>
        <v>omar.faruk2@g.bracu.ac.bd</v>
      </c>
      <c r="E168" s="105"/>
    </row>
    <row r="169" ht="22.5" customHeight="1">
      <c r="A169" s="133">
        <f>IFERROR(__xludf.DUMMYFUNCTION("""COMPUTED_VALUE"""),2.3101219E7)</f>
        <v>23101219</v>
      </c>
      <c r="B169" s="133" t="str">
        <f>IFERROR(__xludf.DUMMYFUNCTION("""COMPUTED_VALUE"""),"Miesha Tasmiah Raya")</f>
        <v>Miesha Tasmiah Raya</v>
      </c>
      <c r="C169" s="134" t="str">
        <f>IFERROR(__xludf.DUMMYFUNCTION("""COMPUTED_VALUE"""),"General Member")</f>
        <v>General Member</v>
      </c>
      <c r="D169" s="134" t="str">
        <f>IFERROR(__xludf.DUMMYFUNCTION("""COMPUTED_VALUE"""),"miesha.tasmiah.raya@g.bracu.ac.bd")</f>
        <v>miesha.tasmiah.raya@g.bracu.ac.bd</v>
      </c>
      <c r="E169" s="105"/>
    </row>
    <row r="170" ht="22.5" customHeight="1">
      <c r="A170" s="133">
        <f>IFERROR(__xludf.DUMMYFUNCTION("""COMPUTED_VALUE"""),2.3101198E7)</f>
        <v>23101198</v>
      </c>
      <c r="B170" s="133" t="str">
        <f>IFERROR(__xludf.DUMMYFUNCTION("""COMPUTED_VALUE"""),"Md.Asif Ahemed")</f>
        <v>Md.Asif Ahemed</v>
      </c>
      <c r="C170" s="134" t="str">
        <f>IFERROR(__xludf.DUMMYFUNCTION("""COMPUTED_VALUE"""),"General Member")</f>
        <v>General Member</v>
      </c>
      <c r="D170" s="134" t="str">
        <f>IFERROR(__xludf.DUMMYFUNCTION("""COMPUTED_VALUE"""),"md.asif.ahemed@g.bracu.ac.bd")</f>
        <v>md.asif.ahemed@g.bracu.ac.bd</v>
      </c>
      <c r="E170" s="105"/>
    </row>
    <row r="171" ht="22.5" customHeight="1">
      <c r="A171" s="133">
        <f>IFERROR(__xludf.DUMMYFUNCTION("""COMPUTED_VALUE"""),2.3101104E7)</f>
        <v>23101104</v>
      </c>
      <c r="B171" s="133" t="str">
        <f>IFERROR(__xludf.DUMMYFUNCTION("""COMPUTED_VALUE"""),"Nusrat Jahan Choity")</f>
        <v>Nusrat Jahan Choity</v>
      </c>
      <c r="C171" s="134" t="str">
        <f>IFERROR(__xludf.DUMMYFUNCTION("""COMPUTED_VALUE"""),"General Member")</f>
        <v>General Member</v>
      </c>
      <c r="D171" s="134" t="str">
        <f>IFERROR(__xludf.DUMMYFUNCTION("""COMPUTED_VALUE"""),"nusrat.jahan.choity@g.bracu.ac.bd")</f>
        <v>nusrat.jahan.choity@g.bracu.ac.bd</v>
      </c>
      <c r="E171" s="105"/>
    </row>
    <row r="172" ht="22.5" customHeight="1">
      <c r="A172" s="133">
        <f>IFERROR(__xludf.DUMMYFUNCTION("""COMPUTED_VALUE"""),2.3101096E7)</f>
        <v>23101096</v>
      </c>
      <c r="B172" s="133" t="str">
        <f>IFERROR(__xludf.DUMMYFUNCTION("""COMPUTED_VALUE"""),"Tanzim Alam Nova")</f>
        <v>Tanzim Alam Nova</v>
      </c>
      <c r="C172" s="134" t="str">
        <f>IFERROR(__xludf.DUMMYFUNCTION("""COMPUTED_VALUE"""),"General Member")</f>
        <v>General Member</v>
      </c>
      <c r="D172" s="134" t="str">
        <f>IFERROR(__xludf.DUMMYFUNCTION("""COMPUTED_VALUE"""),"tanzim.alam.nova@g.bracu.ac.bd")</f>
        <v>tanzim.alam.nova@g.bracu.ac.bd</v>
      </c>
      <c r="E172" s="105"/>
    </row>
    <row r="173" ht="22.5" customHeight="1">
      <c r="A173" s="133">
        <f>IFERROR(__xludf.DUMMYFUNCTION("""COMPUTED_VALUE"""),2.3101015E7)</f>
        <v>23101015</v>
      </c>
      <c r="B173" s="133" t="str">
        <f>IFERROR(__xludf.DUMMYFUNCTION("""COMPUTED_VALUE"""),"Saif Karim")</f>
        <v>Saif Karim</v>
      </c>
      <c r="C173" s="134" t="str">
        <f>IFERROR(__xludf.DUMMYFUNCTION("""COMPUTED_VALUE"""),"General Member")</f>
        <v>General Member</v>
      </c>
      <c r="D173" s="134" t="str">
        <f>IFERROR(__xludf.DUMMYFUNCTION("""COMPUTED_VALUE"""),"saif.karim@g.bracu.ac.bd")</f>
        <v>saif.karim@g.bracu.ac.bd</v>
      </c>
      <c r="E173" s="105"/>
    </row>
    <row r="174" ht="22.5" customHeight="1">
      <c r="A174" s="133">
        <f>IFERROR(__xludf.DUMMYFUNCTION("""COMPUTED_VALUE"""),2.234101E7)</f>
        <v>22341010</v>
      </c>
      <c r="B174" s="133" t="str">
        <f>IFERROR(__xludf.DUMMYFUNCTION("""COMPUTED_VALUE"""),"Mahdi Ashraf")</f>
        <v>Mahdi Ashraf</v>
      </c>
      <c r="C174" s="134" t="str">
        <f>IFERROR(__xludf.DUMMYFUNCTION("""COMPUTED_VALUE"""),"General Member")</f>
        <v>General Member</v>
      </c>
      <c r="D174" s="134" t="str">
        <f>IFERROR(__xludf.DUMMYFUNCTION("""COMPUTED_VALUE"""),"mahdi.ashraf@g.bracu.ac.bd")</f>
        <v>mahdi.ashraf@g.bracu.ac.bd</v>
      </c>
      <c r="E174" s="105"/>
    </row>
    <row r="175" ht="22.5" customHeight="1">
      <c r="A175" s="133">
        <f>IFERROR(__xludf.DUMMYFUNCTION("""COMPUTED_VALUE"""),2.2341009E7)</f>
        <v>22341009</v>
      </c>
      <c r="B175" s="133" t="str">
        <f>IFERROR(__xludf.DUMMYFUNCTION("""COMPUTED_VALUE"""),"Mujahidul Haque Jihad")</f>
        <v>Mujahidul Haque Jihad</v>
      </c>
      <c r="C175" s="134" t="str">
        <f>IFERROR(__xludf.DUMMYFUNCTION("""COMPUTED_VALUE"""),"General Member")</f>
        <v>General Member</v>
      </c>
      <c r="D175" s="134" t="str">
        <f>IFERROR(__xludf.DUMMYFUNCTION("""COMPUTED_VALUE"""),"mujahidul.haque.jihad@g.bracu.ac.bd")</f>
        <v>mujahidul.haque.jihad@g.bracu.ac.bd</v>
      </c>
      <c r="E175" s="105"/>
    </row>
    <row r="176" ht="22.5" customHeight="1">
      <c r="A176" s="133">
        <f>IFERROR(__xludf.DUMMYFUNCTION("""COMPUTED_VALUE"""),2.2303035E7)</f>
        <v>22303035</v>
      </c>
      <c r="B176" s="133" t="str">
        <f>IFERROR(__xludf.DUMMYFUNCTION("""COMPUTED_VALUE"""),"Umme Humayra")</f>
        <v>Umme Humayra</v>
      </c>
      <c r="C176" s="134" t="str">
        <f>IFERROR(__xludf.DUMMYFUNCTION("""COMPUTED_VALUE"""),"General Member")</f>
        <v>General Member</v>
      </c>
      <c r="D176" s="134" t="str">
        <f>IFERROR(__xludf.DUMMYFUNCTION("""COMPUTED_VALUE"""),"umme.humayra@g.bracu.ac.bd")</f>
        <v>umme.humayra@g.bracu.ac.bd</v>
      </c>
      <c r="E176" s="105"/>
    </row>
    <row r="177" ht="22.5" customHeight="1">
      <c r="A177" s="133">
        <f>IFERROR(__xludf.DUMMYFUNCTION("""COMPUTED_VALUE"""),2.2301782E7)</f>
        <v>22301782</v>
      </c>
      <c r="B177" s="133" t="str">
        <f>IFERROR(__xludf.DUMMYFUNCTION("""COMPUTED_VALUE"""),"Moin Ahammed")</f>
        <v>Moin Ahammed</v>
      </c>
      <c r="C177" s="134" t="str">
        <f>IFERROR(__xludf.DUMMYFUNCTION("""COMPUTED_VALUE"""),"General Member")</f>
        <v>General Member</v>
      </c>
      <c r="D177" s="134" t="str">
        <f>IFERROR(__xludf.DUMMYFUNCTION("""COMPUTED_VALUE"""),"moin.ahammed@g.bracu.ac.bd")</f>
        <v>moin.ahammed@g.bracu.ac.bd</v>
      </c>
      <c r="E177" s="105"/>
    </row>
    <row r="178" ht="22.5" customHeight="1">
      <c r="A178" s="133">
        <f>IFERROR(__xludf.DUMMYFUNCTION("""COMPUTED_VALUE"""),2.2301769E7)</f>
        <v>22301769</v>
      </c>
      <c r="B178" s="133" t="str">
        <f>IFERROR(__xludf.DUMMYFUNCTION("""COMPUTED_VALUE"""),"Shuvashis Basak")</f>
        <v>Shuvashis Basak</v>
      </c>
      <c r="C178" s="134" t="str">
        <f>IFERROR(__xludf.DUMMYFUNCTION("""COMPUTED_VALUE"""),"General Member")</f>
        <v>General Member</v>
      </c>
      <c r="D178" s="134" t="str">
        <f>IFERROR(__xludf.DUMMYFUNCTION("""COMPUTED_VALUE"""),"shuvashis.basak@g.bracu.ac.bd")</f>
        <v>shuvashis.basak@g.bracu.ac.bd</v>
      </c>
      <c r="E178" s="105"/>
    </row>
    <row r="179" ht="22.5" customHeight="1">
      <c r="A179" s="133">
        <f>IFERROR(__xludf.DUMMYFUNCTION("""COMPUTED_VALUE"""),2.2301765E7)</f>
        <v>22301765</v>
      </c>
      <c r="B179" s="133" t="str">
        <f>IFERROR(__xludf.DUMMYFUNCTION("""COMPUTED_VALUE"""),"Abu Sayed Md. Saad")</f>
        <v>Abu Sayed Md. Saad</v>
      </c>
      <c r="C179" s="134" t="str">
        <f>IFERROR(__xludf.DUMMYFUNCTION("""COMPUTED_VALUE"""),"General Member")</f>
        <v>General Member</v>
      </c>
      <c r="D179" s="134" t="str">
        <f>IFERROR(__xludf.DUMMYFUNCTION("""COMPUTED_VALUE"""),"abusayed.md.saad@g.bracu.ac.bd")</f>
        <v>abusayed.md.saad@g.bracu.ac.bd</v>
      </c>
      <c r="E179" s="105"/>
    </row>
    <row r="180" ht="22.5" customHeight="1">
      <c r="A180" s="133">
        <f>IFERROR(__xludf.DUMMYFUNCTION("""COMPUTED_VALUE"""),2.2301661E7)</f>
        <v>22301661</v>
      </c>
      <c r="B180" s="133" t="str">
        <f>IFERROR(__xludf.DUMMYFUNCTION("""COMPUTED_VALUE"""),"M. M. Nasim Osmani Shourov")</f>
        <v>M. M. Nasim Osmani Shourov</v>
      </c>
      <c r="C180" s="134" t="str">
        <f>IFERROR(__xludf.DUMMYFUNCTION("""COMPUTED_VALUE"""),"General Member")</f>
        <v>General Member</v>
      </c>
      <c r="D180" s="134" t="str">
        <f>IFERROR(__xludf.DUMMYFUNCTION("""COMPUTED_VALUE"""),"nasim.osmani.shourov@g.bracu.ac.bd")</f>
        <v>nasim.osmani.shourov@g.bracu.ac.bd</v>
      </c>
      <c r="E180" s="105"/>
    </row>
    <row r="181" ht="22.5" customHeight="1">
      <c r="A181" s="133">
        <f>IFERROR(__xludf.DUMMYFUNCTION("""COMPUTED_VALUE"""),2.2301654E7)</f>
        <v>22301654</v>
      </c>
      <c r="B181" s="133" t="str">
        <f>IFERROR(__xludf.DUMMYFUNCTION("""COMPUTED_VALUE"""),"Rashed Ul Islam")</f>
        <v>Rashed Ul Islam</v>
      </c>
      <c r="C181" s="134" t="str">
        <f>IFERROR(__xludf.DUMMYFUNCTION("""COMPUTED_VALUE"""),"General Member")</f>
        <v>General Member</v>
      </c>
      <c r="D181" s="134" t="str">
        <f>IFERROR(__xludf.DUMMYFUNCTION("""COMPUTED_VALUE"""),"rashed.ul.islam@g.bracu.ac.bd")</f>
        <v>rashed.ul.islam@g.bracu.ac.bd</v>
      </c>
      <c r="E181" s="105"/>
    </row>
    <row r="182" ht="22.5" customHeight="1">
      <c r="A182" s="133">
        <f>IFERROR(__xludf.DUMMYFUNCTION("""COMPUTED_VALUE"""),2.2301597E7)</f>
        <v>22301597</v>
      </c>
      <c r="B182" s="133" t="str">
        <f>IFERROR(__xludf.DUMMYFUNCTION("""COMPUTED_VALUE"""),"Afsana Akter")</f>
        <v>Afsana Akter</v>
      </c>
      <c r="C182" s="134" t="str">
        <f>IFERROR(__xludf.DUMMYFUNCTION("""COMPUTED_VALUE"""),"General Member")</f>
        <v>General Member</v>
      </c>
      <c r="D182" s="134" t="str">
        <f>IFERROR(__xludf.DUMMYFUNCTION("""COMPUTED_VALUE"""),"afsana.akter2@g.bracu.ac.bd")</f>
        <v>afsana.akter2@g.bracu.ac.bd</v>
      </c>
      <c r="E182" s="105"/>
    </row>
    <row r="183" ht="22.5" customHeight="1">
      <c r="A183" s="133">
        <f>IFERROR(__xludf.DUMMYFUNCTION("""COMPUTED_VALUE"""),2.2301573E7)</f>
        <v>22301573</v>
      </c>
      <c r="B183" s="133" t="str">
        <f>IFERROR(__xludf.DUMMYFUNCTION("""COMPUTED_VALUE"""),"Dipta Mazumder")</f>
        <v>Dipta Mazumder</v>
      </c>
      <c r="C183" s="134" t="str">
        <f>IFERROR(__xludf.DUMMYFUNCTION("""COMPUTED_VALUE"""),"General Member")</f>
        <v>General Member</v>
      </c>
      <c r="D183" s="134" t="str">
        <f>IFERROR(__xludf.DUMMYFUNCTION("""COMPUTED_VALUE"""),"dipta.mazumder@g.bracu.ac.bd")</f>
        <v>dipta.mazumder@g.bracu.ac.bd</v>
      </c>
      <c r="E183" s="105"/>
    </row>
    <row r="184" ht="22.5" customHeight="1">
      <c r="A184" s="133">
        <f>IFERROR(__xludf.DUMMYFUNCTION("""COMPUTED_VALUE"""),2.2301568E7)</f>
        <v>22301568</v>
      </c>
      <c r="B184" s="133" t="str">
        <f>IFERROR(__xludf.DUMMYFUNCTION("""COMPUTED_VALUE"""),"Shafin Mashrafe")</f>
        <v>Shafin Mashrafe</v>
      </c>
      <c r="C184" s="134" t="str">
        <f>IFERROR(__xludf.DUMMYFUNCTION("""COMPUTED_VALUE"""),"General Member")</f>
        <v>General Member</v>
      </c>
      <c r="D184" s="134" t="str">
        <f>IFERROR(__xludf.DUMMYFUNCTION("""COMPUTED_VALUE"""),"shafin.mashrafe@g.bracu.ac.bd")</f>
        <v>shafin.mashrafe@g.bracu.ac.bd</v>
      </c>
      <c r="E184" s="105"/>
    </row>
    <row r="185" ht="22.5" customHeight="1">
      <c r="A185" s="133">
        <f>IFERROR(__xludf.DUMMYFUNCTION("""COMPUTED_VALUE"""),2.2301562E7)</f>
        <v>22301562</v>
      </c>
      <c r="B185" s="133" t="str">
        <f>IFERROR(__xludf.DUMMYFUNCTION("""COMPUTED_VALUE"""),"Raiana Ferdous Disha")</f>
        <v>Raiana Ferdous Disha</v>
      </c>
      <c r="C185" s="134" t="str">
        <f>IFERROR(__xludf.DUMMYFUNCTION("""COMPUTED_VALUE"""),"General Member")</f>
        <v>General Member</v>
      </c>
      <c r="D185" s="134" t="str">
        <f>IFERROR(__xludf.DUMMYFUNCTION("""COMPUTED_VALUE"""),"raiana.ferdous.disha@g.bracu.ac.bd")</f>
        <v>raiana.ferdous.disha@g.bracu.ac.bd</v>
      </c>
      <c r="E185" s="105"/>
    </row>
    <row r="186" ht="22.5" customHeight="1">
      <c r="A186" s="133">
        <f>IFERROR(__xludf.DUMMYFUNCTION("""COMPUTED_VALUE"""),2.2301559E7)</f>
        <v>22301559</v>
      </c>
      <c r="B186" s="133" t="str">
        <f>IFERROR(__xludf.DUMMYFUNCTION("""COMPUTED_VALUE"""),"Md. Shahariar Shopnil")</f>
        <v>Md. Shahariar Shopnil</v>
      </c>
      <c r="C186" s="134" t="str">
        <f>IFERROR(__xludf.DUMMYFUNCTION("""COMPUTED_VALUE"""),"General Member")</f>
        <v>General Member</v>
      </c>
      <c r="D186" s="134" t="str">
        <f>IFERROR(__xludf.DUMMYFUNCTION("""COMPUTED_VALUE"""),"md.shahariar.shopnil@g.bracu.ac.bd")</f>
        <v>md.shahariar.shopnil@g.bracu.ac.bd</v>
      </c>
      <c r="E186" s="105"/>
    </row>
    <row r="187" ht="22.5" customHeight="1">
      <c r="A187" s="133">
        <f>IFERROR(__xludf.DUMMYFUNCTION("""COMPUTED_VALUE"""),2.2301557E7)</f>
        <v>22301557</v>
      </c>
      <c r="B187" s="133" t="str">
        <f>IFERROR(__xludf.DUMMYFUNCTION("""COMPUTED_VALUE"""),"Abdullah Al Zubayer")</f>
        <v>Abdullah Al Zubayer</v>
      </c>
      <c r="C187" s="134" t="str">
        <f>IFERROR(__xludf.DUMMYFUNCTION("""COMPUTED_VALUE"""),"General Member")</f>
        <v>General Member</v>
      </c>
      <c r="D187" s="134" t="str">
        <f>IFERROR(__xludf.DUMMYFUNCTION("""COMPUTED_VALUE"""),"abdullah.al.zubayer@g.bracu.ac.bd")</f>
        <v>abdullah.al.zubayer@g.bracu.ac.bd</v>
      </c>
      <c r="E187" s="105"/>
    </row>
    <row r="188" ht="22.5" customHeight="1">
      <c r="A188" s="133">
        <f>IFERROR(__xludf.DUMMYFUNCTION("""COMPUTED_VALUE"""),2.2301548E7)</f>
        <v>22301548</v>
      </c>
      <c r="B188" s="133" t="str">
        <f>IFERROR(__xludf.DUMMYFUNCTION("""COMPUTED_VALUE"""),"Amira Tanjum Chowdhury")</f>
        <v>Amira Tanjum Chowdhury</v>
      </c>
      <c r="C188" s="134" t="str">
        <f>IFERROR(__xludf.DUMMYFUNCTION("""COMPUTED_VALUE"""),"General Member")</f>
        <v>General Member</v>
      </c>
      <c r="D188" s="134" t="str">
        <f>IFERROR(__xludf.DUMMYFUNCTION("""COMPUTED_VALUE"""),"amira.tanjum.chowdhury@g.bracu.ac.bd")</f>
        <v>amira.tanjum.chowdhury@g.bracu.ac.bd</v>
      </c>
      <c r="E188" s="105"/>
    </row>
    <row r="189" ht="22.5" customHeight="1">
      <c r="A189" s="133">
        <f>IFERROR(__xludf.DUMMYFUNCTION("""COMPUTED_VALUE"""),2.2301543E7)</f>
        <v>22301543</v>
      </c>
      <c r="B189" s="133" t="str">
        <f>IFERROR(__xludf.DUMMYFUNCTION("""COMPUTED_VALUE"""),"Owara Binte Mamun")</f>
        <v>Owara Binte Mamun</v>
      </c>
      <c r="C189" s="134" t="str">
        <f>IFERROR(__xludf.DUMMYFUNCTION("""COMPUTED_VALUE"""),"General Member")</f>
        <v>General Member</v>
      </c>
      <c r="D189" s="134" t="str">
        <f>IFERROR(__xludf.DUMMYFUNCTION("""COMPUTED_VALUE"""),"owara.binte.mamun@g.bracu.ac.bd")</f>
        <v>owara.binte.mamun@g.bracu.ac.bd</v>
      </c>
      <c r="E189" s="105"/>
    </row>
    <row r="190" ht="22.5" customHeight="1">
      <c r="A190" s="133">
        <f>IFERROR(__xludf.DUMMYFUNCTION("""COMPUTED_VALUE"""),2.2301524E7)</f>
        <v>22301524</v>
      </c>
      <c r="B190" s="133" t="str">
        <f>IFERROR(__xludf.DUMMYFUNCTION("""COMPUTED_VALUE"""),"Sabah Anjim Farabi")</f>
        <v>Sabah Anjim Farabi</v>
      </c>
      <c r="C190" s="134" t="str">
        <f>IFERROR(__xludf.DUMMYFUNCTION("""COMPUTED_VALUE"""),"General Member")</f>
        <v>General Member</v>
      </c>
      <c r="D190" s="134" t="str">
        <f>IFERROR(__xludf.DUMMYFUNCTION("""COMPUTED_VALUE"""),"sabah.anjim.farabi@g.bracu.ac.bd")</f>
        <v>sabah.anjim.farabi@g.bracu.ac.bd</v>
      </c>
      <c r="E190" s="105"/>
    </row>
    <row r="191" ht="22.5" customHeight="1">
      <c r="A191" s="133">
        <f>IFERROR(__xludf.DUMMYFUNCTION("""COMPUTED_VALUE"""),2.230151E7)</f>
        <v>22301510</v>
      </c>
      <c r="B191" s="133" t="str">
        <f>IFERROR(__xludf.DUMMYFUNCTION("""COMPUTED_VALUE"""),"Mehrab Arefin")</f>
        <v>Mehrab Arefin</v>
      </c>
      <c r="C191" s="134" t="str">
        <f>IFERROR(__xludf.DUMMYFUNCTION("""COMPUTED_VALUE"""),"General Member")</f>
        <v>General Member</v>
      </c>
      <c r="D191" s="134" t="str">
        <f>IFERROR(__xludf.DUMMYFUNCTION("""COMPUTED_VALUE"""),"mehrab.arefin@g.bracu.ac.bd")</f>
        <v>mehrab.arefin@g.bracu.ac.bd</v>
      </c>
      <c r="E191" s="105"/>
    </row>
    <row r="192" ht="22.5" customHeight="1">
      <c r="A192" s="133">
        <f>IFERROR(__xludf.DUMMYFUNCTION("""COMPUTED_VALUE"""),2.2301498E7)</f>
        <v>22301498</v>
      </c>
      <c r="B192" s="133" t="str">
        <f>IFERROR(__xludf.DUMMYFUNCTION("""COMPUTED_VALUE"""),"Md Shahriar Islam Rafi")</f>
        <v>Md Shahriar Islam Rafi</v>
      </c>
      <c r="C192" s="134" t="str">
        <f>IFERROR(__xludf.DUMMYFUNCTION("""COMPUTED_VALUE"""),"General Member")</f>
        <v>General Member</v>
      </c>
      <c r="D192" s="134" t="str">
        <f>IFERROR(__xludf.DUMMYFUNCTION("""COMPUTED_VALUE"""),"shahriar.islam.rafi@g.bracu.ac.bd")</f>
        <v>shahriar.islam.rafi@g.bracu.ac.bd</v>
      </c>
      <c r="E192" s="105"/>
    </row>
    <row r="193" ht="22.5" customHeight="1">
      <c r="A193" s="133">
        <f>IFERROR(__xludf.DUMMYFUNCTION("""COMPUTED_VALUE"""),2.230149E7)</f>
        <v>22301490</v>
      </c>
      <c r="B193" s="133" t="str">
        <f>IFERROR(__xludf.DUMMYFUNCTION("""COMPUTED_VALUE"""),"Dhrubo Hazra")</f>
        <v>Dhrubo Hazra</v>
      </c>
      <c r="C193" s="134" t="str">
        <f>IFERROR(__xludf.DUMMYFUNCTION("""COMPUTED_VALUE"""),"General Member")</f>
        <v>General Member</v>
      </c>
      <c r="D193" s="134" t="str">
        <f>IFERROR(__xludf.DUMMYFUNCTION("""COMPUTED_VALUE"""),"dhrubo.hazra@g.bracu.ac.bd")</f>
        <v>dhrubo.hazra@g.bracu.ac.bd</v>
      </c>
      <c r="E193" s="105"/>
    </row>
    <row r="194" ht="22.5" customHeight="1">
      <c r="A194" s="133">
        <f>IFERROR(__xludf.DUMMYFUNCTION("""COMPUTED_VALUE"""),2.2301456E7)</f>
        <v>22301456</v>
      </c>
      <c r="B194" s="133" t="str">
        <f>IFERROR(__xludf.DUMMYFUNCTION("""COMPUTED_VALUE"""),"Raiyan Sarker")</f>
        <v>Raiyan Sarker</v>
      </c>
      <c r="C194" s="134" t="str">
        <f>IFERROR(__xludf.DUMMYFUNCTION("""COMPUTED_VALUE"""),"General Member")</f>
        <v>General Member</v>
      </c>
      <c r="D194" s="134" t="str">
        <f>IFERROR(__xludf.DUMMYFUNCTION("""COMPUTED_VALUE"""),"mohammad.raiyan.sarker@g.bracu.ac.bd")</f>
        <v>mohammad.raiyan.sarker@g.bracu.ac.bd</v>
      </c>
      <c r="E194" s="105"/>
    </row>
    <row r="195" ht="22.5" customHeight="1">
      <c r="A195" s="133">
        <f>IFERROR(__xludf.DUMMYFUNCTION("""COMPUTED_VALUE"""),2.2301428E7)</f>
        <v>22301428</v>
      </c>
      <c r="B195" s="133" t="str">
        <f>IFERROR(__xludf.DUMMYFUNCTION("""COMPUTED_VALUE"""),"Shams Rubaiat Shammo")</f>
        <v>Shams Rubaiat Shammo</v>
      </c>
      <c r="C195" s="134" t="str">
        <f>IFERROR(__xludf.DUMMYFUNCTION("""COMPUTED_VALUE"""),"General Member")</f>
        <v>General Member</v>
      </c>
      <c r="D195" s="134" t="str">
        <f>IFERROR(__xludf.DUMMYFUNCTION("""COMPUTED_VALUE"""),"shams.rubaiat.shammo@g.bracu.ac.bd")</f>
        <v>shams.rubaiat.shammo@g.bracu.ac.bd</v>
      </c>
      <c r="E195" s="105"/>
    </row>
    <row r="196" ht="22.5" customHeight="1">
      <c r="A196" s="133">
        <f>IFERROR(__xludf.DUMMYFUNCTION("""COMPUTED_VALUE"""),2.2301424E7)</f>
        <v>22301424</v>
      </c>
      <c r="B196" s="133" t="str">
        <f>IFERROR(__xludf.DUMMYFUNCTION("""COMPUTED_VALUE"""),"Kaiser Fahim")</f>
        <v>Kaiser Fahim</v>
      </c>
      <c r="C196" s="134" t="str">
        <f>IFERROR(__xludf.DUMMYFUNCTION("""COMPUTED_VALUE"""),"General Member")</f>
        <v>General Member</v>
      </c>
      <c r="D196" s="134" t="str">
        <f>IFERROR(__xludf.DUMMYFUNCTION("""COMPUTED_VALUE"""),"kaiser.fahim@g.bracu.ac.bd")</f>
        <v>kaiser.fahim@g.bracu.ac.bd</v>
      </c>
      <c r="E196" s="105"/>
    </row>
    <row r="197" ht="22.5" customHeight="1">
      <c r="A197" s="133">
        <f>IFERROR(__xludf.DUMMYFUNCTION("""COMPUTED_VALUE"""),2.2301397E7)</f>
        <v>22301397</v>
      </c>
      <c r="B197" s="133" t="str">
        <f>IFERROR(__xludf.DUMMYFUNCTION("""COMPUTED_VALUE"""),"Md.Robiul.Hassan@G.Bracu.Ac.Bd")</f>
        <v>Md.Robiul.Hassan@G.Bracu.Ac.Bd</v>
      </c>
      <c r="C197" s="134" t="str">
        <f>IFERROR(__xludf.DUMMYFUNCTION("""COMPUTED_VALUE"""),"General Member")</f>
        <v>General Member</v>
      </c>
      <c r="D197" s="134" t="str">
        <f>IFERROR(__xludf.DUMMYFUNCTION("""COMPUTED_VALUE"""),"md.robiul.hassan@g.bracu.ac.bd")</f>
        <v>md.robiul.hassan@g.bracu.ac.bd</v>
      </c>
      <c r="E197" s="105"/>
    </row>
    <row r="198" ht="22.5" customHeight="1">
      <c r="A198" s="133">
        <f>IFERROR(__xludf.DUMMYFUNCTION("""COMPUTED_VALUE"""),2.2301383E7)</f>
        <v>22301383</v>
      </c>
      <c r="B198" s="133" t="str">
        <f>IFERROR(__xludf.DUMMYFUNCTION("""COMPUTED_VALUE"""),"Md.Shohiduzzaman Biswas")</f>
        <v>Md.Shohiduzzaman Biswas</v>
      </c>
      <c r="C198" s="134" t="str">
        <f>IFERROR(__xludf.DUMMYFUNCTION("""COMPUTED_VALUE"""),"General Member")</f>
        <v>General Member</v>
      </c>
      <c r="D198" s="134" t="str">
        <f>IFERROR(__xludf.DUMMYFUNCTION("""COMPUTED_VALUE"""),"md.shohiduzzaman.biswas@g.bracu.ac.bd")</f>
        <v>md.shohiduzzaman.biswas@g.bracu.ac.bd</v>
      </c>
      <c r="E198" s="105"/>
    </row>
    <row r="199" ht="22.5" customHeight="1">
      <c r="A199" s="133">
        <f>IFERROR(__xludf.DUMMYFUNCTION("""COMPUTED_VALUE"""),2.2301374E7)</f>
        <v>22301374</v>
      </c>
      <c r="B199" s="133" t="str">
        <f>IFERROR(__xludf.DUMMYFUNCTION("""COMPUTED_VALUE"""),"Md. Nazmul Khandoker")</f>
        <v>Md. Nazmul Khandoker</v>
      </c>
      <c r="C199" s="134" t="str">
        <f>IFERROR(__xludf.DUMMYFUNCTION("""COMPUTED_VALUE"""),"General Member")</f>
        <v>General Member</v>
      </c>
      <c r="D199" s="134" t="str">
        <f>IFERROR(__xludf.DUMMYFUNCTION("""COMPUTED_VALUE"""),"md.nazmul.khandoker@g.bracu.ac.bd")</f>
        <v>md.nazmul.khandoker@g.bracu.ac.bd</v>
      </c>
      <c r="E199" s="105"/>
    </row>
    <row r="200" ht="22.5" customHeight="1">
      <c r="A200" s="133">
        <f>IFERROR(__xludf.DUMMYFUNCTION("""COMPUTED_VALUE"""),2.2301368E7)</f>
        <v>22301368</v>
      </c>
      <c r="B200" s="133" t="str">
        <f>IFERROR(__xludf.DUMMYFUNCTION("""COMPUTED_VALUE"""),"Md. Kamrul Islam Niloy")</f>
        <v>Md. Kamrul Islam Niloy</v>
      </c>
      <c r="C200" s="134" t="str">
        <f>IFERROR(__xludf.DUMMYFUNCTION("""COMPUTED_VALUE"""),"General Member")</f>
        <v>General Member</v>
      </c>
      <c r="D200" s="134" t="str">
        <f>IFERROR(__xludf.DUMMYFUNCTION("""COMPUTED_VALUE"""),"md.kamrul.islam1@g.bracu.ac.bd")</f>
        <v>md.kamrul.islam1@g.bracu.ac.bd</v>
      </c>
      <c r="E200" s="105"/>
    </row>
    <row r="201" ht="22.5" customHeight="1">
      <c r="A201" s="133">
        <f>IFERROR(__xludf.DUMMYFUNCTION("""COMPUTED_VALUE"""),2.2301364E7)</f>
        <v>22301364</v>
      </c>
      <c r="B201" s="133" t="str">
        <f>IFERROR(__xludf.DUMMYFUNCTION("""COMPUTED_VALUE"""),"Shaikhul Islam Sinat")</f>
        <v>Shaikhul Islam Sinat</v>
      </c>
      <c r="C201" s="134" t="str">
        <f>IFERROR(__xludf.DUMMYFUNCTION("""COMPUTED_VALUE"""),"General Member")</f>
        <v>General Member</v>
      </c>
      <c r="D201" s="134" t="str">
        <f>IFERROR(__xludf.DUMMYFUNCTION("""COMPUTED_VALUE"""),"shaikhul.islam.sinat@g.bracu.ac.bd")</f>
        <v>shaikhul.islam.sinat@g.bracu.ac.bd</v>
      </c>
      <c r="E201" s="105"/>
    </row>
    <row r="202" ht="22.5" customHeight="1">
      <c r="A202" s="133">
        <f>IFERROR(__xludf.DUMMYFUNCTION("""COMPUTED_VALUE"""),2.2301358E7)</f>
        <v>22301358</v>
      </c>
      <c r="B202" s="133" t="str">
        <f>IFERROR(__xludf.DUMMYFUNCTION("""COMPUTED_VALUE"""),"Sharadia Dev Mim")</f>
        <v>Sharadia Dev Mim</v>
      </c>
      <c r="C202" s="134" t="str">
        <f>IFERROR(__xludf.DUMMYFUNCTION("""COMPUTED_VALUE"""),"General Member")</f>
        <v>General Member</v>
      </c>
      <c r="D202" s="134" t="str">
        <f>IFERROR(__xludf.DUMMYFUNCTION("""COMPUTED_VALUE"""),"sharadia.dev.mim@g.bracu.ac.bd")</f>
        <v>sharadia.dev.mim@g.bracu.ac.bd</v>
      </c>
      <c r="E202" s="105"/>
    </row>
    <row r="203" ht="22.5" customHeight="1">
      <c r="A203" s="133">
        <f>IFERROR(__xludf.DUMMYFUNCTION("""COMPUTED_VALUE"""),2.2301356E7)</f>
        <v>22301356</v>
      </c>
      <c r="B203" s="133" t="str">
        <f>IFERROR(__xludf.DUMMYFUNCTION("""COMPUTED_VALUE"""),"Armeen Ahmed Amin")</f>
        <v>Armeen Ahmed Amin</v>
      </c>
      <c r="C203" s="134" t="str">
        <f>IFERROR(__xludf.DUMMYFUNCTION("""COMPUTED_VALUE"""),"General Member")</f>
        <v>General Member</v>
      </c>
      <c r="D203" s="134" t="str">
        <f>IFERROR(__xludf.DUMMYFUNCTION("""COMPUTED_VALUE"""),"armeen.ahmed.amin@g.bracu.ac.bd")</f>
        <v>armeen.ahmed.amin@g.bracu.ac.bd</v>
      </c>
      <c r="E203" s="105"/>
    </row>
    <row r="204" ht="22.5" customHeight="1">
      <c r="A204" s="133">
        <f>IFERROR(__xludf.DUMMYFUNCTION("""COMPUTED_VALUE"""),2.2301336E7)</f>
        <v>22301336</v>
      </c>
      <c r="B204" s="133" t="str">
        <f>IFERROR(__xludf.DUMMYFUNCTION("""COMPUTED_VALUE"""),"Atahar Shihab")</f>
        <v>Atahar Shihab</v>
      </c>
      <c r="C204" s="134" t="str">
        <f>IFERROR(__xludf.DUMMYFUNCTION("""COMPUTED_VALUE"""),"General Member")</f>
        <v>General Member</v>
      </c>
      <c r="D204" s="134" t="str">
        <f>IFERROR(__xludf.DUMMYFUNCTION("""COMPUTED_VALUE"""),"atahar.shihab@g.bracu.ac.bd")</f>
        <v>atahar.shihab@g.bracu.ac.bd</v>
      </c>
      <c r="E204" s="105"/>
    </row>
    <row r="205" ht="22.5" customHeight="1">
      <c r="A205" s="133">
        <f>IFERROR(__xludf.DUMMYFUNCTION("""COMPUTED_VALUE"""),2.230133E7)</f>
        <v>22301330</v>
      </c>
      <c r="B205" s="133" t="str">
        <f>IFERROR(__xludf.DUMMYFUNCTION("""COMPUTED_VALUE"""),"Md. Sanaullah Efti")</f>
        <v>Md. Sanaullah Efti</v>
      </c>
      <c r="C205" s="134" t="str">
        <f>IFERROR(__xludf.DUMMYFUNCTION("""COMPUTED_VALUE"""),"General Member")</f>
        <v>General Member</v>
      </c>
      <c r="D205" s="134" t="str">
        <f>IFERROR(__xludf.DUMMYFUNCTION("""COMPUTED_VALUE"""),"md.sanaullah.efti@g.bracu.ac.bd")</f>
        <v>md.sanaullah.efti@g.bracu.ac.bd</v>
      </c>
      <c r="E205" s="105"/>
    </row>
    <row r="206" ht="22.5" customHeight="1">
      <c r="A206" s="133">
        <f>IFERROR(__xludf.DUMMYFUNCTION("""COMPUTED_VALUE"""),2.2301327E7)</f>
        <v>22301327</v>
      </c>
      <c r="B206" s="133" t="str">
        <f>IFERROR(__xludf.DUMMYFUNCTION("""COMPUTED_VALUE"""),"Md. Obaidullah Ahrar")</f>
        <v>Md. Obaidullah Ahrar</v>
      </c>
      <c r="C206" s="134" t="str">
        <f>IFERROR(__xludf.DUMMYFUNCTION("""COMPUTED_VALUE"""),"General Member")</f>
        <v>General Member</v>
      </c>
      <c r="D206" s="134" t="str">
        <f>IFERROR(__xludf.DUMMYFUNCTION("""COMPUTED_VALUE"""),"md.obaidullah.ahrar@g.bracu.ac.bd")</f>
        <v>md.obaidullah.ahrar@g.bracu.ac.bd</v>
      </c>
      <c r="E206" s="105"/>
    </row>
    <row r="207" ht="22.5" customHeight="1">
      <c r="A207" s="133">
        <f>IFERROR(__xludf.DUMMYFUNCTION("""COMPUTED_VALUE"""),2.2301299E7)</f>
        <v>22301299</v>
      </c>
      <c r="B207" s="133" t="str">
        <f>IFERROR(__xludf.DUMMYFUNCTION("""COMPUTED_VALUE"""),"Md.Muztaba Rafid")</f>
        <v>Md.Muztaba Rafid</v>
      </c>
      <c r="C207" s="134" t="str">
        <f>IFERROR(__xludf.DUMMYFUNCTION("""COMPUTED_VALUE"""),"General Member")</f>
        <v>General Member</v>
      </c>
      <c r="D207" s="134" t="str">
        <f>IFERROR(__xludf.DUMMYFUNCTION("""COMPUTED_VALUE"""),"md.muztaba.rafid@g.bracu.ac.bd")</f>
        <v>md.muztaba.rafid@g.bracu.ac.bd</v>
      </c>
      <c r="E207" s="105"/>
    </row>
    <row r="208" ht="22.5" customHeight="1">
      <c r="A208" s="133">
        <f>IFERROR(__xludf.DUMMYFUNCTION("""COMPUTED_VALUE"""),2.2301298E7)</f>
        <v>22301298</v>
      </c>
      <c r="B208" s="133" t="str">
        <f>IFERROR(__xludf.DUMMYFUNCTION("""COMPUTED_VALUE"""),"Sajid Muhammod")</f>
        <v>Sajid Muhammod</v>
      </c>
      <c r="C208" s="134" t="str">
        <f>IFERROR(__xludf.DUMMYFUNCTION("""COMPUTED_VALUE"""),"General Member")</f>
        <v>General Member</v>
      </c>
      <c r="D208" s="134" t="str">
        <f>IFERROR(__xludf.DUMMYFUNCTION("""COMPUTED_VALUE"""),"Sajid.muhammod@g.bracu.ac.bd")</f>
        <v>Sajid.muhammod@g.bracu.ac.bd</v>
      </c>
      <c r="E208" s="105"/>
    </row>
    <row r="209" ht="22.5" customHeight="1">
      <c r="A209" s="133">
        <f>IFERROR(__xludf.DUMMYFUNCTION("""COMPUTED_VALUE"""),2.2301274E7)</f>
        <v>22301274</v>
      </c>
      <c r="B209" s="133" t="str">
        <f>IFERROR(__xludf.DUMMYFUNCTION("""COMPUTED_VALUE"""),"Ahmed Abdus Sayem")</f>
        <v>Ahmed Abdus Sayem</v>
      </c>
      <c r="C209" s="134" t="str">
        <f>IFERROR(__xludf.DUMMYFUNCTION("""COMPUTED_VALUE"""),"General Member")</f>
        <v>General Member</v>
      </c>
      <c r="D209" s="134" t="str">
        <f>IFERROR(__xludf.DUMMYFUNCTION("""COMPUTED_VALUE"""),"ahamed.abdus.sayem@g.bracu.ac.bd")</f>
        <v>ahamed.abdus.sayem@g.bracu.ac.bd</v>
      </c>
      <c r="E209" s="105"/>
    </row>
    <row r="210" ht="22.5" customHeight="1">
      <c r="A210" s="133">
        <f>IFERROR(__xludf.DUMMYFUNCTION("""COMPUTED_VALUE"""),2.2301264E7)</f>
        <v>22301264</v>
      </c>
      <c r="B210" s="133" t="str">
        <f>IFERROR(__xludf.DUMMYFUNCTION("""COMPUTED_VALUE"""),"Hridoy Islam")</f>
        <v>Hridoy Islam</v>
      </c>
      <c r="C210" s="134" t="str">
        <f>IFERROR(__xludf.DUMMYFUNCTION("""COMPUTED_VALUE"""),"General Member")</f>
        <v>General Member</v>
      </c>
      <c r="D210" s="134" t="str">
        <f>IFERROR(__xludf.DUMMYFUNCTION("""COMPUTED_VALUE"""),"hridoy.islam@g.bracu.ac.bd")</f>
        <v>hridoy.islam@g.bracu.ac.bd</v>
      </c>
      <c r="E210" s="105"/>
    </row>
    <row r="211" ht="22.5" customHeight="1">
      <c r="A211" s="133">
        <f>IFERROR(__xludf.DUMMYFUNCTION("""COMPUTED_VALUE"""),2.2301258E7)</f>
        <v>22301258</v>
      </c>
      <c r="B211" s="133" t="str">
        <f>IFERROR(__xludf.DUMMYFUNCTION("""COMPUTED_VALUE"""),"Mustavi Hassan")</f>
        <v>Mustavi Hassan</v>
      </c>
      <c r="C211" s="134" t="str">
        <f>IFERROR(__xludf.DUMMYFUNCTION("""COMPUTED_VALUE"""),"General Member")</f>
        <v>General Member</v>
      </c>
      <c r="D211" s="134" t="str">
        <f>IFERROR(__xludf.DUMMYFUNCTION("""COMPUTED_VALUE"""),"mustavi.hassan@g.bracu.ac.bd")</f>
        <v>mustavi.hassan@g.bracu.ac.bd</v>
      </c>
      <c r="E211" s="105"/>
    </row>
    <row r="212" ht="22.5" customHeight="1">
      <c r="A212" s="133">
        <f>IFERROR(__xludf.DUMMYFUNCTION("""COMPUTED_VALUE"""),2.2301243E7)</f>
        <v>22301243</v>
      </c>
      <c r="B212" s="133" t="str">
        <f>IFERROR(__xludf.DUMMYFUNCTION("""COMPUTED_VALUE"""),"Md. Sameer Sakib")</f>
        <v>Md. Sameer Sakib</v>
      </c>
      <c r="C212" s="134" t="str">
        <f>IFERROR(__xludf.DUMMYFUNCTION("""COMPUTED_VALUE"""),"General Member")</f>
        <v>General Member</v>
      </c>
      <c r="D212" s="134" t="str">
        <f>IFERROR(__xludf.DUMMYFUNCTION("""COMPUTED_VALUE"""),"md.sameer.sakib@g.bracu.ac.bd")</f>
        <v>md.sameer.sakib@g.bracu.ac.bd</v>
      </c>
      <c r="E212" s="105"/>
    </row>
    <row r="213" ht="22.5" customHeight="1">
      <c r="A213" s="133">
        <f>IFERROR(__xludf.DUMMYFUNCTION("""COMPUTED_VALUE"""),2.2301239E7)</f>
        <v>22301239</v>
      </c>
      <c r="B213" s="133" t="str">
        <f>IFERROR(__xludf.DUMMYFUNCTION("""COMPUTED_VALUE"""),"Zonaed Ahmed")</f>
        <v>Zonaed Ahmed</v>
      </c>
      <c r="C213" s="134" t="str">
        <f>IFERROR(__xludf.DUMMYFUNCTION("""COMPUTED_VALUE"""),"General Member")</f>
        <v>General Member</v>
      </c>
      <c r="D213" s="134" t="str">
        <f>IFERROR(__xludf.DUMMYFUNCTION("""COMPUTED_VALUE"""),"zonaed.ahmed@g.bracu.ac.bd")</f>
        <v>zonaed.ahmed@g.bracu.ac.bd</v>
      </c>
      <c r="E213" s="105"/>
    </row>
    <row r="214" ht="22.5" customHeight="1">
      <c r="A214" s="133">
        <f>IFERROR(__xludf.DUMMYFUNCTION("""COMPUTED_VALUE"""),2.2301219E7)</f>
        <v>22301219</v>
      </c>
      <c r="B214" s="133" t="str">
        <f>IFERROR(__xludf.DUMMYFUNCTION("""COMPUTED_VALUE"""),"Razin Sufian")</f>
        <v>Razin Sufian</v>
      </c>
      <c r="C214" s="134" t="str">
        <f>IFERROR(__xludf.DUMMYFUNCTION("""COMPUTED_VALUE"""),"General Member")</f>
        <v>General Member</v>
      </c>
      <c r="D214" s="134" t="str">
        <f>IFERROR(__xludf.DUMMYFUNCTION("""COMPUTED_VALUE"""),"razin.sufian@g.bracu.ac.bd")</f>
        <v>razin.sufian@g.bracu.ac.bd</v>
      </c>
      <c r="E214" s="105"/>
    </row>
    <row r="215" ht="22.5" customHeight="1">
      <c r="A215" s="133">
        <f>IFERROR(__xludf.DUMMYFUNCTION("""COMPUTED_VALUE"""),2.2301186E7)</f>
        <v>22301186</v>
      </c>
      <c r="B215" s="133" t="str">
        <f>IFERROR(__xludf.DUMMYFUNCTION("""COMPUTED_VALUE"""),"Shami Islam Khan")</f>
        <v>Shami Islam Khan</v>
      </c>
      <c r="C215" s="134" t="str">
        <f>IFERROR(__xludf.DUMMYFUNCTION("""COMPUTED_VALUE"""),"General Member")</f>
        <v>General Member</v>
      </c>
      <c r="D215" s="134" t="str">
        <f>IFERROR(__xludf.DUMMYFUNCTION("""COMPUTED_VALUE"""),"shami.islam.khan@g.bracu.ac.bd")</f>
        <v>shami.islam.khan@g.bracu.ac.bd</v>
      </c>
      <c r="E215" s="105"/>
    </row>
    <row r="216" ht="22.5" customHeight="1">
      <c r="A216" s="133">
        <f>IFERROR(__xludf.DUMMYFUNCTION("""COMPUTED_VALUE"""),2.2301119E7)</f>
        <v>22301119</v>
      </c>
      <c r="B216" s="133" t="str">
        <f>IFERROR(__xludf.DUMMYFUNCTION("""COMPUTED_VALUE"""),"Md Imdadul Islam")</f>
        <v>Md Imdadul Islam</v>
      </c>
      <c r="C216" s="134" t="str">
        <f>IFERROR(__xludf.DUMMYFUNCTION("""COMPUTED_VALUE"""),"General Member")</f>
        <v>General Member</v>
      </c>
      <c r="D216" s="134" t="str">
        <f>IFERROR(__xludf.DUMMYFUNCTION("""COMPUTED_VALUE"""),"md.imdadul.islam@g.bracu.ac.bd")</f>
        <v>md.imdadul.islam@g.bracu.ac.bd</v>
      </c>
      <c r="E216" s="105"/>
    </row>
    <row r="217" ht="22.5" customHeight="1">
      <c r="A217" s="133">
        <f>IFERROR(__xludf.DUMMYFUNCTION("""COMPUTED_VALUE"""),2.2301052E7)</f>
        <v>22301052</v>
      </c>
      <c r="B217" s="133" t="str">
        <f>IFERROR(__xludf.DUMMYFUNCTION("""COMPUTED_VALUE"""),"Raisul Islam")</f>
        <v>Raisul Islam</v>
      </c>
      <c r="C217" s="134" t="str">
        <f>IFERROR(__xludf.DUMMYFUNCTION("""COMPUTED_VALUE"""),"General Member")</f>
        <v>General Member</v>
      </c>
      <c r="D217" s="134" t="str">
        <f>IFERROR(__xludf.DUMMYFUNCTION("""COMPUTED_VALUE"""),"raisul.islam.mahi@g.bracu.ac.bd")</f>
        <v>raisul.islam.mahi@g.bracu.ac.bd</v>
      </c>
      <c r="E217" s="105"/>
    </row>
    <row r="218" ht="22.5" customHeight="1">
      <c r="A218" s="133">
        <f>IFERROR(__xludf.DUMMYFUNCTION("""COMPUTED_VALUE"""),2.2301049E7)</f>
        <v>22301049</v>
      </c>
      <c r="B218" s="133" t="str">
        <f>IFERROR(__xludf.DUMMYFUNCTION("""COMPUTED_VALUE"""),"Tapu Mohammad Fahad")</f>
        <v>Tapu Mohammad Fahad</v>
      </c>
      <c r="C218" s="134" t="str">
        <f>IFERROR(__xludf.DUMMYFUNCTION("""COMPUTED_VALUE"""),"General Member")</f>
        <v>General Member</v>
      </c>
      <c r="D218" s="134" t="str">
        <f>IFERROR(__xludf.DUMMYFUNCTION("""COMPUTED_VALUE"""),"tapu.mohammad.fahad@g.bracu.ac.bd")</f>
        <v>tapu.mohammad.fahad@g.bracu.ac.bd</v>
      </c>
      <c r="E218" s="105"/>
    </row>
    <row r="219" ht="22.5" customHeight="1">
      <c r="A219" s="133">
        <f>IFERROR(__xludf.DUMMYFUNCTION("""COMPUTED_VALUE"""),2.2301045E7)</f>
        <v>22301045</v>
      </c>
      <c r="B219" s="133" t="str">
        <f>IFERROR(__xludf.DUMMYFUNCTION("""COMPUTED_VALUE"""),"Abu Huzaifa")</f>
        <v>Abu Huzaifa</v>
      </c>
      <c r="C219" s="134" t="str">
        <f>IFERROR(__xludf.DUMMYFUNCTION("""COMPUTED_VALUE"""),"General Member")</f>
        <v>General Member</v>
      </c>
      <c r="D219" s="134" t="str">
        <f>IFERROR(__xludf.DUMMYFUNCTION("""COMPUTED_VALUE"""),"abu.huzaifa@g.bracu.ac.bd")</f>
        <v>abu.huzaifa@g.bracu.ac.bd</v>
      </c>
      <c r="E219" s="105"/>
    </row>
    <row r="220" ht="22.5" customHeight="1">
      <c r="A220" s="133">
        <f>IFERROR(__xludf.DUMMYFUNCTION("""COMPUTED_VALUE"""),2.230104E7)</f>
        <v>22301040</v>
      </c>
      <c r="B220" s="133" t="str">
        <f>IFERROR(__xludf.DUMMYFUNCTION("""COMPUTED_VALUE"""),"Istiak Al Imran")</f>
        <v>Istiak Al Imran</v>
      </c>
      <c r="C220" s="134" t="str">
        <f>IFERROR(__xludf.DUMMYFUNCTION("""COMPUTED_VALUE"""),"General Member")</f>
        <v>General Member</v>
      </c>
      <c r="D220" s="134" t="str">
        <f>IFERROR(__xludf.DUMMYFUNCTION("""COMPUTED_VALUE"""),"istiak.al.imran@g.bracu.ac.bd")</f>
        <v>istiak.al.imran@g.bracu.ac.bd</v>
      </c>
      <c r="E220" s="105"/>
    </row>
    <row r="221" ht="22.5" customHeight="1">
      <c r="A221" s="133">
        <f>IFERROR(__xludf.DUMMYFUNCTION("""COMPUTED_VALUE"""),2.2301017E7)</f>
        <v>22301017</v>
      </c>
      <c r="B221" s="133" t="str">
        <f>IFERROR(__xludf.DUMMYFUNCTION("""COMPUTED_VALUE"""),"Fariya Nahar")</f>
        <v>Fariya Nahar</v>
      </c>
      <c r="C221" s="134" t="str">
        <f>IFERROR(__xludf.DUMMYFUNCTION("""COMPUTED_VALUE"""),"General Member")</f>
        <v>General Member</v>
      </c>
      <c r="D221" s="134" t="str">
        <f>IFERROR(__xludf.DUMMYFUNCTION("""COMPUTED_VALUE"""),"fariya.nahar.riya@g.bracu.ac.bd")</f>
        <v>fariya.nahar.riya@g.bracu.ac.bd</v>
      </c>
      <c r="E221" s="105"/>
    </row>
    <row r="222" ht="22.5" customHeight="1">
      <c r="A222" s="133">
        <f>IFERROR(__xludf.DUMMYFUNCTION("""COMPUTED_VALUE"""),2.2301015E7)</f>
        <v>22301015</v>
      </c>
      <c r="B222" s="133" t="str">
        <f>IFERROR(__xludf.DUMMYFUNCTION("""COMPUTED_VALUE"""),"Nafesa Tanzeem Mrettika")</f>
        <v>Nafesa Tanzeem Mrettika</v>
      </c>
      <c r="C222" s="134" t="str">
        <f>IFERROR(__xludf.DUMMYFUNCTION("""COMPUTED_VALUE"""),"General Member")</f>
        <v>General Member</v>
      </c>
      <c r="D222" s="134" t="str">
        <f>IFERROR(__xludf.DUMMYFUNCTION("""COMPUTED_VALUE"""),"nafesa.tanzem.mrettika@g.bracu.ac.bd")</f>
        <v>nafesa.tanzem.mrettika@g.bracu.ac.bd</v>
      </c>
      <c r="E222" s="105"/>
    </row>
    <row r="223" ht="22.5" customHeight="1">
      <c r="A223" s="133">
        <f>IFERROR(__xludf.DUMMYFUNCTION("""COMPUTED_VALUE"""),2.2299539E7)</f>
        <v>22299539</v>
      </c>
      <c r="B223" s="133" t="str">
        <f>IFERROR(__xludf.DUMMYFUNCTION("""COMPUTED_VALUE"""),"Humayera Tabassum Tunan")</f>
        <v>Humayera Tabassum Tunan</v>
      </c>
      <c r="C223" s="134" t="str">
        <f>IFERROR(__xludf.DUMMYFUNCTION("""COMPUTED_VALUE"""),"General Member")</f>
        <v>General Member</v>
      </c>
      <c r="D223" s="134" t="str">
        <f>IFERROR(__xludf.DUMMYFUNCTION("""COMPUTED_VALUE"""),"humayera.tabassum.tunan@g.bracu.ac.bd")</f>
        <v>humayera.tabassum.tunan@g.bracu.ac.bd</v>
      </c>
      <c r="E223" s="105"/>
    </row>
    <row r="224" ht="22.5" customHeight="1">
      <c r="A224" s="133">
        <f>IFERROR(__xludf.DUMMYFUNCTION("""COMPUTED_VALUE"""),2.2299507E7)</f>
        <v>22299507</v>
      </c>
      <c r="B224" s="133" t="str">
        <f>IFERROR(__xludf.DUMMYFUNCTION("""COMPUTED_VALUE"""),"Miad Ahmed")</f>
        <v>Miad Ahmed</v>
      </c>
      <c r="C224" s="134" t="str">
        <f>IFERROR(__xludf.DUMMYFUNCTION("""COMPUTED_VALUE"""),"General Member")</f>
        <v>General Member</v>
      </c>
      <c r="D224" s="134" t="str">
        <f>IFERROR(__xludf.DUMMYFUNCTION("""COMPUTED_VALUE"""),"miad.ahmed@g.bracu.ac.bd")</f>
        <v>miad.ahmed@g.bracu.ac.bd</v>
      </c>
      <c r="E224" s="105"/>
    </row>
    <row r="225" ht="22.5" customHeight="1">
      <c r="A225" s="133">
        <f>IFERROR(__xludf.DUMMYFUNCTION("""COMPUTED_VALUE"""),2.2299504E7)</f>
        <v>22299504</v>
      </c>
      <c r="B225" s="133" t="str">
        <f>IFERROR(__xludf.DUMMYFUNCTION("""COMPUTED_VALUE"""),"Hazrat Mishkat")</f>
        <v>Hazrat Mishkat</v>
      </c>
      <c r="C225" s="134" t="str">
        <f>IFERROR(__xludf.DUMMYFUNCTION("""COMPUTED_VALUE"""),"General Member")</f>
        <v>General Member</v>
      </c>
      <c r="D225" s="134" t="str">
        <f>IFERROR(__xludf.DUMMYFUNCTION("""COMPUTED_VALUE"""),"hazrat.mishkat@g.bracu.ac.bd")</f>
        <v>hazrat.mishkat@g.bracu.ac.bd</v>
      </c>
      <c r="E225" s="105"/>
    </row>
    <row r="226" ht="22.5" customHeight="1">
      <c r="A226" s="133">
        <f>IFERROR(__xludf.DUMMYFUNCTION("""COMPUTED_VALUE"""),2.2299453E7)</f>
        <v>22299453</v>
      </c>
      <c r="B226" s="133" t="str">
        <f>IFERROR(__xludf.DUMMYFUNCTION("""COMPUTED_VALUE"""),"Mhutasim Bellah Mahir")</f>
        <v>Mhutasim Bellah Mahir</v>
      </c>
      <c r="C226" s="134" t="str">
        <f>IFERROR(__xludf.DUMMYFUNCTION("""COMPUTED_VALUE"""),"General Member")</f>
        <v>General Member</v>
      </c>
      <c r="D226" s="134" t="str">
        <f>IFERROR(__xludf.DUMMYFUNCTION("""COMPUTED_VALUE"""),"mhutasim.bellah.mahir@g.bracu.ac.bd")</f>
        <v>mhutasim.bellah.mahir@g.bracu.ac.bd</v>
      </c>
      <c r="E226" s="105"/>
    </row>
    <row r="227" ht="22.5" customHeight="1">
      <c r="A227" s="133">
        <f>IFERROR(__xludf.DUMMYFUNCTION("""COMPUTED_VALUE"""),2.2299433E7)</f>
        <v>22299433</v>
      </c>
      <c r="B227" s="133" t="str">
        <f>IFERROR(__xludf.DUMMYFUNCTION("""COMPUTED_VALUE"""),"Md Tanvir Siam")</f>
        <v>Md Tanvir Siam</v>
      </c>
      <c r="C227" s="134" t="str">
        <f>IFERROR(__xludf.DUMMYFUNCTION("""COMPUTED_VALUE"""),"General Member")</f>
        <v>General Member</v>
      </c>
      <c r="D227" s="134" t="str">
        <f>IFERROR(__xludf.DUMMYFUNCTION("""COMPUTED_VALUE"""),"md.tanvir.siam@g.bracu.ac.bd")</f>
        <v>md.tanvir.siam@g.bracu.ac.bd</v>
      </c>
      <c r="E227" s="105"/>
    </row>
    <row r="228" ht="22.5" customHeight="1">
      <c r="A228" s="133">
        <f>IFERROR(__xludf.DUMMYFUNCTION("""COMPUTED_VALUE"""),2.2299423E7)</f>
        <v>22299423</v>
      </c>
      <c r="B228" s="133" t="str">
        <f>IFERROR(__xludf.DUMMYFUNCTION("""COMPUTED_VALUE"""),"Sayed Arifin Ahmed Alak")</f>
        <v>Sayed Arifin Ahmed Alak</v>
      </c>
      <c r="C228" s="134" t="str">
        <f>IFERROR(__xludf.DUMMYFUNCTION("""COMPUTED_VALUE"""),"General Member")</f>
        <v>General Member</v>
      </c>
      <c r="D228" s="134" t="str">
        <f>IFERROR(__xludf.DUMMYFUNCTION("""COMPUTED_VALUE"""),"arifin.ahmed.alak@g.bracu.ac.bd")</f>
        <v>arifin.ahmed.alak@g.bracu.ac.bd</v>
      </c>
      <c r="E228" s="105"/>
    </row>
    <row r="229" ht="22.5" customHeight="1">
      <c r="A229" s="133">
        <f>IFERROR(__xludf.DUMMYFUNCTION("""COMPUTED_VALUE"""),2.2299402E7)</f>
        <v>22299402</v>
      </c>
      <c r="B229" s="133" t="str">
        <f>IFERROR(__xludf.DUMMYFUNCTION("""COMPUTED_VALUE"""),"Md.Imran Ali")</f>
        <v>Md.Imran Ali</v>
      </c>
      <c r="C229" s="134" t="str">
        <f>IFERROR(__xludf.DUMMYFUNCTION("""COMPUTED_VALUE"""),"General Member")</f>
        <v>General Member</v>
      </c>
      <c r="D229" s="134" t="str">
        <f>IFERROR(__xludf.DUMMYFUNCTION("""COMPUTED_VALUE"""),"md.imran.ali@g.bracu.ac.bd")</f>
        <v>md.imran.ali@g.bracu.ac.bd</v>
      </c>
      <c r="E229" s="105"/>
    </row>
    <row r="230" ht="22.5" customHeight="1">
      <c r="A230" s="133">
        <f>IFERROR(__xludf.DUMMYFUNCTION("""COMPUTED_VALUE"""),2.2299394E7)</f>
        <v>22299394</v>
      </c>
      <c r="B230" s="133" t="str">
        <f>IFERROR(__xludf.DUMMYFUNCTION("""COMPUTED_VALUE"""),"Mirza Julkawsar")</f>
        <v>Mirza Julkawsar</v>
      </c>
      <c r="C230" s="134" t="str">
        <f>IFERROR(__xludf.DUMMYFUNCTION("""COMPUTED_VALUE"""),"General Member")</f>
        <v>General Member</v>
      </c>
      <c r="D230" s="134" t="str">
        <f>IFERROR(__xludf.DUMMYFUNCTION("""COMPUTED_VALUE"""),"mirzajul.kawsar@g.bracu.ac.bd")</f>
        <v>mirzajul.kawsar@g.bracu.ac.bd</v>
      </c>
      <c r="E230" s="105"/>
    </row>
    <row r="231" ht="22.5" customHeight="1">
      <c r="A231" s="133">
        <f>IFERROR(__xludf.DUMMYFUNCTION("""COMPUTED_VALUE"""),2.2299361E7)</f>
        <v>22299361</v>
      </c>
      <c r="B231" s="133" t="str">
        <f>IFERROR(__xludf.DUMMYFUNCTION("""COMPUTED_VALUE"""),"Farhan Mahmud")</f>
        <v>Farhan Mahmud</v>
      </c>
      <c r="C231" s="134" t="str">
        <f>IFERROR(__xludf.DUMMYFUNCTION("""COMPUTED_VALUE"""),"General Member")</f>
        <v>General Member</v>
      </c>
      <c r="D231" s="134" t="str">
        <f>IFERROR(__xludf.DUMMYFUNCTION("""COMPUTED_VALUE"""),"farhan.mahmud@g.bracu.ac.bd")</f>
        <v>farhan.mahmud@g.bracu.ac.bd</v>
      </c>
      <c r="E231" s="105"/>
    </row>
    <row r="232" ht="22.5" customHeight="1">
      <c r="A232" s="133">
        <f>IFERROR(__xludf.DUMMYFUNCTION("""COMPUTED_VALUE"""),2.229936E7)</f>
        <v>22299360</v>
      </c>
      <c r="B232" s="133" t="str">
        <f>IFERROR(__xludf.DUMMYFUNCTION("""COMPUTED_VALUE"""),"Md Shahriar Saif")</f>
        <v>Md Shahriar Saif</v>
      </c>
      <c r="C232" s="134" t="str">
        <f>IFERROR(__xludf.DUMMYFUNCTION("""COMPUTED_VALUE"""),"General Member")</f>
        <v>General Member</v>
      </c>
      <c r="D232" s="134" t="str">
        <f>IFERROR(__xludf.DUMMYFUNCTION("""COMPUTED_VALUE"""),"md.shahriar.saif@g.bracu.ac.bd")</f>
        <v>md.shahriar.saif@g.bracu.ac.bd</v>
      </c>
      <c r="E232" s="105"/>
    </row>
    <row r="233" ht="22.5" customHeight="1">
      <c r="A233" s="133">
        <f>IFERROR(__xludf.DUMMYFUNCTION("""COMPUTED_VALUE"""),2.2299338E7)</f>
        <v>22299338</v>
      </c>
      <c r="B233" s="133" t="str">
        <f>IFERROR(__xludf.DUMMYFUNCTION("""COMPUTED_VALUE"""),"Al Mumit Siddiqui")</f>
        <v>Al Mumit Siddiqui</v>
      </c>
      <c r="C233" s="134" t="str">
        <f>IFERROR(__xludf.DUMMYFUNCTION("""COMPUTED_VALUE"""),"General Member")</f>
        <v>General Member</v>
      </c>
      <c r="D233" s="134" t="str">
        <f>IFERROR(__xludf.DUMMYFUNCTION("""COMPUTED_VALUE"""),"al.mumit.siddiqui@g.bracu.ac.bd")</f>
        <v>al.mumit.siddiqui@g.bracu.ac.bd</v>
      </c>
      <c r="E233" s="105"/>
    </row>
    <row r="234" ht="22.5" customHeight="1">
      <c r="A234" s="133">
        <f>IFERROR(__xludf.DUMMYFUNCTION("""COMPUTED_VALUE"""),2.2299314E7)</f>
        <v>22299314</v>
      </c>
      <c r="B234" s="133" t="str">
        <f>IFERROR(__xludf.DUMMYFUNCTION("""COMPUTED_VALUE"""),"Md. Adnan Hossain Sadi")</f>
        <v>Md. Adnan Hossain Sadi</v>
      </c>
      <c r="C234" s="134" t="str">
        <f>IFERROR(__xludf.DUMMYFUNCTION("""COMPUTED_VALUE"""),"General Member")</f>
        <v>General Member</v>
      </c>
      <c r="D234" s="134" t="str">
        <f>IFERROR(__xludf.DUMMYFUNCTION("""COMPUTED_VALUE"""),"adnan.hossain.sadi@g.bracu.ac.bd")</f>
        <v>adnan.hossain.sadi@g.bracu.ac.bd</v>
      </c>
      <c r="E234" s="105"/>
    </row>
    <row r="235" ht="22.5" customHeight="1">
      <c r="A235" s="133">
        <f>IFERROR(__xludf.DUMMYFUNCTION("""COMPUTED_VALUE"""),2.2299274E7)</f>
        <v>22299274</v>
      </c>
      <c r="B235" s="133" t="str">
        <f>IFERROR(__xludf.DUMMYFUNCTION("""COMPUTED_VALUE"""),"Mushfiq Muhim Borshon")</f>
        <v>Mushfiq Muhim Borshon</v>
      </c>
      <c r="C235" s="134" t="str">
        <f>IFERROR(__xludf.DUMMYFUNCTION("""COMPUTED_VALUE"""),"General Member")</f>
        <v>General Member</v>
      </c>
      <c r="D235" s="134" t="str">
        <f>IFERROR(__xludf.DUMMYFUNCTION("""COMPUTED_VALUE"""),"mushfique.muhim.borshon@g.bracu.ac.bd")</f>
        <v>mushfique.muhim.borshon@g.bracu.ac.bd</v>
      </c>
      <c r="E235" s="105"/>
    </row>
    <row r="236" ht="22.5" customHeight="1">
      <c r="A236" s="133">
        <f>IFERROR(__xludf.DUMMYFUNCTION("""COMPUTED_VALUE"""),2.2299269E7)</f>
        <v>22299269</v>
      </c>
      <c r="B236" s="133" t="str">
        <f>IFERROR(__xludf.DUMMYFUNCTION("""COMPUTED_VALUE"""),"Md. Shafiul Basher")</f>
        <v>Md. Shafiul Basher</v>
      </c>
      <c r="C236" s="134" t="str">
        <f>IFERROR(__xludf.DUMMYFUNCTION("""COMPUTED_VALUE"""),"General Member")</f>
        <v>General Member</v>
      </c>
      <c r="D236" s="134" t="str">
        <f>IFERROR(__xludf.DUMMYFUNCTION("""COMPUTED_VALUE"""),"md.shafiul.basher@g.bracu.ac.bd")</f>
        <v>md.shafiul.basher@g.bracu.ac.bd</v>
      </c>
      <c r="E236" s="105"/>
    </row>
    <row r="237" ht="22.5" customHeight="1">
      <c r="A237" s="133">
        <f>IFERROR(__xludf.DUMMYFUNCTION("""COMPUTED_VALUE"""),2.2299265E7)</f>
        <v>22299265</v>
      </c>
      <c r="B237" s="133" t="str">
        <f>IFERROR(__xludf.DUMMYFUNCTION("""COMPUTED_VALUE"""),"Sadman Sakib Abir")</f>
        <v>Sadman Sakib Abir</v>
      </c>
      <c r="C237" s="134" t="str">
        <f>IFERROR(__xludf.DUMMYFUNCTION("""COMPUTED_VALUE"""),"General Member")</f>
        <v>General Member</v>
      </c>
      <c r="D237" s="134" t="str">
        <f>IFERROR(__xludf.DUMMYFUNCTION("""COMPUTED_VALUE"""),"sadman.sakib.abir@g.bracu.ac.bd")</f>
        <v>sadman.sakib.abir@g.bracu.ac.bd</v>
      </c>
      <c r="E237" s="105"/>
    </row>
    <row r="238" ht="22.5" customHeight="1">
      <c r="A238" s="133">
        <f>IFERROR(__xludf.DUMMYFUNCTION("""COMPUTED_VALUE"""),2.2299244E7)</f>
        <v>22299244</v>
      </c>
      <c r="B238" s="133" t="str">
        <f>IFERROR(__xludf.DUMMYFUNCTION("""COMPUTED_VALUE"""),"Nahian Mahmud")</f>
        <v>Nahian Mahmud</v>
      </c>
      <c r="C238" s="134" t="str">
        <f>IFERROR(__xludf.DUMMYFUNCTION("""COMPUTED_VALUE"""),"General Member")</f>
        <v>General Member</v>
      </c>
      <c r="D238" s="134" t="str">
        <f>IFERROR(__xludf.DUMMYFUNCTION("""COMPUTED_VALUE"""),"nahian.mahmud@g.bracu.ac.bd")</f>
        <v>nahian.mahmud@g.bracu.ac.bd</v>
      </c>
      <c r="E238" s="105"/>
    </row>
    <row r="239" ht="22.5" customHeight="1">
      <c r="A239" s="133">
        <f>IFERROR(__xludf.DUMMYFUNCTION("""COMPUTED_VALUE"""),2.2299241E7)</f>
        <v>22299241</v>
      </c>
      <c r="B239" s="133" t="str">
        <f>IFERROR(__xludf.DUMMYFUNCTION("""COMPUTED_VALUE"""),"Tasnia Ahmed Chowdhury")</f>
        <v>Tasnia Ahmed Chowdhury</v>
      </c>
      <c r="C239" s="134" t="str">
        <f>IFERROR(__xludf.DUMMYFUNCTION("""COMPUTED_VALUE"""),"General Member")</f>
        <v>General Member</v>
      </c>
      <c r="D239" s="134" t="str">
        <f>IFERROR(__xludf.DUMMYFUNCTION("""COMPUTED_VALUE"""),"tasnia.ahmed.chowdhury@g.bracu.ac.bd")</f>
        <v>tasnia.ahmed.chowdhury@g.bracu.ac.bd</v>
      </c>
      <c r="E239" s="105"/>
    </row>
    <row r="240" ht="22.5" customHeight="1">
      <c r="A240" s="133">
        <f>IFERROR(__xludf.DUMMYFUNCTION("""COMPUTED_VALUE"""),2.2299227E7)</f>
        <v>22299227</v>
      </c>
      <c r="B240" s="133" t="str">
        <f>IFERROR(__xludf.DUMMYFUNCTION("""COMPUTED_VALUE"""),"Avrow Jothi Bose")</f>
        <v>Avrow Jothi Bose</v>
      </c>
      <c r="C240" s="134" t="str">
        <f>IFERROR(__xludf.DUMMYFUNCTION("""COMPUTED_VALUE"""),"General Member")</f>
        <v>General Member</v>
      </c>
      <c r="D240" s="134" t="str">
        <f>IFERROR(__xludf.DUMMYFUNCTION("""COMPUTED_VALUE"""),"avrow.jothi.bose@g.bracu.ac.bd")</f>
        <v>avrow.jothi.bose@g.bracu.ac.bd</v>
      </c>
      <c r="E240" s="105"/>
    </row>
    <row r="241" ht="22.5" customHeight="1">
      <c r="A241" s="133">
        <f>IFERROR(__xludf.DUMMYFUNCTION("""COMPUTED_VALUE"""),2.2299205E7)</f>
        <v>22299205</v>
      </c>
      <c r="B241" s="133" t="str">
        <f>IFERROR(__xludf.DUMMYFUNCTION("""COMPUTED_VALUE"""),"Nusrat Jahan Barsha")</f>
        <v>Nusrat Jahan Barsha</v>
      </c>
      <c r="C241" s="134" t="str">
        <f>IFERROR(__xludf.DUMMYFUNCTION("""COMPUTED_VALUE"""),"General Member")</f>
        <v>General Member</v>
      </c>
      <c r="D241" s="134" t="str">
        <f>IFERROR(__xludf.DUMMYFUNCTION("""COMPUTED_VALUE"""),"nusrat.jahan.barsha@g.bracu.ac.bd")</f>
        <v>nusrat.jahan.barsha@g.bracu.ac.bd</v>
      </c>
      <c r="E241" s="105"/>
    </row>
    <row r="242" ht="22.5" customHeight="1">
      <c r="A242" s="133">
        <f>IFERROR(__xludf.DUMMYFUNCTION("""COMPUTED_VALUE"""),2.229911E7)</f>
        <v>22299110</v>
      </c>
      <c r="B242" s="133" t="str">
        <f>IFERROR(__xludf.DUMMYFUNCTION("""COMPUTED_VALUE"""),"Mamun Ahmmed")</f>
        <v>Mamun Ahmmed</v>
      </c>
      <c r="C242" s="134" t="str">
        <f>IFERROR(__xludf.DUMMYFUNCTION("""COMPUTED_VALUE"""),"General Member")</f>
        <v>General Member</v>
      </c>
      <c r="D242" s="134" t="str">
        <f>IFERROR(__xludf.DUMMYFUNCTION("""COMPUTED_VALUE"""),"mamun.ahmmed@g.bracu.ac.bd")</f>
        <v>mamun.ahmmed@g.bracu.ac.bd</v>
      </c>
      <c r="E242" s="105"/>
    </row>
    <row r="243" ht="22.5" customHeight="1">
      <c r="A243" s="133">
        <f>IFERROR(__xludf.DUMMYFUNCTION("""COMPUTED_VALUE"""),2.2299097E7)</f>
        <v>22299097</v>
      </c>
      <c r="B243" s="133" t="str">
        <f>IFERROR(__xludf.DUMMYFUNCTION("""COMPUTED_VALUE"""),"Sheikh Waliur Rahman")</f>
        <v>Sheikh Waliur Rahman</v>
      </c>
      <c r="C243" s="134" t="str">
        <f>IFERROR(__xludf.DUMMYFUNCTION("""COMPUTED_VALUE"""),"General Member")</f>
        <v>General Member</v>
      </c>
      <c r="D243" s="134" t="str">
        <f>IFERROR(__xludf.DUMMYFUNCTION("""COMPUTED_VALUE"""),"sheikh.waliur.rahman@g.bracu.ac.bd")</f>
        <v>sheikh.waliur.rahman@g.bracu.ac.bd</v>
      </c>
      <c r="E243" s="105"/>
    </row>
    <row r="244" ht="22.5" customHeight="1">
      <c r="A244" s="133">
        <f>IFERROR(__xludf.DUMMYFUNCTION("""COMPUTED_VALUE"""),2.2299064E7)</f>
        <v>22299064</v>
      </c>
      <c r="B244" s="133" t="str">
        <f>IFERROR(__xludf.DUMMYFUNCTION("""COMPUTED_VALUE"""),"Lamia Rouf")</f>
        <v>Lamia Rouf</v>
      </c>
      <c r="C244" s="134" t="str">
        <f>IFERROR(__xludf.DUMMYFUNCTION("""COMPUTED_VALUE"""),"General Member")</f>
        <v>General Member</v>
      </c>
      <c r="D244" s="134" t="str">
        <f>IFERROR(__xludf.DUMMYFUNCTION("""COMPUTED_VALUE"""),"lamia.rouf@g.bracu.ac.bd")</f>
        <v>lamia.rouf@g.bracu.ac.bd</v>
      </c>
      <c r="E244" s="105"/>
    </row>
    <row r="245" ht="22.5" customHeight="1">
      <c r="A245" s="133">
        <f>IFERROR(__xludf.DUMMYFUNCTION("""COMPUTED_VALUE"""),2.2299009E7)</f>
        <v>22299009</v>
      </c>
      <c r="B245" s="133" t="str">
        <f>IFERROR(__xludf.DUMMYFUNCTION("""COMPUTED_VALUE"""),"Ashikur Rahman")</f>
        <v>Ashikur Rahman</v>
      </c>
      <c r="C245" s="134" t="str">
        <f>IFERROR(__xludf.DUMMYFUNCTION("""COMPUTED_VALUE"""),"General Member")</f>
        <v>General Member</v>
      </c>
      <c r="D245" s="134" t="str">
        <f>IFERROR(__xludf.DUMMYFUNCTION("""COMPUTED_VALUE"""),"ashikur.rahman5@g.bracu.ac.bd")</f>
        <v>ashikur.rahman5@g.bracu.ac.bd</v>
      </c>
      <c r="E245" s="105"/>
    </row>
    <row r="246" ht="22.5" customHeight="1">
      <c r="A246" s="133">
        <f>IFERROR(__xludf.DUMMYFUNCTION("""COMPUTED_VALUE"""),2.224111E7)</f>
        <v>22241110</v>
      </c>
      <c r="B246" s="133" t="str">
        <f>IFERROR(__xludf.DUMMYFUNCTION("""COMPUTED_VALUE"""),"Abdullah Al Anas Himel")</f>
        <v>Abdullah Al Anas Himel</v>
      </c>
      <c r="C246" s="134" t="str">
        <f>IFERROR(__xludf.DUMMYFUNCTION("""COMPUTED_VALUE"""),"General Member")</f>
        <v>General Member</v>
      </c>
      <c r="D246" s="134" t="str">
        <f>IFERROR(__xludf.DUMMYFUNCTION("""COMPUTED_VALUE"""),"abdullah.alanas.himel@g.bracu.ac.bd")</f>
        <v>abdullah.alanas.himel@g.bracu.ac.bd</v>
      </c>
      <c r="E246" s="105"/>
    </row>
    <row r="247" ht="22.5" customHeight="1">
      <c r="A247" s="133">
        <f>IFERROR(__xludf.DUMMYFUNCTION("""COMPUTED_VALUE"""),2.2241105E7)</f>
        <v>22241105</v>
      </c>
      <c r="B247" s="133" t="str">
        <f>IFERROR(__xludf.DUMMYFUNCTION("""COMPUTED_VALUE"""),"Md. Musfiqur Rahman Sohan")</f>
        <v>Md. Musfiqur Rahman Sohan</v>
      </c>
      <c r="C247" s="134" t="str">
        <f>IFERROR(__xludf.DUMMYFUNCTION("""COMPUTED_VALUE"""),"General Member")</f>
        <v>General Member</v>
      </c>
      <c r="D247" s="134" t="str">
        <f>IFERROR(__xludf.DUMMYFUNCTION("""COMPUTED_VALUE"""),"musfiqur.rahman.sohan@g.bracu.ac.bd")</f>
        <v>musfiqur.rahman.sohan@g.bracu.ac.bd</v>
      </c>
      <c r="E247" s="105"/>
    </row>
    <row r="248" ht="22.5" customHeight="1">
      <c r="A248" s="133">
        <f>IFERROR(__xludf.DUMMYFUNCTION("""COMPUTED_VALUE"""),2.2241061E7)</f>
        <v>22241061</v>
      </c>
      <c r="B248" s="133" t="str">
        <f>IFERROR(__xludf.DUMMYFUNCTION("""COMPUTED_VALUE"""),"Nawaz Uddin Tamim")</f>
        <v>Nawaz Uddin Tamim</v>
      </c>
      <c r="C248" s="134" t="str">
        <f>IFERROR(__xludf.DUMMYFUNCTION("""COMPUTED_VALUE"""),"General Member")</f>
        <v>General Member</v>
      </c>
      <c r="D248" s="134" t="str">
        <f>IFERROR(__xludf.DUMMYFUNCTION("""COMPUTED_VALUE"""),"nawaz.uddin.tamim@g.bracu.ac.bd")</f>
        <v>nawaz.uddin.tamim@g.bracu.ac.bd</v>
      </c>
      <c r="E248" s="105"/>
    </row>
    <row r="249" ht="22.5" customHeight="1">
      <c r="A249" s="133">
        <f>IFERROR(__xludf.DUMMYFUNCTION("""COMPUTED_VALUE"""),2.2241052E7)</f>
        <v>22241052</v>
      </c>
      <c r="B249" s="133" t="str">
        <f>IFERROR(__xludf.DUMMYFUNCTION("""COMPUTED_VALUE"""),"Rafi Ahamed")</f>
        <v>Rafi Ahamed</v>
      </c>
      <c r="C249" s="134" t="str">
        <f>IFERROR(__xludf.DUMMYFUNCTION("""COMPUTED_VALUE"""),"General Member")</f>
        <v>General Member</v>
      </c>
      <c r="D249" s="134" t="str">
        <f>IFERROR(__xludf.DUMMYFUNCTION("""COMPUTED_VALUE"""),"rafi.ahamed1@g.bracu.ac.bd")</f>
        <v>rafi.ahamed1@g.bracu.ac.bd</v>
      </c>
      <c r="E249" s="105"/>
    </row>
    <row r="250" ht="22.5" customHeight="1">
      <c r="A250" s="133">
        <f>IFERROR(__xludf.DUMMYFUNCTION("""COMPUTED_VALUE"""),2.2241025E7)</f>
        <v>22241025</v>
      </c>
      <c r="B250" s="133" t="str">
        <f>IFERROR(__xludf.DUMMYFUNCTION("""COMPUTED_VALUE"""),"Umme Hani Mir Upoma")</f>
        <v>Umme Hani Mir Upoma</v>
      </c>
      <c r="C250" s="134" t="str">
        <f>IFERROR(__xludf.DUMMYFUNCTION("""COMPUTED_VALUE"""),"General Member")</f>
        <v>General Member</v>
      </c>
      <c r="D250" s="134" t="str">
        <f>IFERROR(__xludf.DUMMYFUNCTION("""COMPUTED_VALUE"""),"ummehani.mir.upoma@g.bracu.ac.bd")</f>
        <v>ummehani.mir.upoma@g.bracu.ac.bd</v>
      </c>
      <c r="E250" s="105"/>
    </row>
    <row r="251" ht="22.5" customHeight="1">
      <c r="A251" s="133">
        <f>IFERROR(__xludf.DUMMYFUNCTION("""COMPUTED_VALUE"""),2.2241016E7)</f>
        <v>22241016</v>
      </c>
      <c r="B251" s="133" t="str">
        <f>IFERROR(__xludf.DUMMYFUNCTION("""COMPUTED_VALUE"""),"Imteshar Ahmed")</f>
        <v>Imteshar Ahmed</v>
      </c>
      <c r="C251" s="134" t="str">
        <f>IFERROR(__xludf.DUMMYFUNCTION("""COMPUTED_VALUE"""),"General Member")</f>
        <v>General Member</v>
      </c>
      <c r="D251" s="134" t="str">
        <f>IFERROR(__xludf.DUMMYFUNCTION("""COMPUTED_VALUE"""),"imteshar.ahmed@g.bracu.ac.bd")</f>
        <v>imteshar.ahmed@g.bracu.ac.bd</v>
      </c>
      <c r="E251" s="105"/>
    </row>
    <row r="252" ht="22.5" customHeight="1">
      <c r="A252" s="133">
        <f>IFERROR(__xludf.DUMMYFUNCTION("""COMPUTED_VALUE"""),2.2226082E7)</f>
        <v>22226082</v>
      </c>
      <c r="B252" s="133" t="str">
        <f>IFERROR(__xludf.DUMMYFUNCTION("""COMPUTED_VALUE"""),"Maymuna Fairuj Bushra")</f>
        <v>Maymuna Fairuj Bushra</v>
      </c>
      <c r="C252" s="134" t="str">
        <f>IFERROR(__xludf.DUMMYFUNCTION("""COMPUTED_VALUE"""),"General Member")</f>
        <v>General Member</v>
      </c>
      <c r="D252" s="134" t="str">
        <f>IFERROR(__xludf.DUMMYFUNCTION("""COMPUTED_VALUE"""),"maymuna.fairuj.bushra@g.bracu.ac.bd")</f>
        <v>maymuna.fairuj.bushra@g.bracu.ac.bd</v>
      </c>
      <c r="E252" s="105"/>
    </row>
    <row r="253" ht="22.5" customHeight="1">
      <c r="A253" s="133">
        <f>IFERROR(__xludf.DUMMYFUNCTION("""COMPUTED_VALUE"""),2.2221159E7)</f>
        <v>22221159</v>
      </c>
      <c r="B253" s="133" t="str">
        <f>IFERROR(__xludf.DUMMYFUNCTION("""COMPUTED_VALUE"""),"Shoaib Ahamed")</f>
        <v>Shoaib Ahamed</v>
      </c>
      <c r="C253" s="134" t="str">
        <f>IFERROR(__xludf.DUMMYFUNCTION("""COMPUTED_VALUE"""),"General Member")</f>
        <v>General Member</v>
      </c>
      <c r="D253" s="134" t="str">
        <f>IFERROR(__xludf.DUMMYFUNCTION("""COMPUTED_VALUE"""),"shoaib.ahamed@g.bracu.ac.bd")</f>
        <v>shoaib.ahamed@g.bracu.ac.bd</v>
      </c>
      <c r="E253" s="105"/>
    </row>
    <row r="254" ht="22.5" customHeight="1">
      <c r="A254" s="133">
        <f>IFERROR(__xludf.DUMMYFUNCTION("""COMPUTED_VALUE"""),2.2201911E7)</f>
        <v>22201911</v>
      </c>
      <c r="B254" s="133" t="str">
        <f>IFERROR(__xludf.DUMMYFUNCTION("""COMPUTED_VALUE"""),"Tohidur Rahman Mujahid")</f>
        <v>Tohidur Rahman Mujahid</v>
      </c>
      <c r="C254" s="134" t="str">
        <f>IFERROR(__xludf.DUMMYFUNCTION("""COMPUTED_VALUE"""),"General Member")</f>
        <v>General Member</v>
      </c>
      <c r="D254" s="134" t="str">
        <f>IFERROR(__xludf.DUMMYFUNCTION("""COMPUTED_VALUE"""),"tohidur.rahman.mujahid@g.bracu.ac.bd")</f>
        <v>tohidur.rahman.mujahid@g.bracu.ac.bd</v>
      </c>
      <c r="E254" s="105"/>
    </row>
    <row r="255" ht="22.5" customHeight="1">
      <c r="A255" s="133">
        <f>IFERROR(__xludf.DUMMYFUNCTION("""COMPUTED_VALUE"""),2.2201891E7)</f>
        <v>22201891</v>
      </c>
      <c r="B255" s="133" t="str">
        <f>IFERROR(__xludf.DUMMYFUNCTION("""COMPUTED_VALUE"""),"Sadib Jaman")</f>
        <v>Sadib Jaman</v>
      </c>
      <c r="C255" s="134" t="str">
        <f>IFERROR(__xludf.DUMMYFUNCTION("""COMPUTED_VALUE"""),"General Member")</f>
        <v>General Member</v>
      </c>
      <c r="D255" s="134" t="str">
        <f>IFERROR(__xludf.DUMMYFUNCTION("""COMPUTED_VALUE"""),"sadib.jaman@g.bracu.ac.bd")</f>
        <v>sadib.jaman@g.bracu.ac.bd</v>
      </c>
      <c r="E255" s="105"/>
    </row>
    <row r="256" ht="22.5" customHeight="1">
      <c r="A256" s="133">
        <f>IFERROR(__xludf.DUMMYFUNCTION("""COMPUTED_VALUE"""),2.2201861E7)</f>
        <v>22201861</v>
      </c>
      <c r="B256" s="133" t="str">
        <f>IFERROR(__xludf.DUMMYFUNCTION("""COMPUTED_VALUE"""),"Sheikh Ismid Jobayer Kibria")</f>
        <v>Sheikh Ismid Jobayer Kibria</v>
      </c>
      <c r="C256" s="134" t="str">
        <f>IFERROR(__xludf.DUMMYFUNCTION("""COMPUTED_VALUE"""),"General Member")</f>
        <v>General Member</v>
      </c>
      <c r="D256" s="134" t="str">
        <f>IFERROR(__xludf.DUMMYFUNCTION("""COMPUTED_VALUE"""),"Ismid.jobayer.kibria@g.bracu.ac.bd")</f>
        <v>Ismid.jobayer.kibria@g.bracu.ac.bd</v>
      </c>
      <c r="E256" s="105"/>
    </row>
    <row r="257" ht="22.5" customHeight="1">
      <c r="A257" s="133">
        <f>IFERROR(__xludf.DUMMYFUNCTION("""COMPUTED_VALUE"""),2.2201796E7)</f>
        <v>22201796</v>
      </c>
      <c r="B257" s="133" t="str">
        <f>IFERROR(__xludf.DUMMYFUNCTION("""COMPUTED_VALUE"""),"Ahnaf Shafique")</f>
        <v>Ahnaf Shafique</v>
      </c>
      <c r="C257" s="134" t="str">
        <f>IFERROR(__xludf.DUMMYFUNCTION("""COMPUTED_VALUE"""),"General Member")</f>
        <v>General Member</v>
      </c>
      <c r="D257" s="134" t="str">
        <f>IFERROR(__xludf.DUMMYFUNCTION("""COMPUTED_VALUE"""),"ahnaf.shafique@g.bracu.ac.bd")</f>
        <v>ahnaf.shafique@g.bracu.ac.bd</v>
      </c>
      <c r="E257" s="105"/>
    </row>
    <row r="258" ht="22.5" customHeight="1">
      <c r="A258" s="133">
        <f>IFERROR(__xludf.DUMMYFUNCTION("""COMPUTED_VALUE"""),2.2201778E7)</f>
        <v>22201778</v>
      </c>
      <c r="B258" s="133" t="str">
        <f>IFERROR(__xludf.DUMMYFUNCTION("""COMPUTED_VALUE"""),"Syed Hasibur Rahman Shafin")</f>
        <v>Syed Hasibur Rahman Shafin</v>
      </c>
      <c r="C258" s="134" t="str">
        <f>IFERROR(__xludf.DUMMYFUNCTION("""COMPUTED_VALUE"""),"General Member")</f>
        <v>General Member</v>
      </c>
      <c r="D258" s="134" t="str">
        <f>IFERROR(__xludf.DUMMYFUNCTION("""COMPUTED_VALUE"""),"hasibur.rahman.shafin@g.bracu.ac.bd")</f>
        <v>hasibur.rahman.shafin@g.bracu.ac.bd</v>
      </c>
      <c r="E258" s="105"/>
    </row>
    <row r="259" ht="22.5" customHeight="1">
      <c r="A259" s="133">
        <f>IFERROR(__xludf.DUMMYFUNCTION("""COMPUTED_VALUE"""),2.2201773E7)</f>
        <v>22201773</v>
      </c>
      <c r="B259" s="133" t="str">
        <f>IFERROR(__xludf.DUMMYFUNCTION("""COMPUTED_VALUE"""),"Afifa Ahmed")</f>
        <v>Afifa Ahmed</v>
      </c>
      <c r="C259" s="134" t="str">
        <f>IFERROR(__xludf.DUMMYFUNCTION("""COMPUTED_VALUE"""),"General Member")</f>
        <v>General Member</v>
      </c>
      <c r="D259" s="134" t="str">
        <f>IFERROR(__xludf.DUMMYFUNCTION("""COMPUTED_VALUE"""),"afifa.ahmed@g.bracu.ac.bd")</f>
        <v>afifa.ahmed@g.bracu.ac.bd</v>
      </c>
      <c r="E259" s="105"/>
    </row>
    <row r="260" ht="22.5" customHeight="1">
      <c r="A260" s="133">
        <f>IFERROR(__xludf.DUMMYFUNCTION("""COMPUTED_VALUE"""),2.2201755E7)</f>
        <v>22201755</v>
      </c>
      <c r="B260" s="133" t="str">
        <f>IFERROR(__xludf.DUMMYFUNCTION("""COMPUTED_VALUE"""),"Injamamul Haque Fahim")</f>
        <v>Injamamul Haque Fahim</v>
      </c>
      <c r="C260" s="134" t="str">
        <f>IFERROR(__xludf.DUMMYFUNCTION("""COMPUTED_VALUE"""),"General Member")</f>
        <v>General Member</v>
      </c>
      <c r="D260" s="134" t="str">
        <f>IFERROR(__xludf.DUMMYFUNCTION("""COMPUTED_VALUE"""),"injamamul.haque.fahim@g.bracu.ac.bd")</f>
        <v>injamamul.haque.fahim@g.bracu.ac.bd</v>
      </c>
      <c r="E260" s="105"/>
    </row>
    <row r="261" ht="22.5" customHeight="1">
      <c r="A261" s="133">
        <f>IFERROR(__xludf.DUMMYFUNCTION("""COMPUTED_VALUE"""),2.2201722E7)</f>
        <v>22201722</v>
      </c>
      <c r="B261" s="133" t="str">
        <f>IFERROR(__xludf.DUMMYFUNCTION("""COMPUTED_VALUE"""),"Jamil Shahriar Anto")</f>
        <v>Jamil Shahriar Anto</v>
      </c>
      <c r="C261" s="134" t="str">
        <f>IFERROR(__xludf.DUMMYFUNCTION("""COMPUTED_VALUE"""),"General Member")</f>
        <v>General Member</v>
      </c>
      <c r="D261" s="134" t="str">
        <f>IFERROR(__xludf.DUMMYFUNCTION("""COMPUTED_VALUE"""),"jamil.shahriar.anto@g.bracu.ac.bd")</f>
        <v>jamil.shahriar.anto@g.bracu.ac.bd</v>
      </c>
      <c r="E261" s="105"/>
    </row>
    <row r="262" ht="22.5" customHeight="1">
      <c r="A262" s="133">
        <f>IFERROR(__xludf.DUMMYFUNCTION("""COMPUTED_VALUE"""),2.2201719E7)</f>
        <v>22201719</v>
      </c>
      <c r="B262" s="133" t="str">
        <f>IFERROR(__xludf.DUMMYFUNCTION("""COMPUTED_VALUE"""),"Sahana Parvin Nupur")</f>
        <v>Sahana Parvin Nupur</v>
      </c>
      <c r="C262" s="134" t="str">
        <f>IFERROR(__xludf.DUMMYFUNCTION("""COMPUTED_VALUE"""),"General Member")</f>
        <v>General Member</v>
      </c>
      <c r="D262" s="134" t="str">
        <f>IFERROR(__xludf.DUMMYFUNCTION("""COMPUTED_VALUE"""),"sahana.parvin.nupur@g.bracu.ac.bd")</f>
        <v>sahana.parvin.nupur@g.bracu.ac.bd</v>
      </c>
      <c r="E262" s="105"/>
    </row>
    <row r="263" ht="22.5" customHeight="1">
      <c r="A263" s="133">
        <f>IFERROR(__xludf.DUMMYFUNCTION("""COMPUTED_VALUE"""),2.2201681E7)</f>
        <v>22201681</v>
      </c>
      <c r="B263" s="133" t="str">
        <f>IFERROR(__xludf.DUMMYFUNCTION("""COMPUTED_VALUE"""),"Mahtab Uddin Khan")</f>
        <v>Mahtab Uddin Khan</v>
      </c>
      <c r="C263" s="134" t="str">
        <f>IFERROR(__xludf.DUMMYFUNCTION("""COMPUTED_VALUE"""),"General Member")</f>
        <v>General Member</v>
      </c>
      <c r="D263" s="134" t="str">
        <f>IFERROR(__xludf.DUMMYFUNCTION("""COMPUTED_VALUE"""),"mahtab.uddin.khan@g.bracu.ac.bd")</f>
        <v>mahtab.uddin.khan@g.bracu.ac.bd</v>
      </c>
      <c r="E263" s="105"/>
    </row>
    <row r="264" ht="22.5" customHeight="1">
      <c r="A264" s="133">
        <f>IFERROR(__xludf.DUMMYFUNCTION("""COMPUTED_VALUE"""),2.2201675E7)</f>
        <v>22201675</v>
      </c>
      <c r="B264" s="133" t="str">
        <f>IFERROR(__xludf.DUMMYFUNCTION("""COMPUTED_VALUE"""),"Humaira Binte Moshiur")</f>
        <v>Humaira Binte Moshiur</v>
      </c>
      <c r="C264" s="134" t="str">
        <f>IFERROR(__xludf.DUMMYFUNCTION("""COMPUTED_VALUE"""),"General Member")</f>
        <v>General Member</v>
      </c>
      <c r="D264" s="134" t="str">
        <f>IFERROR(__xludf.DUMMYFUNCTION("""COMPUTED_VALUE"""),"humaira.binte.moshiur@g.bracu.ac.bd")</f>
        <v>humaira.binte.moshiur@g.bracu.ac.bd</v>
      </c>
      <c r="E264" s="105"/>
    </row>
    <row r="265" ht="22.5" customHeight="1">
      <c r="A265" s="133">
        <f>IFERROR(__xludf.DUMMYFUNCTION("""COMPUTED_VALUE"""),2.2201661E7)</f>
        <v>22201661</v>
      </c>
      <c r="B265" s="133" t="str">
        <f>IFERROR(__xludf.DUMMYFUNCTION("""COMPUTED_VALUE"""),"Raihan Khaled")</f>
        <v>Raihan Khaled</v>
      </c>
      <c r="C265" s="134" t="str">
        <f>IFERROR(__xludf.DUMMYFUNCTION("""COMPUTED_VALUE"""),"General Member")</f>
        <v>General Member</v>
      </c>
      <c r="D265" s="134" t="str">
        <f>IFERROR(__xludf.DUMMYFUNCTION("""COMPUTED_VALUE"""),"sm.raihan.khaled@g.bracu.ac.bd")</f>
        <v>sm.raihan.khaled@g.bracu.ac.bd</v>
      </c>
      <c r="E265" s="105"/>
    </row>
    <row r="266" ht="22.5" customHeight="1">
      <c r="A266" s="133">
        <f>IFERROR(__xludf.DUMMYFUNCTION("""COMPUTED_VALUE"""),2.2201611E7)</f>
        <v>22201611</v>
      </c>
      <c r="B266" s="133" t="str">
        <f>IFERROR(__xludf.DUMMYFUNCTION("""COMPUTED_VALUE"""),"Hironmoy Roy Rudra")</f>
        <v>Hironmoy Roy Rudra</v>
      </c>
      <c r="C266" s="134" t="str">
        <f>IFERROR(__xludf.DUMMYFUNCTION("""COMPUTED_VALUE"""),"General Member")</f>
        <v>General Member</v>
      </c>
      <c r="D266" s="134" t="str">
        <f>IFERROR(__xludf.DUMMYFUNCTION("""COMPUTED_VALUE"""),"hironmoy.roy.rudra@g.bracu.ac.bd")</f>
        <v>hironmoy.roy.rudra@g.bracu.ac.bd</v>
      </c>
      <c r="E266" s="105"/>
    </row>
    <row r="267" ht="22.5" customHeight="1">
      <c r="A267" s="133">
        <f>IFERROR(__xludf.DUMMYFUNCTION("""COMPUTED_VALUE"""),2.2201481E7)</f>
        <v>22201481</v>
      </c>
      <c r="B267" s="133" t="str">
        <f>IFERROR(__xludf.DUMMYFUNCTION("""COMPUTED_VALUE"""),"Tanjum Khondoker")</f>
        <v>Tanjum Khondoker</v>
      </c>
      <c r="C267" s="134" t="str">
        <f>IFERROR(__xludf.DUMMYFUNCTION("""COMPUTED_VALUE"""),"General Member")</f>
        <v>General Member</v>
      </c>
      <c r="D267" s="134" t="str">
        <f>IFERROR(__xludf.DUMMYFUNCTION("""COMPUTED_VALUE"""),"tanjum.khondoker@g.bracu.ac.bd")</f>
        <v>tanjum.khondoker@g.bracu.ac.bd</v>
      </c>
      <c r="E267" s="105"/>
    </row>
    <row r="268" ht="22.5" customHeight="1">
      <c r="A268" s="133">
        <f>IFERROR(__xludf.DUMMYFUNCTION("""COMPUTED_VALUE"""),2.2201474E7)</f>
        <v>22201474</v>
      </c>
      <c r="B268" s="133" t="str">
        <f>IFERROR(__xludf.DUMMYFUNCTION("""COMPUTED_VALUE"""),"Md.Shourove Shahriar")</f>
        <v>Md.Shourove Shahriar</v>
      </c>
      <c r="C268" s="134" t="str">
        <f>IFERROR(__xludf.DUMMYFUNCTION("""COMPUTED_VALUE"""),"General Member")</f>
        <v>General Member</v>
      </c>
      <c r="D268" s="134" t="str">
        <f>IFERROR(__xludf.DUMMYFUNCTION("""COMPUTED_VALUE"""),"md.shourove.shahriar@g.bracu.ac.bd")</f>
        <v>md.shourove.shahriar@g.bracu.ac.bd</v>
      </c>
      <c r="E268" s="105"/>
    </row>
    <row r="269" ht="22.5" customHeight="1">
      <c r="A269" s="133">
        <f>IFERROR(__xludf.DUMMYFUNCTION("""COMPUTED_VALUE"""),2.2201415E7)</f>
        <v>22201415</v>
      </c>
      <c r="B269" s="133" t="str">
        <f>IFERROR(__xludf.DUMMYFUNCTION("""COMPUTED_VALUE"""),"Nihad Hasan Niloy")</f>
        <v>Nihad Hasan Niloy</v>
      </c>
      <c r="C269" s="134" t="str">
        <f>IFERROR(__xludf.DUMMYFUNCTION("""COMPUTED_VALUE"""),"General Member")</f>
        <v>General Member</v>
      </c>
      <c r="D269" s="134" t="str">
        <f>IFERROR(__xludf.DUMMYFUNCTION("""COMPUTED_VALUE"""),"nihad.hasan.niloy@g.bracu.ac.bd")</f>
        <v>nihad.hasan.niloy@g.bracu.ac.bd</v>
      </c>
      <c r="E269" s="105"/>
    </row>
    <row r="270" ht="22.5" customHeight="1">
      <c r="A270" s="133">
        <f>IFERROR(__xludf.DUMMYFUNCTION("""COMPUTED_VALUE"""),2.2201405E7)</f>
        <v>22201405</v>
      </c>
      <c r="B270" s="133" t="str">
        <f>IFERROR(__xludf.DUMMYFUNCTION("""COMPUTED_VALUE"""),"Bushra Mehreen")</f>
        <v>Bushra Mehreen</v>
      </c>
      <c r="C270" s="134" t="str">
        <f>IFERROR(__xludf.DUMMYFUNCTION("""COMPUTED_VALUE"""),"General Member")</f>
        <v>General Member</v>
      </c>
      <c r="D270" s="134" t="str">
        <f>IFERROR(__xludf.DUMMYFUNCTION("""COMPUTED_VALUE"""),"bushra.mehreen@g.bracu.ac.bd")</f>
        <v>bushra.mehreen@g.bracu.ac.bd</v>
      </c>
      <c r="E270" s="105"/>
    </row>
    <row r="271" ht="22.5" customHeight="1">
      <c r="A271" s="133">
        <f>IFERROR(__xludf.DUMMYFUNCTION("""COMPUTED_VALUE"""),2.2201361E7)</f>
        <v>22201361</v>
      </c>
      <c r="B271" s="133" t="str">
        <f>IFERROR(__xludf.DUMMYFUNCTION("""COMPUTED_VALUE"""),"Raiyan Khan")</f>
        <v>Raiyan Khan</v>
      </c>
      <c r="C271" s="134" t="str">
        <f>IFERROR(__xludf.DUMMYFUNCTION("""COMPUTED_VALUE"""),"General Member")</f>
        <v>General Member</v>
      </c>
      <c r="D271" s="134" t="str">
        <f>IFERROR(__xludf.DUMMYFUNCTION("""COMPUTED_VALUE"""),"raiyan.khan@g.bracu.ac.bd")</f>
        <v>raiyan.khan@g.bracu.ac.bd</v>
      </c>
      <c r="E271" s="105"/>
    </row>
    <row r="272" ht="22.5" customHeight="1">
      <c r="A272" s="133">
        <f>IFERROR(__xludf.DUMMYFUNCTION("""COMPUTED_VALUE"""),2.2201277E7)</f>
        <v>22201277</v>
      </c>
      <c r="B272" s="133" t="str">
        <f>IFERROR(__xludf.DUMMYFUNCTION("""COMPUTED_VALUE"""),"Samia Rahman")</f>
        <v>Samia Rahman</v>
      </c>
      <c r="C272" s="134" t="str">
        <f>IFERROR(__xludf.DUMMYFUNCTION("""COMPUTED_VALUE"""),"General Member")</f>
        <v>General Member</v>
      </c>
      <c r="D272" s="134" t="str">
        <f>IFERROR(__xludf.DUMMYFUNCTION("""COMPUTED_VALUE"""),"samia.rahman6@g.bracu.ac.bd")</f>
        <v>samia.rahman6@g.bracu.ac.bd</v>
      </c>
      <c r="E272" s="105"/>
    </row>
    <row r="273" ht="22.5" customHeight="1">
      <c r="A273" s="133">
        <f>IFERROR(__xludf.DUMMYFUNCTION("""COMPUTED_VALUE"""),2.2201256E7)</f>
        <v>22201256</v>
      </c>
      <c r="B273" s="133" t="str">
        <f>IFERROR(__xludf.DUMMYFUNCTION("""COMPUTED_VALUE"""),"Moinuddin Tasin")</f>
        <v>Moinuddin Tasin</v>
      </c>
      <c r="C273" s="134" t="str">
        <f>IFERROR(__xludf.DUMMYFUNCTION("""COMPUTED_VALUE"""),"General Member")</f>
        <v>General Member</v>
      </c>
      <c r="D273" s="134" t="str">
        <f>IFERROR(__xludf.DUMMYFUNCTION("""COMPUTED_VALUE"""),"akm.moinuddin.tasin@g.bracu.ac.bd")</f>
        <v>akm.moinuddin.tasin@g.bracu.ac.bd</v>
      </c>
      <c r="E273" s="105"/>
    </row>
    <row r="274" ht="22.5" customHeight="1">
      <c r="A274" s="133">
        <f>IFERROR(__xludf.DUMMYFUNCTION("""COMPUTED_VALUE"""),2.2201212E7)</f>
        <v>22201212</v>
      </c>
      <c r="B274" s="133" t="str">
        <f>IFERROR(__xludf.DUMMYFUNCTION("""COMPUTED_VALUE"""),"Showkat Zaman Abir")</f>
        <v>Showkat Zaman Abir</v>
      </c>
      <c r="C274" s="134" t="str">
        <f>IFERROR(__xludf.DUMMYFUNCTION("""COMPUTED_VALUE"""),"General Member")</f>
        <v>General Member</v>
      </c>
      <c r="D274" s="134" t="str">
        <f>IFERROR(__xludf.DUMMYFUNCTION("""COMPUTED_VALUE"""),"showkat.zaman.abir@g.bracu.ac.bd")</f>
        <v>showkat.zaman.abir@g.bracu.ac.bd</v>
      </c>
      <c r="E274" s="105"/>
    </row>
    <row r="275" ht="22.5" customHeight="1">
      <c r="A275" s="133">
        <f>IFERROR(__xludf.DUMMYFUNCTION("""COMPUTED_VALUE"""),2.22012E7)</f>
        <v>22201200</v>
      </c>
      <c r="B275" s="133" t="str">
        <f>IFERROR(__xludf.DUMMYFUNCTION("""COMPUTED_VALUE"""),"Danial Readoan Rayed")</f>
        <v>Danial Readoan Rayed</v>
      </c>
      <c r="C275" s="134" t="str">
        <f>IFERROR(__xludf.DUMMYFUNCTION("""COMPUTED_VALUE"""),"General Member")</f>
        <v>General Member</v>
      </c>
      <c r="D275" s="134" t="str">
        <f>IFERROR(__xludf.DUMMYFUNCTION("""COMPUTED_VALUE"""),"danial.readoan.rayed@g.bracu.ac.bd")</f>
        <v>danial.readoan.rayed@g.bracu.ac.bd</v>
      </c>
      <c r="E275" s="105"/>
    </row>
    <row r="276" ht="22.5" customHeight="1">
      <c r="A276" s="133">
        <f>IFERROR(__xludf.DUMMYFUNCTION("""COMPUTED_VALUE"""),2.2201182E7)</f>
        <v>22201182</v>
      </c>
      <c r="B276" s="133" t="str">
        <f>IFERROR(__xludf.DUMMYFUNCTION("""COMPUTED_VALUE"""),"Kazi Mohammad Saifullah")</f>
        <v>Kazi Mohammad Saifullah</v>
      </c>
      <c r="C276" s="134" t="str">
        <f>IFERROR(__xludf.DUMMYFUNCTION("""COMPUTED_VALUE"""),"General Member")</f>
        <v>General Member</v>
      </c>
      <c r="D276" s="134" t="str">
        <f>IFERROR(__xludf.DUMMYFUNCTION("""COMPUTED_VALUE"""),"kazi.mohammad.saifullah@g.bracu.ac.bd")</f>
        <v>kazi.mohammad.saifullah@g.bracu.ac.bd</v>
      </c>
      <c r="E276" s="105"/>
    </row>
    <row r="277" ht="22.5" customHeight="1">
      <c r="A277" s="133">
        <f>IFERROR(__xludf.DUMMYFUNCTION("""COMPUTED_VALUE"""),2.220113E7)</f>
        <v>22201130</v>
      </c>
      <c r="B277" s="133" t="str">
        <f>IFERROR(__xludf.DUMMYFUNCTION("""COMPUTED_VALUE"""),"Ahnaf Fahmid Iqbal")</f>
        <v>Ahnaf Fahmid Iqbal</v>
      </c>
      <c r="C277" s="134" t="str">
        <f>IFERROR(__xludf.DUMMYFUNCTION("""COMPUTED_VALUE"""),"General Member")</f>
        <v>General Member</v>
      </c>
      <c r="D277" s="134" t="str">
        <f>IFERROR(__xludf.DUMMYFUNCTION("""COMPUTED_VALUE"""),"ahnaf.fahmid.iqbal@g.bracu.ac.bd")</f>
        <v>ahnaf.fahmid.iqbal@g.bracu.ac.bd</v>
      </c>
      <c r="E277" s="105"/>
    </row>
    <row r="278" ht="22.5" customHeight="1">
      <c r="A278" s="133">
        <f>IFERROR(__xludf.DUMMYFUNCTION("""COMPUTED_VALUE"""),2.2201105E7)</f>
        <v>22201105</v>
      </c>
      <c r="B278" s="133" t="str">
        <f>IFERROR(__xludf.DUMMYFUNCTION("""COMPUTED_VALUE"""),"Nazah S. Anis")</f>
        <v>Nazah S. Anis</v>
      </c>
      <c r="C278" s="134" t="str">
        <f>IFERROR(__xludf.DUMMYFUNCTION("""COMPUTED_VALUE"""),"General Member")</f>
        <v>General Member</v>
      </c>
      <c r="D278" s="134" t="str">
        <f>IFERROR(__xludf.DUMMYFUNCTION("""COMPUTED_VALUE"""),"nazah.s.anis@g.bracu.ac.bd")</f>
        <v>nazah.s.anis@g.bracu.ac.bd</v>
      </c>
      <c r="E278" s="105"/>
    </row>
    <row r="279" ht="22.5" customHeight="1">
      <c r="A279" s="133">
        <f>IFERROR(__xludf.DUMMYFUNCTION("""COMPUTED_VALUE"""),2.2201082E7)</f>
        <v>22201082</v>
      </c>
      <c r="B279" s="133" t="str">
        <f>IFERROR(__xludf.DUMMYFUNCTION("""COMPUTED_VALUE"""),"Shafiul Zahid Saim")</f>
        <v>Shafiul Zahid Saim</v>
      </c>
      <c r="C279" s="134" t="str">
        <f>IFERROR(__xludf.DUMMYFUNCTION("""COMPUTED_VALUE"""),"General Member")</f>
        <v>General Member</v>
      </c>
      <c r="D279" s="134" t="str">
        <f>IFERROR(__xludf.DUMMYFUNCTION("""COMPUTED_VALUE"""),"shafiul.zahid.saim@g.bracu.ac.bd")</f>
        <v>shafiul.zahid.saim@g.bracu.ac.bd</v>
      </c>
      <c r="E279" s="105"/>
    </row>
    <row r="280" ht="22.5" customHeight="1">
      <c r="A280" s="133">
        <f>IFERROR(__xludf.DUMMYFUNCTION("""COMPUTED_VALUE"""),2.2201077E7)</f>
        <v>22201077</v>
      </c>
      <c r="B280" s="133" t="str">
        <f>IFERROR(__xludf.DUMMYFUNCTION("""COMPUTED_VALUE"""),"Md.Abid Hasan Apurbo")</f>
        <v>Md.Abid Hasan Apurbo</v>
      </c>
      <c r="C280" s="134" t="str">
        <f>IFERROR(__xludf.DUMMYFUNCTION("""COMPUTED_VALUE"""),"General Member")</f>
        <v>General Member</v>
      </c>
      <c r="D280" s="134" t="str">
        <f>IFERROR(__xludf.DUMMYFUNCTION("""COMPUTED_VALUE"""),"abid.hasan.apurbo@g.bracu.ac.bd")</f>
        <v>abid.hasan.apurbo@g.bracu.ac.bd</v>
      </c>
      <c r="E280" s="105"/>
    </row>
    <row r="281" ht="22.5" customHeight="1">
      <c r="A281" s="133">
        <f>IFERROR(__xludf.DUMMYFUNCTION("""COMPUTED_VALUE"""),2.2201022E7)</f>
        <v>22201022</v>
      </c>
      <c r="B281" s="133" t="str">
        <f>IFERROR(__xludf.DUMMYFUNCTION("""COMPUTED_VALUE"""),"Mushfiqur Rahman Manob")</f>
        <v>Mushfiqur Rahman Manob</v>
      </c>
      <c r="C281" s="134" t="str">
        <f>IFERROR(__xludf.DUMMYFUNCTION("""COMPUTED_VALUE"""),"General Member")</f>
        <v>General Member</v>
      </c>
      <c r="D281" s="134" t="str">
        <f>IFERROR(__xludf.DUMMYFUNCTION("""COMPUTED_VALUE"""),"mushfiqur.rahman.manob@g.bracu.ac.bd")</f>
        <v>mushfiqur.rahman.manob@g.bracu.ac.bd</v>
      </c>
      <c r="E281" s="105"/>
    </row>
    <row r="282" ht="22.5" customHeight="1">
      <c r="A282" s="133">
        <f>IFERROR(__xludf.DUMMYFUNCTION("""COMPUTED_VALUE"""),2.2141003E7)</f>
        <v>22141003</v>
      </c>
      <c r="B282" s="133" t="str">
        <f>IFERROR(__xludf.DUMMYFUNCTION("""COMPUTED_VALUE"""),"Maliha Tabassum Bint Asad")</f>
        <v>Maliha Tabassum Bint Asad</v>
      </c>
      <c r="C282" s="134" t="str">
        <f>IFERROR(__xludf.DUMMYFUNCTION("""COMPUTED_VALUE"""),"General Member")</f>
        <v>General Member</v>
      </c>
      <c r="D282" s="134" t="str">
        <f>IFERROR(__xludf.DUMMYFUNCTION("""COMPUTED_VALUE"""),"malihatabassum.bint.asad@g.bracu.ac.bd")</f>
        <v>malihatabassum.bint.asad@g.bracu.ac.bd</v>
      </c>
      <c r="E282" s="105"/>
    </row>
    <row r="283" ht="22.5" customHeight="1">
      <c r="A283" s="133">
        <f>IFERROR(__xludf.DUMMYFUNCTION("""COMPUTED_VALUE"""),2.2101893E7)</f>
        <v>22101893</v>
      </c>
      <c r="B283" s="133" t="str">
        <f>IFERROR(__xludf.DUMMYFUNCTION("""COMPUTED_VALUE"""),"Md.Ridowanul Alam")</f>
        <v>Md.Ridowanul Alam</v>
      </c>
      <c r="C283" s="134" t="str">
        <f>IFERROR(__xludf.DUMMYFUNCTION("""COMPUTED_VALUE"""),"General Member")</f>
        <v>General Member</v>
      </c>
      <c r="D283" s="134" t="str">
        <f>IFERROR(__xludf.DUMMYFUNCTION("""COMPUTED_VALUE"""),"md.ridowanul.alam@g.bracu.ac.bd")</f>
        <v>md.ridowanul.alam@g.bracu.ac.bd</v>
      </c>
      <c r="E283" s="105"/>
    </row>
    <row r="284" ht="22.5" customHeight="1">
      <c r="A284" s="133">
        <f>IFERROR(__xludf.DUMMYFUNCTION("""COMPUTED_VALUE"""),2.2101888E7)</f>
        <v>22101888</v>
      </c>
      <c r="B284" s="133" t="str">
        <f>IFERROR(__xludf.DUMMYFUNCTION("""COMPUTED_VALUE"""),"Maherul Hasan Sabbir")</f>
        <v>Maherul Hasan Sabbir</v>
      </c>
      <c r="C284" s="134" t="str">
        <f>IFERROR(__xludf.DUMMYFUNCTION("""COMPUTED_VALUE"""),"General Member")</f>
        <v>General Member</v>
      </c>
      <c r="D284" s="134" t="str">
        <f>IFERROR(__xludf.DUMMYFUNCTION("""COMPUTED_VALUE"""),"maherul.hasan.sabbir@g.bracu.ac.bd")</f>
        <v>maherul.hasan.sabbir@g.bracu.ac.bd</v>
      </c>
      <c r="E284" s="105"/>
    </row>
    <row r="285" ht="22.5" customHeight="1">
      <c r="A285" s="133">
        <f>IFERROR(__xludf.DUMMYFUNCTION("""COMPUTED_VALUE"""),2.2101883E7)</f>
        <v>22101883</v>
      </c>
      <c r="B285" s="133" t="str">
        <f>IFERROR(__xludf.DUMMYFUNCTION("""COMPUTED_VALUE"""),"Md. Mehedi Hasan Sohag")</f>
        <v>Md. Mehedi Hasan Sohag</v>
      </c>
      <c r="C285" s="134" t="str">
        <f>IFERROR(__xludf.DUMMYFUNCTION("""COMPUTED_VALUE"""),"General Member")</f>
        <v>General Member</v>
      </c>
      <c r="D285" s="134" t="str">
        <f>IFERROR(__xludf.DUMMYFUNCTION("""COMPUTED_VALUE"""),"mehedi.hasan.sohag@g.bracu.ac.bd")</f>
        <v>mehedi.hasan.sohag@g.bracu.ac.bd</v>
      </c>
      <c r="E285" s="105"/>
    </row>
    <row r="286" ht="22.5" customHeight="1">
      <c r="A286" s="133">
        <f>IFERROR(__xludf.DUMMYFUNCTION("""COMPUTED_VALUE"""),2.2101876E7)</f>
        <v>22101876</v>
      </c>
      <c r="B286" s="133" t="str">
        <f>IFERROR(__xludf.DUMMYFUNCTION("""COMPUTED_VALUE"""),"Fardin Jahan Badhon")</f>
        <v>Fardin Jahan Badhon</v>
      </c>
      <c r="C286" s="134" t="str">
        <f>IFERROR(__xludf.DUMMYFUNCTION("""COMPUTED_VALUE"""),"General Member")</f>
        <v>General Member</v>
      </c>
      <c r="D286" s="134" t="str">
        <f>IFERROR(__xludf.DUMMYFUNCTION("""COMPUTED_VALUE"""),"fardin.jahan.badhon@g.bracu.ac.bd")</f>
        <v>fardin.jahan.badhon@g.bracu.ac.bd</v>
      </c>
      <c r="E286" s="105"/>
    </row>
    <row r="287" ht="22.5" customHeight="1">
      <c r="A287" s="133">
        <f>IFERROR(__xludf.DUMMYFUNCTION("""COMPUTED_VALUE"""),2.2101844E7)</f>
        <v>22101844</v>
      </c>
      <c r="B287" s="133" t="str">
        <f>IFERROR(__xludf.DUMMYFUNCTION("""COMPUTED_VALUE"""),"Afaf Binta Shamsuddin")</f>
        <v>Afaf Binta Shamsuddin</v>
      </c>
      <c r="C287" s="134" t="str">
        <f>IFERROR(__xludf.DUMMYFUNCTION("""COMPUTED_VALUE"""),"General Member")</f>
        <v>General Member</v>
      </c>
      <c r="D287" s="134" t="str">
        <f>IFERROR(__xludf.DUMMYFUNCTION("""COMPUTED_VALUE"""),"afaf.binta.shamsuddin@g.bracu.ac.bd")</f>
        <v>afaf.binta.shamsuddin@g.bracu.ac.bd</v>
      </c>
      <c r="E287" s="105"/>
    </row>
    <row r="288" ht="22.5" customHeight="1">
      <c r="A288" s="133">
        <f>IFERROR(__xludf.DUMMYFUNCTION("""COMPUTED_VALUE"""),2.2101826E7)</f>
        <v>22101826</v>
      </c>
      <c r="B288" s="133" t="str">
        <f>IFERROR(__xludf.DUMMYFUNCTION("""COMPUTED_VALUE"""),"Md Mahmudul Islam Moyen")</f>
        <v>Md Mahmudul Islam Moyen</v>
      </c>
      <c r="C288" s="134" t="str">
        <f>IFERROR(__xludf.DUMMYFUNCTION("""COMPUTED_VALUE"""),"General Member")</f>
        <v>General Member</v>
      </c>
      <c r="D288" s="134" t="str">
        <f>IFERROR(__xludf.DUMMYFUNCTION("""COMPUTED_VALUE"""),"mahmudul.islam.moyen@g.bracu.ac.bd")</f>
        <v>mahmudul.islam.moyen@g.bracu.ac.bd</v>
      </c>
      <c r="E288" s="105"/>
    </row>
    <row r="289" ht="22.5" customHeight="1">
      <c r="A289" s="133">
        <f>IFERROR(__xludf.DUMMYFUNCTION("""COMPUTED_VALUE"""),2.2101824E7)</f>
        <v>22101824</v>
      </c>
      <c r="B289" s="133" t="str">
        <f>IFERROR(__xludf.DUMMYFUNCTION("""COMPUTED_VALUE"""),"Noshin Tabassom Nabila")</f>
        <v>Noshin Tabassom Nabila</v>
      </c>
      <c r="C289" s="134" t="str">
        <f>IFERROR(__xludf.DUMMYFUNCTION("""COMPUTED_VALUE"""),"General Member")</f>
        <v>General Member</v>
      </c>
      <c r="D289" s="134" t="str">
        <f>IFERROR(__xludf.DUMMYFUNCTION("""COMPUTED_VALUE"""),"noshin.tabassom.nabila@g.bracu.ac.bd")</f>
        <v>noshin.tabassom.nabila@g.bracu.ac.bd</v>
      </c>
      <c r="E289" s="105"/>
    </row>
    <row r="290" ht="22.5" customHeight="1">
      <c r="A290" s="133">
        <f>IFERROR(__xludf.DUMMYFUNCTION("""COMPUTED_VALUE"""),2.2101821E7)</f>
        <v>22101821</v>
      </c>
      <c r="B290" s="133" t="str">
        <f>IFERROR(__xludf.DUMMYFUNCTION("""COMPUTED_VALUE"""),"Alvee Israque")</f>
        <v>Alvee Israque</v>
      </c>
      <c r="C290" s="134" t="str">
        <f>IFERROR(__xludf.DUMMYFUNCTION("""COMPUTED_VALUE"""),"General Member")</f>
        <v>General Member</v>
      </c>
      <c r="D290" s="134" t="str">
        <f>IFERROR(__xludf.DUMMYFUNCTION("""COMPUTED_VALUE"""),"alvee.ishraque@g.bracu.ac.bd")</f>
        <v>alvee.ishraque@g.bracu.ac.bd</v>
      </c>
      <c r="E290" s="105"/>
    </row>
    <row r="291" ht="22.5" customHeight="1">
      <c r="A291" s="133">
        <f>IFERROR(__xludf.DUMMYFUNCTION("""COMPUTED_VALUE"""),2.2101809E7)</f>
        <v>22101809</v>
      </c>
      <c r="B291" s="133" t="str">
        <f>IFERROR(__xludf.DUMMYFUNCTION("""COMPUTED_VALUE"""),"Naimul Hasan")</f>
        <v>Naimul Hasan</v>
      </c>
      <c r="C291" s="134" t="str">
        <f>IFERROR(__xludf.DUMMYFUNCTION("""COMPUTED_VALUE"""),"General Member")</f>
        <v>General Member</v>
      </c>
      <c r="D291" s="134" t="str">
        <f>IFERROR(__xludf.DUMMYFUNCTION("""COMPUTED_VALUE"""),"naimul.hasan@g.bracu.ac.bd")</f>
        <v>naimul.hasan@g.bracu.ac.bd</v>
      </c>
      <c r="E291" s="105"/>
    </row>
    <row r="292" ht="22.5" customHeight="1">
      <c r="A292" s="133">
        <f>IFERROR(__xludf.DUMMYFUNCTION("""COMPUTED_VALUE"""),2.2101806E7)</f>
        <v>22101806</v>
      </c>
      <c r="B292" s="133" t="str">
        <f>IFERROR(__xludf.DUMMYFUNCTION("""COMPUTED_VALUE"""),"Md. Jobayer Hasan")</f>
        <v>Md. Jobayer Hasan</v>
      </c>
      <c r="C292" s="134" t="str">
        <f>IFERROR(__xludf.DUMMYFUNCTION("""COMPUTED_VALUE"""),"General Member")</f>
        <v>General Member</v>
      </c>
      <c r="D292" s="134" t="str">
        <f>IFERROR(__xludf.DUMMYFUNCTION("""COMPUTED_VALUE"""),"md.jobayer.hasan@g.bracu.ac.bd")</f>
        <v>md.jobayer.hasan@g.bracu.ac.bd</v>
      </c>
      <c r="E292" s="105"/>
    </row>
    <row r="293" ht="22.5" customHeight="1">
      <c r="A293" s="133">
        <f>IFERROR(__xludf.DUMMYFUNCTION("""COMPUTED_VALUE"""),2.2101789E7)</f>
        <v>22101789</v>
      </c>
      <c r="B293" s="133" t="str">
        <f>IFERROR(__xludf.DUMMYFUNCTION("""COMPUTED_VALUE"""),"Shihab Ahmed")</f>
        <v>Shihab Ahmed</v>
      </c>
      <c r="C293" s="134" t="str">
        <f>IFERROR(__xludf.DUMMYFUNCTION("""COMPUTED_VALUE"""),"General Member")</f>
        <v>General Member</v>
      </c>
      <c r="D293" s="134" t="str">
        <f>IFERROR(__xludf.DUMMYFUNCTION("""COMPUTED_VALUE"""),"shihab.ahmed@g.bracu.ac.bd")</f>
        <v>shihab.ahmed@g.bracu.ac.bd</v>
      </c>
      <c r="E293" s="105"/>
    </row>
    <row r="294" ht="22.5" customHeight="1">
      <c r="A294" s="133">
        <f>IFERROR(__xludf.DUMMYFUNCTION("""COMPUTED_VALUE"""),2.2101783E7)</f>
        <v>22101783</v>
      </c>
      <c r="B294" s="133" t="str">
        <f>IFERROR(__xludf.DUMMYFUNCTION("""COMPUTED_VALUE"""),"Niaz Morshed")</f>
        <v>Niaz Morshed</v>
      </c>
      <c r="C294" s="134" t="str">
        <f>IFERROR(__xludf.DUMMYFUNCTION("""COMPUTED_VALUE"""),"General Member")</f>
        <v>General Member</v>
      </c>
      <c r="D294" s="134" t="str">
        <f>IFERROR(__xludf.DUMMYFUNCTION("""COMPUTED_VALUE"""),"niaz.morshed1@g.bracu.ac.bd")</f>
        <v>niaz.morshed1@g.bracu.ac.bd</v>
      </c>
      <c r="E294" s="105"/>
    </row>
    <row r="295" ht="22.5" customHeight="1">
      <c r="A295" s="133">
        <f>IFERROR(__xludf.DUMMYFUNCTION("""COMPUTED_VALUE"""),2.210178E7)</f>
        <v>22101780</v>
      </c>
      <c r="B295" s="133" t="str">
        <f>IFERROR(__xludf.DUMMYFUNCTION("""COMPUTED_VALUE"""),"Fahmida Jarin")</f>
        <v>Fahmida Jarin</v>
      </c>
      <c r="C295" s="134" t="str">
        <f>IFERROR(__xludf.DUMMYFUNCTION("""COMPUTED_VALUE"""),"General Member")</f>
        <v>General Member</v>
      </c>
      <c r="D295" s="134" t="str">
        <f>IFERROR(__xludf.DUMMYFUNCTION("""COMPUTED_VALUE"""),"fahmida.jarin@g.bracu.ac.bd")</f>
        <v>fahmida.jarin@g.bracu.ac.bd</v>
      </c>
      <c r="E295" s="105"/>
    </row>
    <row r="296" ht="22.5" customHeight="1">
      <c r="A296" s="133">
        <f>IFERROR(__xludf.DUMMYFUNCTION("""COMPUTED_VALUE"""),2.2101778E7)</f>
        <v>22101778</v>
      </c>
      <c r="B296" s="133" t="str">
        <f>IFERROR(__xludf.DUMMYFUNCTION("""COMPUTED_VALUE"""),"Md Abdur Rob")</f>
        <v>Md Abdur Rob</v>
      </c>
      <c r="C296" s="134" t="str">
        <f>IFERROR(__xludf.DUMMYFUNCTION("""COMPUTED_VALUE"""),"General Member")</f>
        <v>General Member</v>
      </c>
      <c r="D296" s="134" t="str">
        <f>IFERROR(__xludf.DUMMYFUNCTION("""COMPUTED_VALUE"""),"md.abdur.rob@g.bracu.ac.bd")</f>
        <v>md.abdur.rob@g.bracu.ac.bd</v>
      </c>
      <c r="E296" s="105"/>
    </row>
    <row r="297" ht="22.5" customHeight="1">
      <c r="A297" s="133">
        <f>IFERROR(__xludf.DUMMYFUNCTION("""COMPUTED_VALUE"""),2.2101768E7)</f>
        <v>22101768</v>
      </c>
      <c r="B297" s="133" t="str">
        <f>IFERROR(__xludf.DUMMYFUNCTION("""COMPUTED_VALUE"""),"Jarin Islam")</f>
        <v>Jarin Islam</v>
      </c>
      <c r="C297" s="134" t="str">
        <f>IFERROR(__xludf.DUMMYFUNCTION("""COMPUTED_VALUE"""),"General Member")</f>
        <v>General Member</v>
      </c>
      <c r="D297" s="134" t="str">
        <f>IFERROR(__xludf.DUMMYFUNCTION("""COMPUTED_VALUE"""),"jarin.islam@g.bracu.ac.bd")</f>
        <v>jarin.islam@g.bracu.ac.bd</v>
      </c>
      <c r="E297" s="105"/>
    </row>
    <row r="298" ht="22.5" customHeight="1">
      <c r="A298" s="133">
        <f>IFERROR(__xludf.DUMMYFUNCTION("""COMPUTED_VALUE"""),2.2101761E7)</f>
        <v>22101761</v>
      </c>
      <c r="B298" s="133" t="str">
        <f>IFERROR(__xludf.DUMMYFUNCTION("""COMPUTED_VALUE"""),"Kawser Alam Noman")</f>
        <v>Kawser Alam Noman</v>
      </c>
      <c r="C298" s="134" t="str">
        <f>IFERROR(__xludf.DUMMYFUNCTION("""COMPUTED_VALUE"""),"General Member")</f>
        <v>General Member</v>
      </c>
      <c r="D298" s="134" t="str">
        <f>IFERROR(__xludf.DUMMYFUNCTION("""COMPUTED_VALUE"""),"kawser.alam.noman@g.bracu.ac.bd")</f>
        <v>kawser.alam.noman@g.bracu.ac.bd</v>
      </c>
      <c r="E298" s="105"/>
    </row>
    <row r="299" ht="22.5" customHeight="1">
      <c r="A299" s="133">
        <f>IFERROR(__xludf.DUMMYFUNCTION("""COMPUTED_VALUE"""),2.2101749E7)</f>
        <v>22101749</v>
      </c>
      <c r="B299" s="133" t="str">
        <f>IFERROR(__xludf.DUMMYFUNCTION("""COMPUTED_VALUE"""),"Anthonio Alex D Costa")</f>
        <v>Anthonio Alex D Costa</v>
      </c>
      <c r="C299" s="134" t="str">
        <f>IFERROR(__xludf.DUMMYFUNCTION("""COMPUTED_VALUE"""),"General Member")</f>
        <v>General Member</v>
      </c>
      <c r="D299" s="134" t="str">
        <f>IFERROR(__xludf.DUMMYFUNCTION("""COMPUTED_VALUE"""),"anthonio.alex.d.costa@g.bracu.ac.bd")</f>
        <v>anthonio.alex.d.costa@g.bracu.ac.bd</v>
      </c>
      <c r="E299" s="105"/>
    </row>
    <row r="300" ht="22.5" customHeight="1">
      <c r="A300" s="133">
        <f>IFERROR(__xludf.DUMMYFUNCTION("""COMPUTED_VALUE"""),2.2101713E7)</f>
        <v>22101713</v>
      </c>
      <c r="B300" s="133" t="str">
        <f>IFERROR(__xludf.DUMMYFUNCTION("""COMPUTED_VALUE"""),"Md. Muhtadi Muizur Rahman")</f>
        <v>Md. Muhtadi Muizur Rahman</v>
      </c>
      <c r="C300" s="134" t="str">
        <f>IFERROR(__xludf.DUMMYFUNCTION("""COMPUTED_VALUE"""),"General Member")</f>
        <v>General Member</v>
      </c>
      <c r="D300" s="134" t="str">
        <f>IFERROR(__xludf.DUMMYFUNCTION("""COMPUTED_VALUE"""),"muhtadi.muizur.rahman@g.bracu.ac.bd")</f>
        <v>muhtadi.muizur.rahman@g.bracu.ac.bd</v>
      </c>
      <c r="E300" s="105"/>
    </row>
    <row r="301" ht="22.5" customHeight="1">
      <c r="A301" s="133">
        <f>IFERROR(__xludf.DUMMYFUNCTION("""COMPUTED_VALUE"""),2.210171E7)</f>
        <v>22101710</v>
      </c>
      <c r="B301" s="133" t="str">
        <f>IFERROR(__xludf.DUMMYFUNCTION("""COMPUTED_VALUE"""),"Md. Anwar Hossain")</f>
        <v>Md. Anwar Hossain</v>
      </c>
      <c r="C301" s="134" t="str">
        <f>IFERROR(__xludf.DUMMYFUNCTION("""COMPUTED_VALUE"""),"General Member")</f>
        <v>General Member</v>
      </c>
      <c r="D301" s="134" t="str">
        <f>IFERROR(__xludf.DUMMYFUNCTION("""COMPUTED_VALUE"""),"md.anwar.hossain1@g.bracu.ac.bd")</f>
        <v>md.anwar.hossain1@g.bracu.ac.bd</v>
      </c>
      <c r="E301" s="105"/>
    </row>
    <row r="302" ht="22.5" customHeight="1">
      <c r="A302" s="133">
        <f>IFERROR(__xludf.DUMMYFUNCTION("""COMPUTED_VALUE"""),2.2101675E7)</f>
        <v>22101675</v>
      </c>
      <c r="B302" s="133" t="str">
        <f>IFERROR(__xludf.DUMMYFUNCTION("""COMPUTED_VALUE"""),"Rubayet Hassan Rupom")</f>
        <v>Rubayet Hassan Rupom</v>
      </c>
      <c r="C302" s="134" t="str">
        <f>IFERROR(__xludf.DUMMYFUNCTION("""COMPUTED_VALUE"""),"General Member")</f>
        <v>General Member</v>
      </c>
      <c r="D302" s="134" t="str">
        <f>IFERROR(__xludf.DUMMYFUNCTION("""COMPUTED_VALUE"""),"rubayet.hassan.rupom@g.bracu.ac.bd")</f>
        <v>rubayet.hassan.rupom@g.bracu.ac.bd</v>
      </c>
      <c r="E302" s="105"/>
    </row>
    <row r="303" ht="22.5" customHeight="1">
      <c r="A303" s="133">
        <f>IFERROR(__xludf.DUMMYFUNCTION("""COMPUTED_VALUE"""),2.2101672E7)</f>
        <v>22101672</v>
      </c>
      <c r="B303" s="133" t="str">
        <f>IFERROR(__xludf.DUMMYFUNCTION("""COMPUTED_VALUE"""),"Sabira Rahman")</f>
        <v>Sabira Rahman</v>
      </c>
      <c r="C303" s="134" t="str">
        <f>IFERROR(__xludf.DUMMYFUNCTION("""COMPUTED_VALUE"""),"General Member")</f>
        <v>General Member</v>
      </c>
      <c r="D303" s="134" t="str">
        <f>IFERROR(__xludf.DUMMYFUNCTION("""COMPUTED_VALUE"""),"sabira.rahman1@g.bracu.ac.bd")</f>
        <v>sabira.rahman1@g.bracu.ac.bd</v>
      </c>
      <c r="E303" s="105"/>
    </row>
    <row r="304" ht="22.5" customHeight="1">
      <c r="A304" s="133">
        <f>IFERROR(__xludf.DUMMYFUNCTION("""COMPUTED_VALUE"""),2.2101662E7)</f>
        <v>22101662</v>
      </c>
      <c r="B304" s="133" t="str">
        <f>IFERROR(__xludf.DUMMYFUNCTION("""COMPUTED_VALUE"""),"Arnab Rajbangshi")</f>
        <v>Arnab Rajbangshi</v>
      </c>
      <c r="C304" s="134" t="str">
        <f>IFERROR(__xludf.DUMMYFUNCTION("""COMPUTED_VALUE"""),"General Member")</f>
        <v>General Member</v>
      </c>
      <c r="D304" s="134" t="str">
        <f>IFERROR(__xludf.DUMMYFUNCTION("""COMPUTED_VALUE"""),"arnab.rajbangshi@g.bracu.ac.bd")</f>
        <v>arnab.rajbangshi@g.bracu.ac.bd</v>
      </c>
      <c r="E304" s="105"/>
    </row>
    <row r="305" ht="22.5" customHeight="1">
      <c r="A305" s="133">
        <f>IFERROR(__xludf.DUMMYFUNCTION("""COMPUTED_VALUE"""),2.2101659E7)</f>
        <v>22101659</v>
      </c>
      <c r="B305" s="133" t="str">
        <f>IFERROR(__xludf.DUMMYFUNCTION("""COMPUTED_VALUE"""),"Kazi Iftekharul Adnan")</f>
        <v>Kazi Iftekharul Adnan</v>
      </c>
      <c r="C305" s="134" t="str">
        <f>IFERROR(__xludf.DUMMYFUNCTION("""COMPUTED_VALUE"""),"General Member")</f>
        <v>General Member</v>
      </c>
      <c r="D305" s="134" t="str">
        <f>IFERROR(__xludf.DUMMYFUNCTION("""COMPUTED_VALUE"""),"kazi.iftekharul.adnan@g.bracu.ac.bd")</f>
        <v>kazi.iftekharul.adnan@g.bracu.ac.bd</v>
      </c>
      <c r="E305" s="105"/>
    </row>
    <row r="306" ht="22.5" customHeight="1">
      <c r="A306" s="133">
        <f>IFERROR(__xludf.DUMMYFUNCTION("""COMPUTED_VALUE"""),2.210165E7)</f>
        <v>22101650</v>
      </c>
      <c r="B306" s="133" t="str">
        <f>IFERROR(__xludf.DUMMYFUNCTION("""COMPUTED_VALUE"""),"Md. Ashiqur Rahman Abir")</f>
        <v>Md. Ashiqur Rahman Abir</v>
      </c>
      <c r="C306" s="134" t="str">
        <f>IFERROR(__xludf.DUMMYFUNCTION("""COMPUTED_VALUE"""),"General Member")</f>
        <v>General Member</v>
      </c>
      <c r="D306" s="134" t="str">
        <f>IFERROR(__xludf.DUMMYFUNCTION("""COMPUTED_VALUE"""),"ashiqur.rahman.abir@g.bracu.ac.bd")</f>
        <v>ashiqur.rahman.abir@g.bracu.ac.bd</v>
      </c>
      <c r="E306" s="105"/>
    </row>
    <row r="307" ht="22.5" customHeight="1">
      <c r="A307" s="133">
        <f>IFERROR(__xludf.DUMMYFUNCTION("""COMPUTED_VALUE"""),2.2101633E7)</f>
        <v>22101633</v>
      </c>
      <c r="B307" s="133" t="str">
        <f>IFERROR(__xludf.DUMMYFUNCTION("""COMPUTED_VALUE"""),"Md. Faiyaz")</f>
        <v>Md. Faiyaz</v>
      </c>
      <c r="C307" s="134" t="str">
        <f>IFERROR(__xludf.DUMMYFUNCTION("""COMPUTED_VALUE"""),"General Member")</f>
        <v>General Member</v>
      </c>
      <c r="D307" s="134" t="str">
        <f>IFERROR(__xludf.DUMMYFUNCTION("""COMPUTED_VALUE"""),"md.faiyaz@g.bracu.ac.bd")</f>
        <v>md.faiyaz@g.bracu.ac.bd</v>
      </c>
      <c r="E307" s="105"/>
    </row>
    <row r="308" ht="22.5" customHeight="1">
      <c r="A308" s="133">
        <f>IFERROR(__xludf.DUMMYFUNCTION("""COMPUTED_VALUE"""),2.2101627E7)</f>
        <v>22101627</v>
      </c>
      <c r="B308" s="133" t="str">
        <f>IFERROR(__xludf.DUMMYFUNCTION("""COMPUTED_VALUE"""),"Molla Sazidur Rahman")</f>
        <v>Molla Sazidur Rahman</v>
      </c>
      <c r="C308" s="134" t="str">
        <f>IFERROR(__xludf.DUMMYFUNCTION("""COMPUTED_VALUE"""),"General Member")</f>
        <v>General Member</v>
      </c>
      <c r="D308" s="134" t="str">
        <f>IFERROR(__xludf.DUMMYFUNCTION("""COMPUTED_VALUE"""),"molla.sazidur.rahman@g.bracu.ac.bd")</f>
        <v>molla.sazidur.rahman@g.bracu.ac.bd</v>
      </c>
      <c r="E308" s="105"/>
    </row>
    <row r="309" ht="22.5" customHeight="1">
      <c r="A309" s="133">
        <f>IFERROR(__xludf.DUMMYFUNCTION("""COMPUTED_VALUE"""),2.2101624E7)</f>
        <v>22101624</v>
      </c>
      <c r="B309" s="133" t="str">
        <f>IFERROR(__xludf.DUMMYFUNCTION("""COMPUTED_VALUE"""),"Nuhan Habib")</f>
        <v>Nuhan Habib</v>
      </c>
      <c r="C309" s="134" t="str">
        <f>IFERROR(__xludf.DUMMYFUNCTION("""COMPUTED_VALUE"""),"General Member")</f>
        <v>General Member</v>
      </c>
      <c r="D309" s="134" t="str">
        <f>IFERROR(__xludf.DUMMYFUNCTION("""COMPUTED_VALUE"""),"nuhan.habib@g.bracu.ac.bd")</f>
        <v>nuhan.habib@g.bracu.ac.bd</v>
      </c>
      <c r="E309" s="105"/>
    </row>
    <row r="310" ht="22.5" customHeight="1">
      <c r="A310" s="133">
        <f>IFERROR(__xludf.DUMMYFUNCTION("""COMPUTED_VALUE"""),2.2101597E7)</f>
        <v>22101597</v>
      </c>
      <c r="B310" s="133" t="str">
        <f>IFERROR(__xludf.DUMMYFUNCTION("""COMPUTED_VALUE"""),"Debashis Saha")</f>
        <v>Debashis Saha</v>
      </c>
      <c r="C310" s="134" t="str">
        <f>IFERROR(__xludf.DUMMYFUNCTION("""COMPUTED_VALUE"""),"General Member")</f>
        <v>General Member</v>
      </c>
      <c r="D310" s="134" t="str">
        <f>IFERROR(__xludf.DUMMYFUNCTION("""COMPUTED_VALUE"""),"debashis.saha@g.bracu.ac.bd")</f>
        <v>debashis.saha@g.bracu.ac.bd</v>
      </c>
      <c r="E310" s="105"/>
    </row>
    <row r="311" ht="22.5" customHeight="1">
      <c r="A311" s="133">
        <f>IFERROR(__xludf.DUMMYFUNCTION("""COMPUTED_VALUE"""),2.2101591E7)</f>
        <v>22101591</v>
      </c>
      <c r="B311" s="133" t="str">
        <f>IFERROR(__xludf.DUMMYFUNCTION("""COMPUTED_VALUE"""),"A.K.M.Touhidul Amin")</f>
        <v>A.K.M.Touhidul Amin</v>
      </c>
      <c r="C311" s="134" t="str">
        <f>IFERROR(__xludf.DUMMYFUNCTION("""COMPUTED_VALUE"""),"General Member")</f>
        <v>General Member</v>
      </c>
      <c r="D311" s="134" t="str">
        <f>IFERROR(__xludf.DUMMYFUNCTION("""COMPUTED_VALUE"""),"akm.touhidul.amin@g.bracu.ac.bd")</f>
        <v>akm.touhidul.amin@g.bracu.ac.bd</v>
      </c>
      <c r="E311" s="105"/>
    </row>
    <row r="312" ht="22.5" customHeight="1">
      <c r="A312" s="133">
        <f>IFERROR(__xludf.DUMMYFUNCTION("""COMPUTED_VALUE"""),2.2101581E7)</f>
        <v>22101581</v>
      </c>
      <c r="B312" s="133" t="str">
        <f>IFERROR(__xludf.DUMMYFUNCTION("""COMPUTED_VALUE"""),"Nowmi Islam")</f>
        <v>Nowmi Islam</v>
      </c>
      <c r="C312" s="134" t="str">
        <f>IFERROR(__xludf.DUMMYFUNCTION("""COMPUTED_VALUE"""),"General Member")</f>
        <v>General Member</v>
      </c>
      <c r="D312" s="134" t="str">
        <f>IFERROR(__xludf.DUMMYFUNCTION("""COMPUTED_VALUE"""),"nowmi.islam@g.bracu.ac.bd")</f>
        <v>nowmi.islam@g.bracu.ac.bd</v>
      </c>
      <c r="E312" s="105"/>
    </row>
    <row r="313" ht="22.5" customHeight="1">
      <c r="A313" s="133">
        <f>IFERROR(__xludf.DUMMYFUNCTION("""COMPUTED_VALUE"""),2.2101574E7)</f>
        <v>22101574</v>
      </c>
      <c r="B313" s="133" t="str">
        <f>IFERROR(__xludf.DUMMYFUNCTION("""COMPUTED_VALUE"""),"Md.Tamejul Habib")</f>
        <v>Md.Tamejul Habib</v>
      </c>
      <c r="C313" s="134" t="str">
        <f>IFERROR(__xludf.DUMMYFUNCTION("""COMPUTED_VALUE"""),"General Member")</f>
        <v>General Member</v>
      </c>
      <c r="D313" s="134" t="str">
        <f>IFERROR(__xludf.DUMMYFUNCTION("""COMPUTED_VALUE"""),"md.tamejul.habib@g.bracu.ac.bd")</f>
        <v>md.tamejul.habib@g.bracu.ac.bd</v>
      </c>
      <c r="E313" s="105"/>
    </row>
    <row r="314" ht="22.5" customHeight="1">
      <c r="A314" s="133">
        <f>IFERROR(__xludf.DUMMYFUNCTION("""COMPUTED_VALUE"""),2.2101526E7)</f>
        <v>22101526</v>
      </c>
      <c r="B314" s="133" t="str">
        <f>IFERROR(__xludf.DUMMYFUNCTION("""COMPUTED_VALUE"""),"Janifar Tabassum")</f>
        <v>Janifar Tabassum</v>
      </c>
      <c r="C314" s="134" t="str">
        <f>IFERROR(__xludf.DUMMYFUNCTION("""COMPUTED_VALUE"""),"General Member")</f>
        <v>General Member</v>
      </c>
      <c r="D314" s="134" t="str">
        <f>IFERROR(__xludf.DUMMYFUNCTION("""COMPUTED_VALUE"""),"janifar.tabassum@g.bracu.ac.bd")</f>
        <v>janifar.tabassum@g.bracu.ac.bd</v>
      </c>
      <c r="E314" s="105"/>
    </row>
    <row r="315" ht="22.5" customHeight="1">
      <c r="A315" s="133">
        <f>IFERROR(__xludf.DUMMYFUNCTION("""COMPUTED_VALUE"""),2.2101495E7)</f>
        <v>22101495</v>
      </c>
      <c r="B315" s="133" t="str">
        <f>IFERROR(__xludf.DUMMYFUNCTION("""COMPUTED_VALUE"""),"Yeasin Arafat")</f>
        <v>Yeasin Arafat</v>
      </c>
      <c r="C315" s="134" t="str">
        <f>IFERROR(__xludf.DUMMYFUNCTION("""COMPUTED_VALUE"""),"General Member")</f>
        <v>General Member</v>
      </c>
      <c r="D315" s="134" t="str">
        <f>IFERROR(__xludf.DUMMYFUNCTION("""COMPUTED_VALUE"""),"yeasin.arafat1@g.bracu.ac.bd")</f>
        <v>yeasin.arafat1@g.bracu.ac.bd</v>
      </c>
      <c r="E315" s="105"/>
    </row>
    <row r="316" ht="22.5" customHeight="1">
      <c r="A316" s="133">
        <f>IFERROR(__xludf.DUMMYFUNCTION("""COMPUTED_VALUE"""),2.2101487E7)</f>
        <v>22101487</v>
      </c>
      <c r="B316" s="133" t="str">
        <f>IFERROR(__xludf.DUMMYFUNCTION("""COMPUTED_VALUE"""),"Md. Redwan Islam")</f>
        <v>Md. Redwan Islam</v>
      </c>
      <c r="C316" s="134" t="str">
        <f>IFERROR(__xludf.DUMMYFUNCTION("""COMPUTED_VALUE"""),"General Member")</f>
        <v>General Member</v>
      </c>
      <c r="D316" s="134" t="str">
        <f>IFERROR(__xludf.DUMMYFUNCTION("""COMPUTED_VALUE"""),"md.redwan.islam@g.bracu.ac.bd")</f>
        <v>md.redwan.islam@g.bracu.ac.bd</v>
      </c>
      <c r="E316" s="105"/>
    </row>
    <row r="317" ht="22.5" customHeight="1">
      <c r="A317" s="133">
        <f>IFERROR(__xludf.DUMMYFUNCTION("""COMPUTED_VALUE"""),2.2101486E7)</f>
        <v>22101486</v>
      </c>
      <c r="B317" s="133" t="str">
        <f>IFERROR(__xludf.DUMMYFUNCTION("""COMPUTED_VALUE"""),"Mustafis Ahsan")</f>
        <v>Mustafis Ahsan</v>
      </c>
      <c r="C317" s="134" t="str">
        <f>IFERROR(__xludf.DUMMYFUNCTION("""COMPUTED_VALUE"""),"General Member")</f>
        <v>General Member</v>
      </c>
      <c r="D317" s="134" t="str">
        <f>IFERROR(__xludf.DUMMYFUNCTION("""COMPUTED_VALUE"""),"mustafis.ahsan@g.bracu.ac.bd")</f>
        <v>mustafis.ahsan@g.bracu.ac.bd</v>
      </c>
      <c r="E317" s="105"/>
    </row>
    <row r="318" ht="22.5" customHeight="1">
      <c r="A318" s="133">
        <f>IFERROR(__xludf.DUMMYFUNCTION("""COMPUTED_VALUE"""),2.2101463E7)</f>
        <v>22101463</v>
      </c>
      <c r="B318" s="133" t="str">
        <f>IFERROR(__xludf.DUMMYFUNCTION("""COMPUTED_VALUE"""),"Md. Mustafizur Rahman Minhaz")</f>
        <v>Md. Mustafizur Rahman Minhaz</v>
      </c>
      <c r="C318" s="134" t="str">
        <f>IFERROR(__xludf.DUMMYFUNCTION("""COMPUTED_VALUE"""),"General Member")</f>
        <v>General Member</v>
      </c>
      <c r="D318" s="134" t="str">
        <f>IFERROR(__xludf.DUMMYFUNCTION("""COMPUTED_VALUE"""),"mustafizur.rahman.minhaz@g.bracu.ac.bd")</f>
        <v>mustafizur.rahman.minhaz@g.bracu.ac.bd</v>
      </c>
      <c r="E318" s="105"/>
    </row>
    <row r="319" ht="22.5" customHeight="1">
      <c r="A319" s="133">
        <f>IFERROR(__xludf.DUMMYFUNCTION("""COMPUTED_VALUE"""),2.2101451E7)</f>
        <v>22101451</v>
      </c>
      <c r="B319" s="133" t="str">
        <f>IFERROR(__xludf.DUMMYFUNCTION("""COMPUTED_VALUE"""),"S. M. Saidur Rahman")</f>
        <v>S. M. Saidur Rahman</v>
      </c>
      <c r="C319" s="134" t="str">
        <f>IFERROR(__xludf.DUMMYFUNCTION("""COMPUTED_VALUE"""),"General Member")</f>
        <v>General Member</v>
      </c>
      <c r="D319" s="134" t="str">
        <f>IFERROR(__xludf.DUMMYFUNCTION("""COMPUTED_VALUE"""),"sm.saidur.rahman@g.bracu.ac.bd")</f>
        <v>sm.saidur.rahman@g.bracu.ac.bd</v>
      </c>
      <c r="E319" s="105"/>
    </row>
    <row r="320" ht="22.5" customHeight="1">
      <c r="A320" s="133">
        <f>IFERROR(__xludf.DUMMYFUNCTION("""COMPUTED_VALUE"""),2.210144E7)</f>
        <v>22101440</v>
      </c>
      <c r="B320" s="133" t="str">
        <f>IFERROR(__xludf.DUMMYFUNCTION("""COMPUTED_VALUE"""),"Tonmoy Pal")</f>
        <v>Tonmoy Pal</v>
      </c>
      <c r="C320" s="134" t="str">
        <f>IFERROR(__xludf.DUMMYFUNCTION("""COMPUTED_VALUE"""),"General Member")</f>
        <v>General Member</v>
      </c>
      <c r="D320" s="134" t="str">
        <f>IFERROR(__xludf.DUMMYFUNCTION("""COMPUTED_VALUE"""),"tonmoy.pal@g.bracu.ac.bd")</f>
        <v>tonmoy.pal@g.bracu.ac.bd</v>
      </c>
      <c r="E320" s="105"/>
    </row>
    <row r="321" ht="22.5" customHeight="1">
      <c r="A321" s="133">
        <f>IFERROR(__xludf.DUMMYFUNCTION("""COMPUTED_VALUE"""),2.2101436E7)</f>
        <v>22101436</v>
      </c>
      <c r="B321" s="133" t="str">
        <f>IFERROR(__xludf.DUMMYFUNCTION("""COMPUTED_VALUE"""),"Md Abu Taher")</f>
        <v>Md Abu Taher</v>
      </c>
      <c r="C321" s="134" t="str">
        <f>IFERROR(__xludf.DUMMYFUNCTION("""COMPUTED_VALUE"""),"General Member")</f>
        <v>General Member</v>
      </c>
      <c r="D321" s="134" t="str">
        <f>IFERROR(__xludf.DUMMYFUNCTION("""COMPUTED_VALUE"""),"md.abu.taher@g.bracu.ac.bd")</f>
        <v>md.abu.taher@g.bracu.ac.bd</v>
      </c>
      <c r="E321" s="105"/>
    </row>
    <row r="322" ht="22.5" customHeight="1">
      <c r="A322" s="133">
        <f>IFERROR(__xludf.DUMMYFUNCTION("""COMPUTED_VALUE"""),2.2101414E7)</f>
        <v>22101414</v>
      </c>
      <c r="B322" s="133" t="str">
        <f>IFERROR(__xludf.DUMMYFUNCTION("""COMPUTED_VALUE"""),"Md Safkat Zahir")</f>
        <v>Md Safkat Zahir</v>
      </c>
      <c r="C322" s="134" t="str">
        <f>IFERROR(__xludf.DUMMYFUNCTION("""COMPUTED_VALUE"""),"General Member")</f>
        <v>General Member</v>
      </c>
      <c r="D322" s="134" t="str">
        <f>IFERROR(__xludf.DUMMYFUNCTION("""COMPUTED_VALUE"""),"md.safkat.zahir@g.bracu.ac.bd")</f>
        <v>md.safkat.zahir@g.bracu.ac.bd</v>
      </c>
      <c r="E322" s="105"/>
    </row>
    <row r="323" ht="22.5" customHeight="1">
      <c r="A323" s="133">
        <f>IFERROR(__xludf.DUMMYFUNCTION("""COMPUTED_VALUE"""),2.2101368E7)</f>
        <v>22101368</v>
      </c>
      <c r="B323" s="133" t="str">
        <f>IFERROR(__xludf.DUMMYFUNCTION("""COMPUTED_VALUE"""),"Saif Alam Shaan")</f>
        <v>Saif Alam Shaan</v>
      </c>
      <c r="C323" s="134" t="str">
        <f>IFERROR(__xludf.DUMMYFUNCTION("""COMPUTED_VALUE"""),"General Member")</f>
        <v>General Member</v>
      </c>
      <c r="D323" s="134" t="str">
        <f>IFERROR(__xludf.DUMMYFUNCTION("""COMPUTED_VALUE"""),"saif.alam.shaan@g.bracu.ac.bd")</f>
        <v>saif.alam.shaan@g.bracu.ac.bd</v>
      </c>
      <c r="E323" s="105"/>
    </row>
    <row r="324" ht="22.5" customHeight="1">
      <c r="A324" s="133">
        <f>IFERROR(__xludf.DUMMYFUNCTION("""COMPUTED_VALUE"""),2.2101364E7)</f>
        <v>22101364</v>
      </c>
      <c r="B324" s="133" t="str">
        <f>IFERROR(__xludf.DUMMYFUNCTION("""COMPUTED_VALUE"""),"Md Rahim Bhuiyan")</f>
        <v>Md Rahim Bhuiyan</v>
      </c>
      <c r="C324" s="134" t="str">
        <f>IFERROR(__xludf.DUMMYFUNCTION("""COMPUTED_VALUE"""),"General Member")</f>
        <v>General Member</v>
      </c>
      <c r="D324" s="134" t="str">
        <f>IFERROR(__xludf.DUMMYFUNCTION("""COMPUTED_VALUE"""),"md.rahim.bhuiyan@g.bracu.ac.bd")</f>
        <v>md.rahim.bhuiyan@g.bracu.ac.bd</v>
      </c>
      <c r="E324" s="105"/>
    </row>
    <row r="325" ht="22.5" customHeight="1">
      <c r="A325" s="133">
        <f>IFERROR(__xludf.DUMMYFUNCTION("""COMPUTED_VALUE"""),2.2101353E7)</f>
        <v>22101353</v>
      </c>
      <c r="B325" s="133" t="str">
        <f>IFERROR(__xludf.DUMMYFUNCTION("""COMPUTED_VALUE"""),"Sifat Shariar")</f>
        <v>Sifat Shariar</v>
      </c>
      <c r="C325" s="134" t="str">
        <f>IFERROR(__xludf.DUMMYFUNCTION("""COMPUTED_VALUE"""),"General Member")</f>
        <v>General Member</v>
      </c>
      <c r="D325" s="134" t="str">
        <f>IFERROR(__xludf.DUMMYFUNCTION("""COMPUTED_VALUE"""),"sifat.shariar.ador@g.bracu.ac.bd")</f>
        <v>sifat.shariar.ador@g.bracu.ac.bd</v>
      </c>
      <c r="E325" s="105"/>
    </row>
    <row r="326" ht="22.5" customHeight="1">
      <c r="A326" s="133">
        <f>IFERROR(__xludf.DUMMYFUNCTION("""COMPUTED_VALUE"""),2.2101352E7)</f>
        <v>22101352</v>
      </c>
      <c r="B326" s="133" t="str">
        <f>IFERROR(__xludf.DUMMYFUNCTION("""COMPUTED_VALUE"""),"Asir Adnan")</f>
        <v>Asir Adnan</v>
      </c>
      <c r="C326" s="134" t="str">
        <f>IFERROR(__xludf.DUMMYFUNCTION("""COMPUTED_VALUE"""),"General Member")</f>
        <v>General Member</v>
      </c>
      <c r="D326" s="134" t="str">
        <f>IFERROR(__xludf.DUMMYFUNCTION("""COMPUTED_VALUE"""),"asir.adnan@g.bracu.ac.bd")</f>
        <v>asir.adnan@g.bracu.ac.bd</v>
      </c>
      <c r="E326" s="105"/>
    </row>
    <row r="327" ht="22.5" customHeight="1">
      <c r="A327" s="133">
        <f>IFERROR(__xludf.DUMMYFUNCTION("""COMPUTED_VALUE"""),2.2101348E7)</f>
        <v>22101348</v>
      </c>
      <c r="B327" s="133" t="str">
        <f>IFERROR(__xludf.DUMMYFUNCTION("""COMPUTED_VALUE"""),"Andalib Iftakher")</f>
        <v>Andalib Iftakher</v>
      </c>
      <c r="C327" s="134" t="str">
        <f>IFERROR(__xludf.DUMMYFUNCTION("""COMPUTED_VALUE"""),"General Member")</f>
        <v>General Member</v>
      </c>
      <c r="D327" s="134" t="str">
        <f>IFERROR(__xludf.DUMMYFUNCTION("""COMPUTED_VALUE"""),"andalib.iftakher@g.bracu.ac.bd")</f>
        <v>andalib.iftakher@g.bracu.ac.bd</v>
      </c>
      <c r="E327" s="105"/>
    </row>
    <row r="328" ht="22.5" customHeight="1">
      <c r="A328" s="133">
        <f>IFERROR(__xludf.DUMMYFUNCTION("""COMPUTED_VALUE"""),2.2101347E7)</f>
        <v>22101347</v>
      </c>
      <c r="B328" s="133" t="str">
        <f>IFERROR(__xludf.DUMMYFUNCTION("""COMPUTED_VALUE"""),"Avishek Nandi")</f>
        <v>Avishek Nandi</v>
      </c>
      <c r="C328" s="134" t="str">
        <f>IFERROR(__xludf.DUMMYFUNCTION("""COMPUTED_VALUE"""),"General Member")</f>
        <v>General Member</v>
      </c>
      <c r="D328" s="134" t="str">
        <f>IFERROR(__xludf.DUMMYFUNCTION("""COMPUTED_VALUE"""),"avishek.nandi.barna@g.bracu.ac.bd")</f>
        <v>avishek.nandi.barna@g.bracu.ac.bd</v>
      </c>
      <c r="E328" s="105"/>
    </row>
    <row r="329" ht="22.5" customHeight="1">
      <c r="A329" s="133">
        <f>IFERROR(__xludf.DUMMYFUNCTION("""COMPUTED_VALUE"""),2.2101328E7)</f>
        <v>22101328</v>
      </c>
      <c r="B329" s="133" t="str">
        <f>IFERROR(__xludf.DUMMYFUNCTION("""COMPUTED_VALUE"""),"Eshat Tanzeem")</f>
        <v>Eshat Tanzeem</v>
      </c>
      <c r="C329" s="134" t="str">
        <f>IFERROR(__xludf.DUMMYFUNCTION("""COMPUTED_VALUE"""),"General Member")</f>
        <v>General Member</v>
      </c>
      <c r="D329" s="134" t="str">
        <f>IFERROR(__xludf.DUMMYFUNCTION("""COMPUTED_VALUE"""),"eshat.tanzeem@g.bracu.ac.bd")</f>
        <v>eshat.tanzeem@g.bracu.ac.bd</v>
      </c>
      <c r="E329" s="105"/>
    </row>
    <row r="330" ht="22.5" customHeight="1">
      <c r="A330" s="133">
        <f>IFERROR(__xludf.DUMMYFUNCTION("""COMPUTED_VALUE"""),2.2101307E7)</f>
        <v>22101307</v>
      </c>
      <c r="B330" s="133" t="str">
        <f>IFERROR(__xludf.DUMMYFUNCTION("""COMPUTED_VALUE"""),"Mir Jubaer Abedin Shazid")</f>
        <v>Mir Jubaer Abedin Shazid</v>
      </c>
      <c r="C330" s="134" t="str">
        <f>IFERROR(__xludf.DUMMYFUNCTION("""COMPUTED_VALUE"""),"General Member")</f>
        <v>General Member</v>
      </c>
      <c r="D330" s="134" t="str">
        <f>IFERROR(__xludf.DUMMYFUNCTION("""COMPUTED_VALUE"""),"Jubaer.abedin.shazid@g.bracu.ac.bd")</f>
        <v>Jubaer.abedin.shazid@g.bracu.ac.bd</v>
      </c>
      <c r="E330" s="105"/>
    </row>
    <row r="331" ht="22.5" customHeight="1">
      <c r="A331" s="133">
        <f>IFERROR(__xludf.DUMMYFUNCTION("""COMPUTED_VALUE"""),2.2101295E7)</f>
        <v>22101295</v>
      </c>
      <c r="B331" s="133" t="str">
        <f>IFERROR(__xludf.DUMMYFUNCTION("""COMPUTED_VALUE"""),"Md. Shaikh Saimum")</f>
        <v>Md. Shaikh Saimum</v>
      </c>
      <c r="C331" s="134" t="str">
        <f>IFERROR(__xludf.DUMMYFUNCTION("""COMPUTED_VALUE"""),"General Member")</f>
        <v>General Member</v>
      </c>
      <c r="D331" s="134" t="str">
        <f>IFERROR(__xludf.DUMMYFUNCTION("""COMPUTED_VALUE"""),"md.shaikh.saimum@g.bracu.ac.bd")</f>
        <v>md.shaikh.saimum@g.bracu.ac.bd</v>
      </c>
      <c r="E331" s="105"/>
    </row>
    <row r="332" ht="22.5" customHeight="1">
      <c r="A332" s="133">
        <f>IFERROR(__xludf.DUMMYFUNCTION("""COMPUTED_VALUE"""),2.2101253E7)</f>
        <v>22101253</v>
      </c>
      <c r="B332" s="133" t="str">
        <f>IFERROR(__xludf.DUMMYFUNCTION("""COMPUTED_VALUE"""),"S. M. Mushfiqur Rahman Nayeem")</f>
        <v>S. M. Mushfiqur Rahman Nayeem</v>
      </c>
      <c r="C332" s="134" t="str">
        <f>IFERROR(__xludf.DUMMYFUNCTION("""COMPUTED_VALUE"""),"General Member")</f>
        <v>General Member</v>
      </c>
      <c r="D332" s="134" t="str">
        <f>IFERROR(__xludf.DUMMYFUNCTION("""COMPUTED_VALUE"""),"mushfiqur.rahman.nayeem@g.bracu.ac.bd")</f>
        <v>mushfiqur.rahman.nayeem@g.bracu.ac.bd</v>
      </c>
      <c r="E332" s="105"/>
    </row>
    <row r="333" ht="22.5" customHeight="1">
      <c r="A333" s="133">
        <f>IFERROR(__xludf.DUMMYFUNCTION("""COMPUTED_VALUE"""),2.2101252E7)</f>
        <v>22101252</v>
      </c>
      <c r="B333" s="133" t="str">
        <f>IFERROR(__xludf.DUMMYFUNCTION("""COMPUTED_VALUE"""),"Md Golam Tawhid Fahad")</f>
        <v>Md Golam Tawhid Fahad</v>
      </c>
      <c r="C333" s="134" t="str">
        <f>IFERROR(__xludf.DUMMYFUNCTION("""COMPUTED_VALUE"""),"General Member")</f>
        <v>General Member</v>
      </c>
      <c r="D333" s="134" t="str">
        <f>IFERROR(__xludf.DUMMYFUNCTION("""COMPUTED_VALUE"""),"golam.tawhid.fahad@g.bracu.ac.bd")</f>
        <v>golam.tawhid.fahad@g.bracu.ac.bd</v>
      </c>
      <c r="E333" s="105"/>
    </row>
    <row r="334" ht="22.5" customHeight="1">
      <c r="A334" s="133">
        <f>IFERROR(__xludf.DUMMYFUNCTION("""COMPUTED_VALUE"""),2.2101241E7)</f>
        <v>22101241</v>
      </c>
      <c r="B334" s="133" t="str">
        <f>IFERROR(__xludf.DUMMYFUNCTION("""COMPUTED_VALUE"""),"Israt Kayesh Ipsit")</f>
        <v>Israt Kayesh Ipsit</v>
      </c>
      <c r="C334" s="134" t="str">
        <f>IFERROR(__xludf.DUMMYFUNCTION("""COMPUTED_VALUE"""),"General Member")</f>
        <v>General Member</v>
      </c>
      <c r="D334" s="134" t="str">
        <f>IFERROR(__xludf.DUMMYFUNCTION("""COMPUTED_VALUE"""),"israt.kayesh.ipsit@g.bracu.ac.bd")</f>
        <v>israt.kayesh.ipsit@g.bracu.ac.bd</v>
      </c>
      <c r="E334" s="105"/>
    </row>
    <row r="335" ht="22.5" customHeight="1">
      <c r="A335" s="133">
        <f>IFERROR(__xludf.DUMMYFUNCTION("""COMPUTED_VALUE"""),2.2101234E7)</f>
        <v>22101234</v>
      </c>
      <c r="B335" s="133" t="str">
        <f>IFERROR(__xludf.DUMMYFUNCTION("""COMPUTED_VALUE"""),"Anuprerona Saha")</f>
        <v>Anuprerona Saha</v>
      </c>
      <c r="C335" s="134" t="str">
        <f>IFERROR(__xludf.DUMMYFUNCTION("""COMPUTED_VALUE"""),"General Member")</f>
        <v>General Member</v>
      </c>
      <c r="D335" s="134" t="str">
        <f>IFERROR(__xludf.DUMMYFUNCTION("""COMPUTED_VALUE"""),"anuprerona.saha@g.bracu.ac.bd")</f>
        <v>anuprerona.saha@g.bracu.ac.bd</v>
      </c>
      <c r="E335" s="105"/>
    </row>
    <row r="336" ht="22.5" customHeight="1">
      <c r="A336" s="133">
        <f>IFERROR(__xludf.DUMMYFUNCTION("""COMPUTED_VALUE"""),2.2101231E7)</f>
        <v>22101231</v>
      </c>
      <c r="B336" s="133" t="str">
        <f>IFERROR(__xludf.DUMMYFUNCTION("""COMPUTED_VALUE"""),"Tasdida Nawaz")</f>
        <v>Tasdida Nawaz</v>
      </c>
      <c r="C336" s="134" t="str">
        <f>IFERROR(__xludf.DUMMYFUNCTION("""COMPUTED_VALUE"""),"General Member")</f>
        <v>General Member</v>
      </c>
      <c r="D336" s="134" t="str">
        <f>IFERROR(__xludf.DUMMYFUNCTION("""COMPUTED_VALUE"""),"tasdida.nawaz@g.bracu.ac.bd")</f>
        <v>tasdida.nawaz@g.bracu.ac.bd</v>
      </c>
      <c r="E336" s="105"/>
    </row>
    <row r="337" ht="22.5" customHeight="1">
      <c r="A337" s="133">
        <f>IFERROR(__xludf.DUMMYFUNCTION("""COMPUTED_VALUE"""),2.2101228E7)</f>
        <v>22101228</v>
      </c>
      <c r="B337" s="133" t="str">
        <f>IFERROR(__xludf.DUMMYFUNCTION("""COMPUTED_VALUE"""),"Quazi Tousif Ishraq")</f>
        <v>Quazi Tousif Ishraq</v>
      </c>
      <c r="C337" s="134" t="str">
        <f>IFERROR(__xludf.DUMMYFUNCTION("""COMPUTED_VALUE"""),"General Member")</f>
        <v>General Member</v>
      </c>
      <c r="D337" s="134" t="str">
        <f>IFERROR(__xludf.DUMMYFUNCTION("""COMPUTED_VALUE"""),"quazi.tousif.ishraq@g.bracu.ac.bd")</f>
        <v>quazi.tousif.ishraq@g.bracu.ac.bd</v>
      </c>
      <c r="E337" s="105"/>
    </row>
    <row r="338" ht="22.5" customHeight="1">
      <c r="A338" s="133">
        <f>IFERROR(__xludf.DUMMYFUNCTION("""COMPUTED_VALUE"""),2.2101227E7)</f>
        <v>22101227</v>
      </c>
      <c r="B338" s="133" t="str">
        <f>IFERROR(__xludf.DUMMYFUNCTION("""COMPUTED_VALUE"""),"Fahmidur Iqbal Swapnil")</f>
        <v>Fahmidur Iqbal Swapnil</v>
      </c>
      <c r="C338" s="134" t="str">
        <f>IFERROR(__xludf.DUMMYFUNCTION("""COMPUTED_VALUE"""),"General Member")</f>
        <v>General Member</v>
      </c>
      <c r="D338" s="134" t="str">
        <f>IFERROR(__xludf.DUMMYFUNCTION("""COMPUTED_VALUE"""),"fahmidur.iqbal.swapnil@g.bracu.ac.bd")</f>
        <v>fahmidur.iqbal.swapnil@g.bracu.ac.bd</v>
      </c>
      <c r="E338" s="105"/>
    </row>
    <row r="339" ht="22.5" customHeight="1">
      <c r="A339" s="133">
        <f>IFERROR(__xludf.DUMMYFUNCTION("""COMPUTED_VALUE"""),2.2101225E7)</f>
        <v>22101225</v>
      </c>
      <c r="B339" s="133" t="str">
        <f>IFERROR(__xludf.DUMMYFUNCTION("""COMPUTED_VALUE"""),"Nabid Hasan Omi")</f>
        <v>Nabid Hasan Omi</v>
      </c>
      <c r="C339" s="134" t="str">
        <f>IFERROR(__xludf.DUMMYFUNCTION("""COMPUTED_VALUE"""),"General Member")</f>
        <v>General Member</v>
      </c>
      <c r="D339" s="134" t="str">
        <f>IFERROR(__xludf.DUMMYFUNCTION("""COMPUTED_VALUE"""),"nabid.hasan.omi@g.bracu.ac.bd")</f>
        <v>nabid.hasan.omi@g.bracu.ac.bd</v>
      </c>
      <c r="E339" s="105"/>
    </row>
    <row r="340" ht="22.5" customHeight="1">
      <c r="A340" s="133">
        <f>IFERROR(__xludf.DUMMYFUNCTION("""COMPUTED_VALUE"""),2.2101217E7)</f>
        <v>22101217</v>
      </c>
      <c r="B340" s="133" t="str">
        <f>IFERROR(__xludf.DUMMYFUNCTION("""COMPUTED_VALUE"""),"Md. Talik Hasan")</f>
        <v>Md. Talik Hasan</v>
      </c>
      <c r="C340" s="134" t="str">
        <f>IFERROR(__xludf.DUMMYFUNCTION("""COMPUTED_VALUE"""),"General Member")</f>
        <v>General Member</v>
      </c>
      <c r="D340" s="134" t="str">
        <f>IFERROR(__xludf.DUMMYFUNCTION("""COMPUTED_VALUE"""),"md.talik.hasan@g.bracu.ac.bd")</f>
        <v>md.talik.hasan@g.bracu.ac.bd</v>
      </c>
      <c r="E340" s="105"/>
    </row>
    <row r="341" ht="22.5" customHeight="1">
      <c r="A341" s="133">
        <f>IFERROR(__xludf.DUMMYFUNCTION("""COMPUTED_VALUE"""),2.2101214E7)</f>
        <v>22101214</v>
      </c>
      <c r="B341" s="133" t="str">
        <f>IFERROR(__xludf.DUMMYFUNCTION("""COMPUTED_VALUE"""),"Chowdhury Isfatul Karim")</f>
        <v>Chowdhury Isfatul Karim</v>
      </c>
      <c r="C341" s="134" t="str">
        <f>IFERROR(__xludf.DUMMYFUNCTION("""COMPUTED_VALUE"""),"General Member")</f>
        <v>General Member</v>
      </c>
      <c r="D341" s="134" t="str">
        <f>IFERROR(__xludf.DUMMYFUNCTION("""COMPUTED_VALUE"""),"chowdhury.isfatul.karim@g.bracu.ac.bd")</f>
        <v>chowdhury.isfatul.karim@g.bracu.ac.bd</v>
      </c>
      <c r="E341" s="105"/>
    </row>
    <row r="342" ht="22.5" customHeight="1">
      <c r="A342" s="133">
        <f>IFERROR(__xludf.DUMMYFUNCTION("""COMPUTED_VALUE"""),2.2101213E7)</f>
        <v>22101213</v>
      </c>
      <c r="B342" s="133" t="str">
        <f>IFERROR(__xludf.DUMMYFUNCTION("""COMPUTED_VALUE"""),"Oishik Dey")</f>
        <v>Oishik Dey</v>
      </c>
      <c r="C342" s="134" t="str">
        <f>IFERROR(__xludf.DUMMYFUNCTION("""COMPUTED_VALUE"""),"General Member")</f>
        <v>General Member</v>
      </c>
      <c r="D342" s="134" t="str">
        <f>IFERROR(__xludf.DUMMYFUNCTION("""COMPUTED_VALUE"""),"oishik.dey@g.bracu.ac.bd")</f>
        <v>oishik.dey@g.bracu.ac.bd</v>
      </c>
      <c r="E342" s="105"/>
    </row>
    <row r="343" ht="22.5" customHeight="1">
      <c r="A343" s="133">
        <f>IFERROR(__xludf.DUMMYFUNCTION("""COMPUTED_VALUE"""),2.2101197E7)</f>
        <v>22101197</v>
      </c>
      <c r="B343" s="133" t="str">
        <f>IFERROR(__xludf.DUMMYFUNCTION("""COMPUTED_VALUE"""),"Md. Moniruzzaman")</f>
        <v>Md. Moniruzzaman</v>
      </c>
      <c r="C343" s="134" t="str">
        <f>IFERROR(__xludf.DUMMYFUNCTION("""COMPUTED_VALUE"""),"General Member")</f>
        <v>General Member</v>
      </c>
      <c r="D343" s="134" t="str">
        <f>IFERROR(__xludf.DUMMYFUNCTION("""COMPUTED_VALUE"""),"md.moniruzzaman4@g.bracu.ac.bd")</f>
        <v>md.moniruzzaman4@g.bracu.ac.bd</v>
      </c>
      <c r="E343" s="105"/>
    </row>
    <row r="344" ht="22.5" customHeight="1">
      <c r="A344" s="133">
        <f>IFERROR(__xludf.DUMMYFUNCTION("""COMPUTED_VALUE"""),2.2101159E7)</f>
        <v>22101159</v>
      </c>
      <c r="B344" s="133" t="str">
        <f>IFERROR(__xludf.DUMMYFUNCTION("""COMPUTED_VALUE"""),"Abdul Gaffar Imon")</f>
        <v>Abdul Gaffar Imon</v>
      </c>
      <c r="C344" s="134" t="str">
        <f>IFERROR(__xludf.DUMMYFUNCTION("""COMPUTED_VALUE"""),"General Member")</f>
        <v>General Member</v>
      </c>
      <c r="D344" s="134" t="str">
        <f>IFERROR(__xludf.DUMMYFUNCTION("""COMPUTED_VALUE"""),"abdul.gaffar.imon@g.bracu.ac.bd")</f>
        <v>abdul.gaffar.imon@g.bracu.ac.bd</v>
      </c>
      <c r="E344" s="105"/>
    </row>
    <row r="345" ht="22.5" customHeight="1">
      <c r="A345" s="133">
        <f>IFERROR(__xludf.DUMMYFUNCTION("""COMPUTED_VALUE"""),2.2101147E7)</f>
        <v>22101147</v>
      </c>
      <c r="B345" s="133" t="str">
        <f>IFERROR(__xludf.DUMMYFUNCTION("""COMPUTED_VALUE"""),"Muktadir Haque Sarker")</f>
        <v>Muktadir Haque Sarker</v>
      </c>
      <c r="C345" s="134" t="str">
        <f>IFERROR(__xludf.DUMMYFUNCTION("""COMPUTED_VALUE"""),"General Member")</f>
        <v>General Member</v>
      </c>
      <c r="D345" s="134" t="str">
        <f>IFERROR(__xludf.DUMMYFUNCTION("""COMPUTED_VALUE"""),"muktadir.haque.sarker@g.bracu.ac.bd")</f>
        <v>muktadir.haque.sarker@g.bracu.ac.bd</v>
      </c>
      <c r="E345" s="105"/>
    </row>
    <row r="346" ht="22.5" customHeight="1">
      <c r="A346" s="133">
        <f>IFERROR(__xludf.DUMMYFUNCTION("""COMPUTED_VALUE"""),2.2101141E7)</f>
        <v>22101141</v>
      </c>
      <c r="B346" s="133" t="str">
        <f>IFERROR(__xludf.DUMMYFUNCTION("""COMPUTED_VALUE"""),"Faysal Mohammed Abir")</f>
        <v>Faysal Mohammed Abir</v>
      </c>
      <c r="C346" s="134" t="str">
        <f>IFERROR(__xludf.DUMMYFUNCTION("""COMPUTED_VALUE"""),"General Member")</f>
        <v>General Member</v>
      </c>
      <c r="D346" s="134" t="str">
        <f>IFERROR(__xludf.DUMMYFUNCTION("""COMPUTED_VALUE"""),"faysal.mohammed.abir@g.bracu.ac.bd")</f>
        <v>faysal.mohammed.abir@g.bracu.ac.bd</v>
      </c>
      <c r="E346" s="105"/>
    </row>
    <row r="347" ht="22.5" customHeight="1">
      <c r="A347" s="133">
        <f>IFERROR(__xludf.DUMMYFUNCTION("""COMPUTED_VALUE"""),2.2101135E7)</f>
        <v>22101135</v>
      </c>
      <c r="B347" s="133" t="str">
        <f>IFERROR(__xludf.DUMMYFUNCTION("""COMPUTED_VALUE"""),"Arfan Ahmed Fahim")</f>
        <v>Arfan Ahmed Fahim</v>
      </c>
      <c r="C347" s="134" t="str">
        <f>IFERROR(__xludf.DUMMYFUNCTION("""COMPUTED_VALUE"""),"General Member")</f>
        <v>General Member</v>
      </c>
      <c r="D347" s="134" t="str">
        <f>IFERROR(__xludf.DUMMYFUNCTION("""COMPUTED_VALUE"""),"arfan.ahmed.fahim@g.bracu.ac.bd")</f>
        <v>arfan.ahmed.fahim@g.bracu.ac.bd</v>
      </c>
      <c r="E347" s="105"/>
    </row>
    <row r="348" ht="22.5" customHeight="1">
      <c r="A348" s="133">
        <f>IFERROR(__xludf.DUMMYFUNCTION("""COMPUTED_VALUE"""),2.2101117E7)</f>
        <v>22101117</v>
      </c>
      <c r="B348" s="133" t="str">
        <f>IFERROR(__xludf.DUMMYFUNCTION("""COMPUTED_VALUE"""),"Shawana Maliha")</f>
        <v>Shawana Maliha</v>
      </c>
      <c r="C348" s="134" t="str">
        <f>IFERROR(__xludf.DUMMYFUNCTION("""COMPUTED_VALUE"""),"General Member")</f>
        <v>General Member</v>
      </c>
      <c r="D348" s="134" t="str">
        <f>IFERROR(__xludf.DUMMYFUNCTION("""COMPUTED_VALUE"""),"shawana.maliha@g.bracu.ac.bd")</f>
        <v>shawana.maliha@g.bracu.ac.bd</v>
      </c>
      <c r="E348" s="105"/>
    </row>
    <row r="349" ht="22.5" customHeight="1">
      <c r="A349" s="133">
        <f>IFERROR(__xludf.DUMMYFUNCTION("""COMPUTED_VALUE"""),2.2101116E7)</f>
        <v>22101116</v>
      </c>
      <c r="B349" s="133" t="str">
        <f>IFERROR(__xludf.DUMMYFUNCTION("""COMPUTED_VALUE"""),"Hasan Mohammad Sayem")</f>
        <v>Hasan Mohammad Sayem</v>
      </c>
      <c r="C349" s="134" t="str">
        <f>IFERROR(__xludf.DUMMYFUNCTION("""COMPUTED_VALUE"""),"General Member")</f>
        <v>General Member</v>
      </c>
      <c r="D349" s="134" t="str">
        <f>IFERROR(__xludf.DUMMYFUNCTION("""COMPUTED_VALUE"""),"hasan.mohammed.sayem@g.bracu.ac.bd")</f>
        <v>hasan.mohammed.sayem@g.bracu.ac.bd</v>
      </c>
      <c r="E349" s="105"/>
    </row>
    <row r="350" ht="22.5" customHeight="1">
      <c r="A350" s="133">
        <f>IFERROR(__xludf.DUMMYFUNCTION("""COMPUTED_VALUE"""),2.2101115E7)</f>
        <v>22101115</v>
      </c>
      <c r="B350" s="133" t="str">
        <f>IFERROR(__xludf.DUMMYFUNCTION("""COMPUTED_VALUE"""),"Maliha Hossain Munia")</f>
        <v>Maliha Hossain Munia</v>
      </c>
      <c r="C350" s="134" t="str">
        <f>IFERROR(__xludf.DUMMYFUNCTION("""COMPUTED_VALUE"""),"General Member")</f>
        <v>General Member</v>
      </c>
      <c r="D350" s="134" t="str">
        <f>IFERROR(__xludf.DUMMYFUNCTION("""COMPUTED_VALUE"""),"maliha.hossain.munia@g.bracu.ac.bd")</f>
        <v>maliha.hossain.munia@g.bracu.ac.bd</v>
      </c>
      <c r="E350" s="105"/>
    </row>
    <row r="351" ht="22.5" customHeight="1">
      <c r="A351" s="133">
        <f>IFERROR(__xludf.DUMMYFUNCTION("""COMPUTED_VALUE"""),2.2101095E7)</f>
        <v>22101095</v>
      </c>
      <c r="B351" s="133" t="str">
        <f>IFERROR(__xludf.DUMMYFUNCTION("""COMPUTED_VALUE"""),"Aowfi Adon Foraejy")</f>
        <v>Aowfi Adon Foraejy</v>
      </c>
      <c r="C351" s="134" t="str">
        <f>IFERROR(__xludf.DUMMYFUNCTION("""COMPUTED_VALUE"""),"General Member")</f>
        <v>General Member</v>
      </c>
      <c r="D351" s="134" t="str">
        <f>IFERROR(__xludf.DUMMYFUNCTION("""COMPUTED_VALUE"""),"aowfi.adon.foraejy@g.bracu.ac.bd")</f>
        <v>aowfi.adon.foraejy@g.bracu.ac.bd</v>
      </c>
      <c r="E351" s="105"/>
    </row>
    <row r="352" ht="22.5" customHeight="1">
      <c r="A352" s="133">
        <f>IFERROR(__xludf.DUMMYFUNCTION("""COMPUTED_VALUE"""),2.210109E7)</f>
        <v>22101090</v>
      </c>
      <c r="B352" s="133" t="str">
        <f>IFERROR(__xludf.DUMMYFUNCTION("""COMPUTED_VALUE"""),"Saumik Das Turja")</f>
        <v>Saumik Das Turja</v>
      </c>
      <c r="C352" s="134" t="str">
        <f>IFERROR(__xludf.DUMMYFUNCTION("""COMPUTED_VALUE"""),"General Member")</f>
        <v>General Member</v>
      </c>
      <c r="D352" s="134" t="str">
        <f>IFERROR(__xludf.DUMMYFUNCTION("""COMPUTED_VALUE"""),"saumik.das.turja@g.bracu.ac.bd")</f>
        <v>saumik.das.turja@g.bracu.ac.bd</v>
      </c>
      <c r="E352" s="105"/>
    </row>
    <row r="353" ht="22.5" customHeight="1">
      <c r="A353" s="133">
        <f>IFERROR(__xludf.DUMMYFUNCTION("""COMPUTED_VALUE"""),2.2101078E7)</f>
        <v>22101078</v>
      </c>
      <c r="B353" s="133" t="str">
        <f>IFERROR(__xludf.DUMMYFUNCTION("""COMPUTED_VALUE"""),"Sadat Sakib Prodhhan")</f>
        <v>Sadat Sakib Prodhhan</v>
      </c>
      <c r="C353" s="134" t="str">
        <f>IFERROR(__xludf.DUMMYFUNCTION("""COMPUTED_VALUE"""),"General Member")</f>
        <v>General Member</v>
      </c>
      <c r="D353" s="134" t="str">
        <f>IFERROR(__xludf.DUMMYFUNCTION("""COMPUTED_VALUE"""),"sadat.sakib.prodhan@g.bracu.ac.bd")</f>
        <v>sadat.sakib.prodhan@g.bracu.ac.bd</v>
      </c>
      <c r="E353" s="105"/>
    </row>
    <row r="354" ht="22.5" customHeight="1">
      <c r="A354" s="133">
        <f>IFERROR(__xludf.DUMMYFUNCTION("""COMPUTED_VALUE"""),2.210107E7)</f>
        <v>22101070</v>
      </c>
      <c r="B354" s="133" t="str">
        <f>IFERROR(__xludf.DUMMYFUNCTION("""COMPUTED_VALUE"""),"Tasnimul Hasan")</f>
        <v>Tasnimul Hasan</v>
      </c>
      <c r="C354" s="134" t="str">
        <f>IFERROR(__xludf.DUMMYFUNCTION("""COMPUTED_VALUE"""),"General Member")</f>
        <v>General Member</v>
      </c>
      <c r="D354" s="134" t="str">
        <f>IFERROR(__xludf.DUMMYFUNCTION("""COMPUTED_VALUE"""),"tasnimul.hasan@g.bracu.ac.bd")</f>
        <v>tasnimul.hasan@g.bracu.ac.bd</v>
      </c>
      <c r="E354" s="105"/>
    </row>
    <row r="355" ht="22.5" customHeight="1">
      <c r="A355" s="133">
        <f>IFERROR(__xludf.DUMMYFUNCTION("""COMPUTED_VALUE"""),2.2101057E7)</f>
        <v>22101057</v>
      </c>
      <c r="B355" s="133" t="str">
        <f>IFERROR(__xludf.DUMMYFUNCTION("""COMPUTED_VALUE"""),"Shakib Shadman Shoumik")</f>
        <v>Shakib Shadman Shoumik</v>
      </c>
      <c r="C355" s="134" t="str">
        <f>IFERROR(__xludf.DUMMYFUNCTION("""COMPUTED_VALUE"""),"General Member")</f>
        <v>General Member</v>
      </c>
      <c r="D355" s="134" t="str">
        <f>IFERROR(__xludf.DUMMYFUNCTION("""COMPUTED_VALUE"""),"shakib.shadman.shoumik@g.bracu.ac.bd")</f>
        <v>shakib.shadman.shoumik@g.bracu.ac.bd</v>
      </c>
      <c r="E355" s="105"/>
    </row>
    <row r="356" ht="22.5" customHeight="1">
      <c r="A356" s="133">
        <f>IFERROR(__xludf.DUMMYFUNCTION("""COMPUTED_VALUE"""),2.2101048E7)</f>
        <v>22101048</v>
      </c>
      <c r="B356" s="133" t="str">
        <f>IFERROR(__xludf.DUMMYFUNCTION("""COMPUTED_VALUE"""),"Yeasin Ibne Kadir")</f>
        <v>Yeasin Ibne Kadir</v>
      </c>
      <c r="C356" s="134" t="str">
        <f>IFERROR(__xludf.DUMMYFUNCTION("""COMPUTED_VALUE"""),"General Member")</f>
        <v>General Member</v>
      </c>
      <c r="D356" s="134" t="str">
        <f>IFERROR(__xludf.DUMMYFUNCTION("""COMPUTED_VALUE"""),"yeasin.ibne.kadir@g.bracu.ac.bd")</f>
        <v>yeasin.ibne.kadir@g.bracu.ac.bd</v>
      </c>
      <c r="E356" s="105"/>
    </row>
    <row r="357" ht="22.5" customHeight="1">
      <c r="A357" s="133">
        <f>IFERROR(__xludf.DUMMYFUNCTION("""COMPUTED_VALUE"""),2.2101032E7)</f>
        <v>22101032</v>
      </c>
      <c r="B357" s="133" t="str">
        <f>IFERROR(__xludf.DUMMYFUNCTION("""COMPUTED_VALUE"""),"Md Labibul Ahsan Alif")</f>
        <v>Md Labibul Ahsan Alif</v>
      </c>
      <c r="C357" s="134" t="str">
        <f>IFERROR(__xludf.DUMMYFUNCTION("""COMPUTED_VALUE"""),"General Member")</f>
        <v>General Member</v>
      </c>
      <c r="D357" s="134" t="str">
        <f>IFERROR(__xludf.DUMMYFUNCTION("""COMPUTED_VALUE"""),"labibul.ahsan.alif@g.bracu.ac.bd")</f>
        <v>labibul.ahsan.alif@g.bracu.ac.bd</v>
      </c>
      <c r="E357" s="105"/>
    </row>
    <row r="358" ht="22.5" customHeight="1">
      <c r="A358" s="133">
        <f>IFERROR(__xludf.DUMMYFUNCTION("""COMPUTED_VALUE"""),2.2101025E7)</f>
        <v>22101025</v>
      </c>
      <c r="B358" s="133" t="str">
        <f>IFERROR(__xludf.DUMMYFUNCTION("""COMPUTED_VALUE"""),"Syeda Nazifa Ali")</f>
        <v>Syeda Nazifa Ali</v>
      </c>
      <c r="C358" s="134" t="str">
        <f>IFERROR(__xludf.DUMMYFUNCTION("""COMPUTED_VALUE"""),"General Member")</f>
        <v>General Member</v>
      </c>
      <c r="D358" s="134" t="str">
        <f>IFERROR(__xludf.DUMMYFUNCTION("""COMPUTED_VALUE"""),"syeda.nazifa.ali@g.bracu.ac.bd")</f>
        <v>syeda.nazifa.ali@g.bracu.ac.bd</v>
      </c>
      <c r="E358" s="105"/>
    </row>
    <row r="359" ht="22.5" customHeight="1">
      <c r="A359" s="133">
        <f>IFERROR(__xludf.DUMMYFUNCTION("""COMPUTED_VALUE"""),2.2101006E7)</f>
        <v>22101006</v>
      </c>
      <c r="B359" s="133" t="str">
        <f>IFERROR(__xludf.DUMMYFUNCTION("""COMPUTED_VALUE"""),"Sabiha.Rahman.Raisa@G.Bracu.Ac.Bd")</f>
        <v>Sabiha.Rahman.Raisa@G.Bracu.Ac.Bd</v>
      </c>
      <c r="C359" s="134" t="str">
        <f>IFERROR(__xludf.DUMMYFUNCTION("""COMPUTED_VALUE"""),"General Member")</f>
        <v>General Member</v>
      </c>
      <c r="D359" s="134" t="str">
        <f>IFERROR(__xludf.DUMMYFUNCTION("""COMPUTED_VALUE"""),"sabiha.rahman.raisa@g.bracu.ac.bd")</f>
        <v>sabiha.rahman.raisa@g.bracu.ac.bd</v>
      </c>
      <c r="E359" s="105"/>
    </row>
    <row r="360" ht="22.5" customHeight="1">
      <c r="A360" s="133">
        <f>IFERROR(__xludf.DUMMYFUNCTION("""COMPUTED_VALUE"""),2.3101107E7)</f>
        <v>23101107</v>
      </c>
      <c r="B360" s="133" t="str">
        <f>IFERROR(__xludf.DUMMYFUNCTION("""COMPUTED_VALUE"""),"Mayen Shahriar Kabir")</f>
        <v>Mayen Shahriar Kabir</v>
      </c>
      <c r="C360" s="134" t="str">
        <f>IFERROR(__xludf.DUMMYFUNCTION("""COMPUTED_VALUE"""),"General Member")</f>
        <v>General Member</v>
      </c>
      <c r="D360" s="134" t="str">
        <f>IFERROR(__xludf.DUMMYFUNCTION("""COMPUTED_VALUE"""),"mayen.shahriar.kabir@g.bracu.ac.bd")</f>
        <v>mayen.shahriar.kabir@g.bracu.ac.bd</v>
      </c>
      <c r="E360" s="105"/>
    </row>
    <row r="361" ht="22.5" customHeight="1">
      <c r="A361" s="133">
        <f>IFERROR(__xludf.DUMMYFUNCTION("""COMPUTED_VALUE"""),2.320139E7)</f>
        <v>23201390</v>
      </c>
      <c r="B361" s="133" t="str">
        <f>IFERROR(__xludf.DUMMYFUNCTION("""COMPUTED_VALUE"""),"Md.Minhazul Mowla")</f>
        <v>Md.Minhazul Mowla</v>
      </c>
      <c r="C361" s="134" t="str">
        <f>IFERROR(__xludf.DUMMYFUNCTION("""COMPUTED_VALUE"""),"General Member")</f>
        <v>General Member</v>
      </c>
      <c r="D361" s="134" t="str">
        <f>IFERROR(__xludf.DUMMYFUNCTION("""COMPUTED_VALUE"""),"md.minhazul.mowla@g.bracu.ac.bd")</f>
        <v>md.minhazul.mowla@g.bracu.ac.bd</v>
      </c>
      <c r="E361" s="105"/>
    </row>
    <row r="362" ht="22.5" customHeight="1">
      <c r="A362" s="133">
        <f>IFERROR(__xludf.DUMMYFUNCTION("""COMPUTED_VALUE"""),2.3101001E7)</f>
        <v>23101001</v>
      </c>
      <c r="B362" s="133" t="str">
        <f>IFERROR(__xludf.DUMMYFUNCTION("""COMPUTED_VALUE"""),"Naheyan Tahmin")</f>
        <v>Naheyan Tahmin</v>
      </c>
      <c r="C362" s="134" t="str">
        <f>IFERROR(__xludf.DUMMYFUNCTION("""COMPUTED_VALUE"""),"General Member")</f>
        <v>General Member</v>
      </c>
      <c r="D362" s="134" t="str">
        <f>IFERROR(__xludf.DUMMYFUNCTION("""COMPUTED_VALUE"""),"naheyan.tahmin@g.bracu.ac.bd")</f>
        <v>naheyan.tahmin@g.bracu.ac.bd</v>
      </c>
      <c r="E362" s="105"/>
    </row>
    <row r="363" ht="22.5" customHeight="1">
      <c r="A363" s="133">
        <f>IFERROR(__xludf.DUMMYFUNCTION("""COMPUTED_VALUE"""),2.4101112E7)</f>
        <v>24101112</v>
      </c>
      <c r="B363" s="133" t="str">
        <f>IFERROR(__xludf.DUMMYFUNCTION("""COMPUTED_VALUE"""),"Yamin Chowdhury")</f>
        <v>Yamin Chowdhury</v>
      </c>
      <c r="C363" s="134" t="str">
        <f>IFERROR(__xludf.DUMMYFUNCTION("""COMPUTED_VALUE"""),"General Member")</f>
        <v>General Member</v>
      </c>
      <c r="D363" s="134" t="str">
        <f>IFERROR(__xludf.DUMMYFUNCTION("""COMPUTED_VALUE"""),"yamin.chowdhury@g.bracu.ac.bd")</f>
        <v>yamin.chowdhury@g.bracu.ac.bd</v>
      </c>
      <c r="E363" s="105"/>
    </row>
    <row r="364" ht="22.5" customHeight="1">
      <c r="A364" s="133">
        <f>IFERROR(__xludf.DUMMYFUNCTION("""COMPUTED_VALUE"""),2.4101169E7)</f>
        <v>24101169</v>
      </c>
      <c r="B364" s="133" t="str">
        <f>IFERROR(__xludf.DUMMYFUNCTION("""COMPUTED_VALUE"""),"Tanjilur Rahman")</f>
        <v>Tanjilur Rahman</v>
      </c>
      <c r="C364" s="134" t="str">
        <f>IFERROR(__xludf.DUMMYFUNCTION("""COMPUTED_VALUE"""),"General Member")</f>
        <v>General Member</v>
      </c>
      <c r="D364" s="134" t="str">
        <f>IFERROR(__xludf.DUMMYFUNCTION("""COMPUTED_VALUE"""),"tanjilur.rahman2@g.bracu.ac.bd")</f>
        <v>tanjilur.rahman2@g.bracu.ac.bd</v>
      </c>
      <c r="E364" s="105"/>
    </row>
    <row r="365" ht="22.5" customHeight="1">
      <c r="A365" s="133">
        <f>IFERROR(__xludf.DUMMYFUNCTION("""COMPUTED_VALUE"""),2.4101121E7)</f>
        <v>24101121</v>
      </c>
      <c r="B365" s="133" t="str">
        <f>IFERROR(__xludf.DUMMYFUNCTION("""COMPUTED_VALUE"""),"Adibur Rahman")</f>
        <v>Adibur Rahman</v>
      </c>
      <c r="C365" s="134" t="str">
        <f>IFERROR(__xludf.DUMMYFUNCTION("""COMPUTED_VALUE"""),"General Member")</f>
        <v>General Member</v>
      </c>
      <c r="D365" s="134" t="str">
        <f>IFERROR(__xludf.DUMMYFUNCTION("""COMPUTED_VALUE"""),"adibur.rahman@g.bracu.ac.bd")</f>
        <v>adibur.rahman@g.bracu.ac.bd</v>
      </c>
      <c r="E365" s="105"/>
    </row>
    <row r="366" ht="22.5" customHeight="1">
      <c r="A366" s="133">
        <f>IFERROR(__xludf.DUMMYFUNCTION("""COMPUTED_VALUE"""),2.4101386E7)</f>
        <v>24101386</v>
      </c>
      <c r="B366" s="133" t="str">
        <f>IFERROR(__xludf.DUMMYFUNCTION("""COMPUTED_VALUE"""),"Mubtasim Ariyan")</f>
        <v>Mubtasim Ariyan</v>
      </c>
      <c r="C366" s="134" t="str">
        <f>IFERROR(__xludf.DUMMYFUNCTION("""COMPUTED_VALUE"""),"General Member")</f>
        <v>General Member</v>
      </c>
      <c r="D366" s="134" t="str">
        <f>IFERROR(__xludf.DUMMYFUNCTION("""COMPUTED_VALUE"""),"mubtasim.ariyan@g.bracu.ac.bd")</f>
        <v>mubtasim.ariyan@g.bracu.ac.bd</v>
      </c>
      <c r="E366" s="105"/>
    </row>
    <row r="367" ht="22.5" customHeight="1">
      <c r="A367" s="133">
        <f>IFERROR(__xludf.DUMMYFUNCTION("""COMPUTED_VALUE"""),2.4101589E7)</f>
        <v>24101589</v>
      </c>
      <c r="B367" s="133" t="str">
        <f>IFERROR(__xludf.DUMMYFUNCTION("""COMPUTED_VALUE"""),"Al-Aksha Ali Katha")</f>
        <v>Al-Aksha Ali Katha</v>
      </c>
      <c r="C367" s="134" t="str">
        <f>IFERROR(__xludf.DUMMYFUNCTION("""COMPUTED_VALUE"""),"General Member")</f>
        <v>General Member</v>
      </c>
      <c r="D367" s="134" t="str">
        <f>IFERROR(__xludf.DUMMYFUNCTION("""COMPUTED_VALUE"""),"alaksha.ali.katha@g.bracu.ac.bd")</f>
        <v>alaksha.ali.katha@g.bracu.ac.bd</v>
      </c>
      <c r="E367" s="105"/>
    </row>
    <row r="368" ht="22.5" customHeight="1">
      <c r="A368" s="133">
        <f>IFERROR(__xludf.DUMMYFUNCTION("""COMPUTED_VALUE"""),2.4126012E7)</f>
        <v>24126012</v>
      </c>
      <c r="B368" s="133" t="str">
        <f>IFERROR(__xludf.DUMMYFUNCTION("""COMPUTED_VALUE"""),"Lamia Rahman")</f>
        <v>Lamia Rahman</v>
      </c>
      <c r="C368" s="134" t="str">
        <f>IFERROR(__xludf.DUMMYFUNCTION("""COMPUTED_VALUE"""),"General Member")</f>
        <v>General Member</v>
      </c>
      <c r="D368" s="134" t="str">
        <f>IFERROR(__xludf.DUMMYFUNCTION("""COMPUTED_VALUE"""),"lamia.rahman2@g.bracu.ac.bd")</f>
        <v>lamia.rahman2@g.bracu.ac.bd</v>
      </c>
      <c r="E368" s="105"/>
    </row>
    <row r="369" ht="22.5" customHeight="1">
      <c r="A369" s="133">
        <f>IFERROR(__xludf.DUMMYFUNCTION("""COMPUTED_VALUE"""),2.3101279E7)</f>
        <v>23101279</v>
      </c>
      <c r="B369" s="133" t="str">
        <f>IFERROR(__xludf.DUMMYFUNCTION("""COMPUTED_VALUE"""),"MD. Farhad Hossain Shishir")</f>
        <v>MD. Farhad Hossain Shishir</v>
      </c>
      <c r="C369" s="134" t="str">
        <f>IFERROR(__xludf.DUMMYFUNCTION("""COMPUTED_VALUE"""),"General Member")</f>
        <v>General Member</v>
      </c>
      <c r="D369" s="134" t="str">
        <f>IFERROR(__xludf.DUMMYFUNCTION("""COMPUTED_VALUE"""),"farhad.hossain.shishir@g.bracu.ac.bd")</f>
        <v>farhad.hossain.shishir@g.bracu.ac.bd</v>
      </c>
      <c r="E369" s="105"/>
    </row>
    <row r="370" ht="22.5" customHeight="1">
      <c r="A370" s="133">
        <f>IFERROR(__xludf.DUMMYFUNCTION("""COMPUTED_VALUE"""),2.3201208E7)</f>
        <v>23201208</v>
      </c>
      <c r="B370" s="133" t="str">
        <f>IFERROR(__xludf.DUMMYFUNCTION("""COMPUTED_VALUE"""),"Fauzia Zaman Shupty")</f>
        <v>Fauzia Zaman Shupty</v>
      </c>
      <c r="C370" s="134" t="str">
        <f>IFERROR(__xludf.DUMMYFUNCTION("""COMPUTED_VALUE"""),"General Member")</f>
        <v>General Member</v>
      </c>
      <c r="D370" s="134" t="str">
        <f>IFERROR(__xludf.DUMMYFUNCTION("""COMPUTED_VALUE"""),"fauzia.zaman.shupty@g.bracu.ac.bd")</f>
        <v>fauzia.zaman.shupty@g.bracu.ac.bd</v>
      </c>
      <c r="E370" s="105"/>
    </row>
    <row r="371" ht="22.5" customHeight="1">
      <c r="A371" s="133">
        <f>IFERROR(__xludf.DUMMYFUNCTION("""COMPUTED_VALUE"""),2.4101663E7)</f>
        <v>24101663</v>
      </c>
      <c r="B371" s="133" t="str">
        <f>IFERROR(__xludf.DUMMYFUNCTION("""COMPUTED_VALUE"""),"Nabil")</f>
        <v>Nabil</v>
      </c>
      <c r="C371" s="134" t="str">
        <f>IFERROR(__xludf.DUMMYFUNCTION("""COMPUTED_VALUE"""),"General Member")</f>
        <v>General Member</v>
      </c>
      <c r="D371" s="134" t="str">
        <f>IFERROR(__xludf.DUMMYFUNCTION("""COMPUTED_VALUE"""),"nabil.ahmed1@g.bracu.ac.bd")</f>
        <v>nabil.ahmed1@g.bracu.ac.bd</v>
      </c>
      <c r="E371" s="105"/>
    </row>
    <row r="372" ht="22.5" customHeight="1">
      <c r="A372" s="133">
        <f>IFERROR(__xludf.DUMMYFUNCTION("""COMPUTED_VALUE"""),2.4101114E7)</f>
        <v>24101114</v>
      </c>
      <c r="B372" s="133" t="str">
        <f>IFERROR(__xludf.DUMMYFUNCTION("""COMPUTED_VALUE"""),"Nafiz Kamal")</f>
        <v>Nafiz Kamal</v>
      </c>
      <c r="C372" s="134" t="str">
        <f>IFERROR(__xludf.DUMMYFUNCTION("""COMPUTED_VALUE"""),"General Member")</f>
        <v>General Member</v>
      </c>
      <c r="D372" s="134" t="str">
        <f>IFERROR(__xludf.DUMMYFUNCTION("""COMPUTED_VALUE"""),"nafiz.kamal@g.bracu.ac.bd")</f>
        <v>nafiz.kamal@g.bracu.ac.bd</v>
      </c>
      <c r="E372" s="105"/>
    </row>
    <row r="373" ht="22.5" customHeight="1">
      <c r="A373" s="133">
        <f>IFERROR(__xludf.DUMMYFUNCTION("""COMPUTED_VALUE"""),2.4101622E7)</f>
        <v>24101622</v>
      </c>
      <c r="B373" s="133" t="str">
        <f>IFERROR(__xludf.DUMMYFUNCTION("""COMPUTED_VALUE"""),"Shouharda Dey")</f>
        <v>Shouharda Dey</v>
      </c>
      <c r="C373" s="134" t="str">
        <f>IFERROR(__xludf.DUMMYFUNCTION("""COMPUTED_VALUE"""),"General Member")</f>
        <v>General Member</v>
      </c>
      <c r="D373" s="134" t="str">
        <f>IFERROR(__xludf.DUMMYFUNCTION("""COMPUTED_VALUE"""),"shouharda.dey@g.bracu.ac.bd")</f>
        <v>shouharda.dey@g.bracu.ac.bd</v>
      </c>
      <c r="E373" s="105"/>
    </row>
    <row r="374" ht="22.5" customHeight="1">
      <c r="A374" s="133">
        <f>IFERROR(__xludf.DUMMYFUNCTION("""COMPUTED_VALUE"""),2.4101444E7)</f>
        <v>24101444</v>
      </c>
      <c r="B374" s="133" t="str">
        <f>IFERROR(__xludf.DUMMYFUNCTION("""COMPUTED_VALUE"""),"Ahmed Yeasin Mowla")</f>
        <v>Ahmed Yeasin Mowla</v>
      </c>
      <c r="C374" s="134" t="str">
        <f>IFERROR(__xludf.DUMMYFUNCTION("""COMPUTED_VALUE"""),"General Member")</f>
        <v>General Member</v>
      </c>
      <c r="D374" s="134" t="str">
        <f>IFERROR(__xludf.DUMMYFUNCTION("""COMPUTED_VALUE"""),"ahmed.yeasin.mowla@g.bracu.ac.bd")</f>
        <v>ahmed.yeasin.mowla@g.bracu.ac.bd</v>
      </c>
      <c r="E374" s="105"/>
    </row>
    <row r="375" ht="22.5" customHeight="1">
      <c r="A375" s="133">
        <f>IFERROR(__xludf.DUMMYFUNCTION("""COMPUTED_VALUE"""),2.4101392E7)</f>
        <v>24101392</v>
      </c>
      <c r="B375" s="133" t="str">
        <f>IFERROR(__xludf.DUMMYFUNCTION("""COMPUTED_VALUE"""),"Fardin Islam")</f>
        <v>Fardin Islam</v>
      </c>
      <c r="C375" s="134" t="str">
        <f>IFERROR(__xludf.DUMMYFUNCTION("""COMPUTED_VALUE"""),"General Member")</f>
        <v>General Member</v>
      </c>
      <c r="D375" s="134" t="str">
        <f>IFERROR(__xludf.DUMMYFUNCTION("""COMPUTED_VALUE"""),"fardin.islam1@g.bracu.ac.bd")</f>
        <v>fardin.islam1@g.bracu.ac.bd</v>
      </c>
      <c r="E375" s="105"/>
    </row>
    <row r="376" ht="22.5" customHeight="1">
      <c r="A376" s="133">
        <f>IFERROR(__xludf.DUMMYFUNCTION("""COMPUTED_VALUE"""),2.3201169E7)</f>
        <v>23201169</v>
      </c>
      <c r="B376" s="133" t="str">
        <f>IFERROR(__xludf.DUMMYFUNCTION("""COMPUTED_VALUE"""),"Niloy Sarkar")</f>
        <v>Niloy Sarkar</v>
      </c>
      <c r="C376" s="134" t="str">
        <f>IFERROR(__xludf.DUMMYFUNCTION("""COMPUTED_VALUE"""),"General Member")</f>
        <v>General Member</v>
      </c>
      <c r="D376" s="134" t="str">
        <f>IFERROR(__xludf.DUMMYFUNCTION("""COMPUTED_VALUE"""),"niloy.sarkar1@g.bracu.ac.bd")</f>
        <v>niloy.sarkar1@g.bracu.ac.bd</v>
      </c>
      <c r="E376" s="105"/>
    </row>
    <row r="377" ht="22.5" customHeight="1">
      <c r="A377" s="133">
        <f>IFERROR(__xludf.DUMMYFUNCTION("""COMPUTED_VALUE"""),2.3201402E7)</f>
        <v>23201402</v>
      </c>
      <c r="B377" s="133" t="str">
        <f>IFERROR(__xludf.DUMMYFUNCTION("""COMPUTED_VALUE"""),"Saiful Islam")</f>
        <v>Saiful Islam</v>
      </c>
      <c r="C377" s="134" t="str">
        <f>IFERROR(__xludf.DUMMYFUNCTION("""COMPUTED_VALUE"""),"General Member")</f>
        <v>General Member</v>
      </c>
      <c r="D377" s="134" t="str">
        <f>IFERROR(__xludf.DUMMYFUNCTION("""COMPUTED_VALUE"""),"saiful.islam5@g.bracu.ac.bd")</f>
        <v>saiful.islam5@g.bracu.ac.bd</v>
      </c>
      <c r="E377" s="105"/>
    </row>
    <row r="378" ht="22.5" customHeight="1">
      <c r="A378" s="133">
        <f>IFERROR(__xludf.DUMMYFUNCTION("""COMPUTED_VALUE"""),2.2301385E7)</f>
        <v>22301385</v>
      </c>
      <c r="B378" s="133" t="str">
        <f>IFERROR(__xludf.DUMMYFUNCTION("""COMPUTED_VALUE"""),"MD. Mustafizur Rahman")</f>
        <v>MD. Mustafizur Rahman</v>
      </c>
      <c r="C378" s="134" t="str">
        <f>IFERROR(__xludf.DUMMYFUNCTION("""COMPUTED_VALUE"""),"General Member")</f>
        <v>General Member</v>
      </c>
      <c r="D378" s="134" t="str">
        <f>IFERROR(__xludf.DUMMYFUNCTION("""COMPUTED_VALUE"""),"md.mustafizur.rahman2@g.bracu.ac.bd")</f>
        <v>md.mustafizur.rahman2@g.bracu.ac.bd</v>
      </c>
      <c r="E378" s="105"/>
    </row>
    <row r="379" ht="22.5" customHeight="1">
      <c r="A379" s="133">
        <f>IFERROR(__xludf.DUMMYFUNCTION("""COMPUTED_VALUE"""),2.4101592E7)</f>
        <v>24101592</v>
      </c>
      <c r="B379" s="133" t="str">
        <f>IFERROR(__xludf.DUMMYFUNCTION("""COMPUTED_VALUE"""),"Md Abu Shahed")</f>
        <v>Md Abu Shahed</v>
      </c>
      <c r="C379" s="134" t="str">
        <f>IFERROR(__xludf.DUMMYFUNCTION("""COMPUTED_VALUE"""),"General Member")</f>
        <v>General Member</v>
      </c>
      <c r="D379" s="134" t="str">
        <f>IFERROR(__xludf.DUMMYFUNCTION("""COMPUTED_VALUE"""),"md.abu.shahed@g.bracu.ac.bd")</f>
        <v>md.abu.shahed@g.bracu.ac.bd</v>
      </c>
      <c r="E379" s="105"/>
    </row>
    <row r="380" ht="22.5" customHeight="1">
      <c r="A380" s="133">
        <f>IFERROR(__xludf.DUMMYFUNCTION("""COMPUTED_VALUE"""),2.410158E7)</f>
        <v>24101580</v>
      </c>
      <c r="B380" s="133" t="str">
        <f>IFERROR(__xludf.DUMMYFUNCTION("""COMPUTED_VALUE"""),"Sajid Ahmed")</f>
        <v>Sajid Ahmed</v>
      </c>
      <c r="C380" s="134" t="str">
        <f>IFERROR(__xludf.DUMMYFUNCTION("""COMPUTED_VALUE"""),"General Member")</f>
        <v>General Member</v>
      </c>
      <c r="D380" s="134" t="str">
        <f>IFERROR(__xludf.DUMMYFUNCTION("""COMPUTED_VALUE"""),"sajid.ahmed2@g.bracu.ac.bd")</f>
        <v>sajid.ahmed2@g.bracu.ac.bd</v>
      </c>
      <c r="E380" s="105"/>
    </row>
    <row r="381" ht="22.5" customHeight="1">
      <c r="A381" s="133">
        <f>IFERROR(__xludf.DUMMYFUNCTION("""COMPUTED_VALUE"""),2.4101621E7)</f>
        <v>24101621</v>
      </c>
      <c r="B381" s="133" t="str">
        <f>IFERROR(__xludf.DUMMYFUNCTION("""COMPUTED_VALUE"""),"Md. Sadman Islam Sams")</f>
        <v>Md. Sadman Islam Sams</v>
      </c>
      <c r="C381" s="134" t="str">
        <f>IFERROR(__xludf.DUMMYFUNCTION("""COMPUTED_VALUE"""),"General Member")</f>
        <v>General Member</v>
      </c>
      <c r="D381" s="134" t="str">
        <f>IFERROR(__xludf.DUMMYFUNCTION("""COMPUTED_VALUE"""),"sadman.islam.sams@g.bracu.ac.bd")</f>
        <v>sadman.islam.sams@g.bracu.ac.bd</v>
      </c>
      <c r="E381" s="105"/>
    </row>
    <row r="382" ht="22.5" customHeight="1">
      <c r="A382" s="133">
        <f>IFERROR(__xludf.DUMMYFUNCTION("""COMPUTED_VALUE"""),2.320129E7)</f>
        <v>23201290</v>
      </c>
      <c r="B382" s="133" t="str">
        <f>IFERROR(__xludf.DUMMYFUNCTION("""COMPUTED_VALUE"""),"Gazi Md. Nawfil Ahsan")</f>
        <v>Gazi Md. Nawfil Ahsan</v>
      </c>
      <c r="C382" s="134" t="str">
        <f>IFERROR(__xludf.DUMMYFUNCTION("""COMPUTED_VALUE"""),"General Member")</f>
        <v>General Member</v>
      </c>
      <c r="D382" s="134" t="str">
        <f>IFERROR(__xludf.DUMMYFUNCTION("""COMPUTED_VALUE"""),"gazi.md.nawfilahsan@g.bracu.ac.bd")</f>
        <v>gazi.md.nawfilahsan@g.bracu.ac.bd</v>
      </c>
      <c r="E382" s="105"/>
    </row>
    <row r="383" ht="22.5" customHeight="1">
      <c r="A383" s="133">
        <f>IFERROR(__xludf.DUMMYFUNCTION("""COMPUTED_VALUE"""),2.4101529E7)</f>
        <v>24101529</v>
      </c>
      <c r="B383" s="133" t="str">
        <f>IFERROR(__xludf.DUMMYFUNCTION("""COMPUTED_VALUE"""),"Sabab Al Saba")</f>
        <v>Sabab Al Saba</v>
      </c>
      <c r="C383" s="134" t="str">
        <f>IFERROR(__xludf.DUMMYFUNCTION("""COMPUTED_VALUE"""),"General Member")</f>
        <v>General Member</v>
      </c>
      <c r="D383" s="134" t="str">
        <f>IFERROR(__xludf.DUMMYFUNCTION("""COMPUTED_VALUE"""),"sabab.al.saba@g.bracu.ac.bd")</f>
        <v>sabab.al.saba@g.bracu.ac.bd</v>
      </c>
      <c r="E383" s="105"/>
    </row>
    <row r="384" ht="22.5" customHeight="1">
      <c r="A384" s="133">
        <f>IFERROR(__xludf.DUMMYFUNCTION("""COMPUTED_VALUE"""),2.4101507E7)</f>
        <v>24101507</v>
      </c>
      <c r="B384" s="133" t="str">
        <f>IFERROR(__xludf.DUMMYFUNCTION("""COMPUTED_VALUE"""),"Fatir Ahmed Bhuiyan")</f>
        <v>Fatir Ahmed Bhuiyan</v>
      </c>
      <c r="C384" s="134" t="str">
        <f>IFERROR(__xludf.DUMMYFUNCTION("""COMPUTED_VALUE"""),"General Member")</f>
        <v>General Member</v>
      </c>
      <c r="D384" s="134" t="str">
        <f>IFERROR(__xludf.DUMMYFUNCTION("""COMPUTED_VALUE"""),"fatir.ahmed.bhuiyan@g.bracu.ac.bd")</f>
        <v>fatir.ahmed.bhuiyan@g.bracu.ac.bd</v>
      </c>
      <c r="E384" s="105"/>
    </row>
    <row r="385" ht="22.5" customHeight="1">
      <c r="A385" s="133">
        <f>IFERROR(__xludf.DUMMYFUNCTION("""COMPUTED_VALUE"""),2.2201446E7)</f>
        <v>22201446</v>
      </c>
      <c r="B385" s="133" t="str">
        <f>IFERROR(__xludf.DUMMYFUNCTION("""COMPUTED_VALUE"""),"Rahnuma Rusammi")</f>
        <v>Rahnuma Rusammi</v>
      </c>
      <c r="C385" s="134" t="str">
        <f>IFERROR(__xludf.DUMMYFUNCTION("""COMPUTED_VALUE"""),"General Member")</f>
        <v>General Member</v>
      </c>
      <c r="D385" s="134" t="str">
        <f>IFERROR(__xludf.DUMMYFUNCTION("""COMPUTED_VALUE"""),"rahnuma.rusammi.riya@g.bracu.ac.bd")</f>
        <v>rahnuma.rusammi.riya@g.bracu.ac.bd</v>
      </c>
      <c r="E385" s="105"/>
    </row>
    <row r="386" ht="22.5" customHeight="1">
      <c r="A386" s="133">
        <f>IFERROR(__xludf.DUMMYFUNCTION("""COMPUTED_VALUE"""),2.410134E7)</f>
        <v>24101340</v>
      </c>
      <c r="B386" s="133" t="str">
        <f>IFERROR(__xludf.DUMMYFUNCTION("""COMPUTED_VALUE"""),"Shahriar sharif")</f>
        <v>Shahriar sharif</v>
      </c>
      <c r="C386" s="134" t="str">
        <f>IFERROR(__xludf.DUMMYFUNCTION("""COMPUTED_VALUE"""),"General Member")</f>
        <v>General Member</v>
      </c>
      <c r="D386" s="134" t="str">
        <f>IFERROR(__xludf.DUMMYFUNCTION("""COMPUTED_VALUE"""),"Shahriar.sharif@g.bracu.ac.bd")</f>
        <v>Shahriar.sharif@g.bracu.ac.bd</v>
      </c>
      <c r="E386" s="105"/>
    </row>
    <row r="387" ht="22.5" customHeight="1">
      <c r="A387" s="133">
        <f>IFERROR(__xludf.DUMMYFUNCTION("""COMPUTED_VALUE"""),2.2101103E7)</f>
        <v>22101103</v>
      </c>
      <c r="B387" s="133" t="str">
        <f>IFERROR(__xludf.DUMMYFUNCTION("""COMPUTED_VALUE"""),"Sihab Sumon")</f>
        <v>Sihab Sumon</v>
      </c>
      <c r="C387" s="134" t="str">
        <f>IFERROR(__xludf.DUMMYFUNCTION("""COMPUTED_VALUE"""),"General Member")</f>
        <v>General Member</v>
      </c>
      <c r="D387" s="134" t="str">
        <f>IFERROR(__xludf.DUMMYFUNCTION("""COMPUTED_VALUE"""),"sihab.sumon@g.bracu.ac.bd")</f>
        <v>sihab.sumon@g.bracu.ac.bd</v>
      </c>
      <c r="E387" s="105"/>
    </row>
    <row r="388" ht="22.5" customHeight="1">
      <c r="A388" s="133">
        <f>IFERROR(__xludf.DUMMYFUNCTION("""COMPUTED_VALUE"""),2.2101356E7)</f>
        <v>22101356</v>
      </c>
      <c r="B388" s="133" t="str">
        <f>IFERROR(__xludf.DUMMYFUNCTION("""COMPUTED_VALUE"""),"Madhuri Mazumder")</f>
        <v>Madhuri Mazumder</v>
      </c>
      <c r="C388" s="134" t="str">
        <f>IFERROR(__xludf.DUMMYFUNCTION("""COMPUTED_VALUE"""),"General Member")</f>
        <v>General Member</v>
      </c>
      <c r="D388" s="134" t="str">
        <f>IFERROR(__xludf.DUMMYFUNCTION("""COMPUTED_VALUE"""),"madhuri.mazumder@g.bracu.ac.bd")</f>
        <v>madhuri.mazumder@g.bracu.ac.bd</v>
      </c>
      <c r="E388" s="105"/>
    </row>
    <row r="389" ht="22.5" customHeight="1">
      <c r="A389" s="133">
        <f>IFERROR(__xludf.DUMMYFUNCTION("""COMPUTED_VALUE"""),2.3201543E7)</f>
        <v>23201543</v>
      </c>
      <c r="B389" s="133" t="str">
        <f>IFERROR(__xludf.DUMMYFUNCTION("""COMPUTED_VALUE"""),"Farhan Ahmed Tinon")</f>
        <v>Farhan Ahmed Tinon</v>
      </c>
      <c r="C389" s="134" t="str">
        <f>IFERROR(__xludf.DUMMYFUNCTION("""COMPUTED_VALUE"""),"General Member")</f>
        <v>General Member</v>
      </c>
      <c r="D389" s="134" t="str">
        <f>IFERROR(__xludf.DUMMYFUNCTION("""COMPUTED_VALUE"""),"farhan.ahmed.tinon@g.bracu.ac.bd")</f>
        <v>farhan.ahmed.tinon@g.bracu.ac.bd</v>
      </c>
      <c r="E389" s="105"/>
    </row>
    <row r="390" ht="22.5" customHeight="1">
      <c r="A390" s="133">
        <f>IFERROR(__xludf.DUMMYFUNCTION("""COMPUTED_VALUE"""),2.4141047E7)</f>
        <v>24141047</v>
      </c>
      <c r="B390" s="133" t="str">
        <f>IFERROR(__xludf.DUMMYFUNCTION("""COMPUTED_VALUE"""),"HASIN HAMID UDDIN")</f>
        <v>HASIN HAMID UDDIN</v>
      </c>
      <c r="C390" s="134" t="str">
        <f>IFERROR(__xludf.DUMMYFUNCTION("""COMPUTED_VALUE"""),"General Member")</f>
        <v>General Member</v>
      </c>
      <c r="D390" s="134" t="str">
        <f>IFERROR(__xludf.DUMMYFUNCTION("""COMPUTED_VALUE"""),"hasin.hamid.uddin@g.bracu.ac.bd")</f>
        <v>hasin.hamid.uddin@g.bracu.ac.bd</v>
      </c>
      <c r="E390" s="105"/>
    </row>
    <row r="391" ht="22.5" customHeight="1">
      <c r="A391" s="133">
        <f>IFERROR(__xludf.DUMMYFUNCTION("""COMPUTED_VALUE"""),2.2341016E7)</f>
        <v>22341016</v>
      </c>
      <c r="B391" s="133" t="str">
        <f>IFERROR(__xludf.DUMMYFUNCTION("""COMPUTED_VALUE"""),"Syed Wasif Towfique")</f>
        <v>Syed Wasif Towfique</v>
      </c>
      <c r="C391" s="134" t="str">
        <f>IFERROR(__xludf.DUMMYFUNCTION("""COMPUTED_VALUE"""),"General Member")</f>
        <v>General Member</v>
      </c>
      <c r="D391" s="134" t="str">
        <f>IFERROR(__xludf.DUMMYFUNCTION("""COMPUTED_VALUE"""),"syed.wasif.towfique@g.bracu.ac.bd")</f>
        <v>syed.wasif.towfique@g.bracu.ac.bd</v>
      </c>
      <c r="E391" s="105"/>
    </row>
    <row r="392" ht="22.5" customHeight="1">
      <c r="A392" s="133">
        <f>IFERROR(__xludf.DUMMYFUNCTION("""COMPUTED_VALUE"""),2.2201235E7)</f>
        <v>22201235</v>
      </c>
      <c r="B392" s="133" t="str">
        <f>IFERROR(__xludf.DUMMYFUNCTION("""COMPUTED_VALUE"""),"Al-Washi Sarker")</f>
        <v>Al-Washi Sarker</v>
      </c>
      <c r="C392" s="134" t="str">
        <f>IFERROR(__xludf.DUMMYFUNCTION("""COMPUTED_VALUE"""),"General Member")</f>
        <v>General Member</v>
      </c>
      <c r="D392" s="134" t="str">
        <f>IFERROR(__xludf.DUMMYFUNCTION("""COMPUTED_VALUE"""),"al.washi.sarker@g.bracu.ac.bd")</f>
        <v>al.washi.sarker@g.bracu.ac.bd</v>
      </c>
      <c r="E392" s="105"/>
    </row>
    <row r="393" ht="22.5" customHeight="1">
      <c r="A393" s="133">
        <f>IFERROR(__xludf.DUMMYFUNCTION("""COMPUTED_VALUE"""),2.4101061E7)</f>
        <v>24101061</v>
      </c>
      <c r="B393" s="133" t="str">
        <f>IFERROR(__xludf.DUMMYFUNCTION("""COMPUTED_VALUE"""),"Fahim Shahriar Hossain")</f>
        <v>Fahim Shahriar Hossain</v>
      </c>
      <c r="C393" s="134" t="str">
        <f>IFERROR(__xludf.DUMMYFUNCTION("""COMPUTED_VALUE"""),"General Member")</f>
        <v>General Member</v>
      </c>
      <c r="D393" s="134" t="str">
        <f>IFERROR(__xludf.DUMMYFUNCTION("""COMPUTED_VALUE"""),"fahim.shahriar.hossain@g.bracu.ac.bd")</f>
        <v>fahim.shahriar.hossain@g.bracu.ac.bd</v>
      </c>
      <c r="E393" s="105"/>
    </row>
    <row r="394" ht="22.5" customHeight="1">
      <c r="A394" s="133">
        <f>IFERROR(__xludf.DUMMYFUNCTION("""COMPUTED_VALUE"""),2.4101458E7)</f>
        <v>24101458</v>
      </c>
      <c r="B394" s="133" t="str">
        <f>IFERROR(__xludf.DUMMYFUNCTION("""COMPUTED_VALUE"""),"Ahnaf Hasan Arnab")</f>
        <v>Ahnaf Hasan Arnab</v>
      </c>
      <c r="C394" s="134" t="str">
        <f>IFERROR(__xludf.DUMMYFUNCTION("""COMPUTED_VALUE"""),"General Member")</f>
        <v>General Member</v>
      </c>
      <c r="D394" s="134" t="str">
        <f>IFERROR(__xludf.DUMMYFUNCTION("""COMPUTED_VALUE"""),"ahnaf.hasan1@g.bracu.ac.bd")</f>
        <v>ahnaf.hasan1@g.bracu.ac.bd</v>
      </c>
      <c r="E394" s="105"/>
    </row>
    <row r="395" ht="22.5" customHeight="1">
      <c r="A395" s="133">
        <f>IFERROR(__xludf.DUMMYFUNCTION("""COMPUTED_VALUE"""),2.4141014E7)</f>
        <v>24141014</v>
      </c>
      <c r="B395" s="133" t="str">
        <f>IFERROR(__xludf.DUMMYFUNCTION("""COMPUTED_VALUE"""),"Ilham Morsalin")</f>
        <v>Ilham Morsalin</v>
      </c>
      <c r="C395" s="134" t="str">
        <f>IFERROR(__xludf.DUMMYFUNCTION("""COMPUTED_VALUE"""),"General Member")</f>
        <v>General Member</v>
      </c>
      <c r="D395" s="134" t="str">
        <f>IFERROR(__xludf.DUMMYFUNCTION("""COMPUTED_VALUE"""),"ilham.morsalin@g.bracu.ac.bd")</f>
        <v>ilham.morsalin@g.bracu.ac.bd</v>
      </c>
      <c r="E395" s="105"/>
    </row>
    <row r="396" ht="22.5" customHeight="1">
      <c r="A396" s="133">
        <f>IFERROR(__xludf.DUMMYFUNCTION("""COMPUTED_VALUE"""),2.3201321E7)</f>
        <v>23201321</v>
      </c>
      <c r="B396" s="133" t="str">
        <f>IFERROR(__xludf.DUMMYFUNCTION("""COMPUTED_VALUE"""),"Danial Rahman")</f>
        <v>Danial Rahman</v>
      </c>
      <c r="C396" s="134" t="str">
        <f>IFERROR(__xludf.DUMMYFUNCTION("""COMPUTED_VALUE"""),"General Member")</f>
        <v>General Member</v>
      </c>
      <c r="D396" s="134" t="str">
        <f>IFERROR(__xludf.DUMMYFUNCTION("""COMPUTED_VALUE"""),"danial.rahman@g.bracu.ac.bd")</f>
        <v>danial.rahman@g.bracu.ac.bd</v>
      </c>
      <c r="E396" s="105"/>
    </row>
    <row r="397" ht="22.5" customHeight="1">
      <c r="A397" s="133">
        <f>IFERROR(__xludf.DUMMYFUNCTION("""COMPUTED_VALUE"""),2.4101454E7)</f>
        <v>24101454</v>
      </c>
      <c r="B397" s="133" t="str">
        <f>IFERROR(__xludf.DUMMYFUNCTION("""COMPUTED_VALUE"""),"Sayandeep Chakrabarty")</f>
        <v>Sayandeep Chakrabarty</v>
      </c>
      <c r="C397" s="134" t="str">
        <f>IFERROR(__xludf.DUMMYFUNCTION("""COMPUTED_VALUE"""),"General Member")</f>
        <v>General Member</v>
      </c>
      <c r="D397" s="134" t="str">
        <f>IFERROR(__xludf.DUMMYFUNCTION("""COMPUTED_VALUE"""),"sayandeep.chakrabarty@g.bracu.ac.bd")</f>
        <v>sayandeep.chakrabarty@g.bracu.ac.bd</v>
      </c>
      <c r="E397" s="105"/>
    </row>
    <row r="398" ht="22.5" customHeight="1">
      <c r="A398" s="133">
        <f>IFERROR(__xludf.DUMMYFUNCTION("""COMPUTED_VALUE"""),2.4101411E7)</f>
        <v>24101411</v>
      </c>
      <c r="B398" s="133" t="str">
        <f>IFERROR(__xludf.DUMMYFUNCTION("""COMPUTED_VALUE"""),"Taseen Mohammad Faruk")</f>
        <v>Taseen Mohammad Faruk</v>
      </c>
      <c r="C398" s="134" t="str">
        <f>IFERROR(__xludf.DUMMYFUNCTION("""COMPUTED_VALUE"""),"General Member")</f>
        <v>General Member</v>
      </c>
      <c r="D398" s="134" t="str">
        <f>IFERROR(__xludf.DUMMYFUNCTION("""COMPUTED_VALUE"""),"taseen.mohammad.faruk@g.bracu.ac.bd")</f>
        <v>taseen.mohammad.faruk@g.bracu.ac.bd</v>
      </c>
      <c r="E398" s="105"/>
    </row>
    <row r="399" ht="22.5" customHeight="1">
      <c r="A399" s="133">
        <f>IFERROR(__xludf.DUMMYFUNCTION("""COMPUTED_VALUE"""),2.2201646E7)</f>
        <v>22201646</v>
      </c>
      <c r="B399" s="133" t="str">
        <f>IFERROR(__xludf.DUMMYFUNCTION("""COMPUTED_VALUE"""),"Abu Jaham Shaisab")</f>
        <v>Abu Jaham Shaisab</v>
      </c>
      <c r="C399" s="134" t="str">
        <f>IFERROR(__xludf.DUMMYFUNCTION("""COMPUTED_VALUE"""),"General Member")</f>
        <v>General Member</v>
      </c>
      <c r="D399" s="134" t="str">
        <f>IFERROR(__xludf.DUMMYFUNCTION("""COMPUTED_VALUE"""),"abu.jaham.shaisab@g.bracu.ac.bd")</f>
        <v>abu.jaham.shaisab@g.bracu.ac.bd</v>
      </c>
      <c r="E399" s="105"/>
    </row>
    <row r="400" ht="22.5" customHeight="1">
      <c r="A400" s="133">
        <f>IFERROR(__xludf.DUMMYFUNCTION("""COMPUTED_VALUE"""),2.2201742E7)</f>
        <v>22201742</v>
      </c>
      <c r="B400" s="133" t="str">
        <f>IFERROR(__xludf.DUMMYFUNCTION("""COMPUTED_VALUE"""),"Tasmia Hossain")</f>
        <v>Tasmia Hossain</v>
      </c>
      <c r="C400" s="134" t="str">
        <f>IFERROR(__xludf.DUMMYFUNCTION("""COMPUTED_VALUE"""),"General Member")</f>
        <v>General Member</v>
      </c>
      <c r="D400" s="134" t="str">
        <f>IFERROR(__xludf.DUMMYFUNCTION("""COMPUTED_VALUE"""),"tasmia.hossain@g.bracu.ac.bd")</f>
        <v>tasmia.hossain@g.bracu.ac.bd</v>
      </c>
      <c r="E400" s="105"/>
    </row>
    <row r="401" ht="22.5" customHeight="1">
      <c r="A401" s="133">
        <f>IFERROR(__xludf.DUMMYFUNCTION("""COMPUTED_VALUE"""),2.4101599E7)</f>
        <v>24101599</v>
      </c>
      <c r="B401" s="133" t="str">
        <f>IFERROR(__xludf.DUMMYFUNCTION("""COMPUTED_VALUE"""),"NUR MD SHAHORIAR")</f>
        <v>NUR MD SHAHORIAR</v>
      </c>
      <c r="C401" s="134" t="str">
        <f>IFERROR(__xludf.DUMMYFUNCTION("""COMPUTED_VALUE"""),"General Member")</f>
        <v>General Member</v>
      </c>
      <c r="D401" s="134" t="str">
        <f>IFERROR(__xludf.DUMMYFUNCTION("""COMPUTED_VALUE"""),"nur.md.shahoriar@g.bracu.ac.bd")</f>
        <v>nur.md.shahoriar@g.bracu.ac.bd</v>
      </c>
      <c r="E401" s="105"/>
    </row>
    <row r="402" ht="22.5" customHeight="1">
      <c r="A402" s="133">
        <f>IFERROR(__xludf.DUMMYFUNCTION("""COMPUTED_VALUE"""),2.2201545E7)</f>
        <v>22201545</v>
      </c>
      <c r="B402" s="133" t="str">
        <f>IFERROR(__xludf.DUMMYFUNCTION("""COMPUTED_VALUE"""),"Nasrul Azam Rafi")</f>
        <v>Nasrul Azam Rafi</v>
      </c>
      <c r="C402" s="134" t="str">
        <f>IFERROR(__xludf.DUMMYFUNCTION("""COMPUTED_VALUE"""),"General Member")</f>
        <v>General Member</v>
      </c>
      <c r="D402" s="134" t="str">
        <f>IFERROR(__xludf.DUMMYFUNCTION("""COMPUTED_VALUE"""),"nasrul.azam.rafi@g.bracu.ac.bd")</f>
        <v>nasrul.azam.rafi@g.bracu.ac.bd</v>
      </c>
      <c r="E402" s="105"/>
    </row>
    <row r="403" ht="22.5" customHeight="1">
      <c r="A403" s="133">
        <f>IFERROR(__xludf.DUMMYFUNCTION("""COMPUTED_VALUE"""),2.4101588E7)</f>
        <v>24101588</v>
      </c>
      <c r="B403" s="133" t="str">
        <f>IFERROR(__xludf.DUMMYFUNCTION("""COMPUTED_VALUE"""),"Ahnaf Muttaqi")</f>
        <v>Ahnaf Muttaqi</v>
      </c>
      <c r="C403" s="134" t="str">
        <f>IFERROR(__xludf.DUMMYFUNCTION("""COMPUTED_VALUE"""),"General Member")</f>
        <v>General Member</v>
      </c>
      <c r="D403" s="134" t="str">
        <f>IFERROR(__xludf.DUMMYFUNCTION("""COMPUTED_VALUE"""),"ahnaf.muttaqi@g.bracu.ac.bd")</f>
        <v>ahnaf.muttaqi@g.bracu.ac.bd</v>
      </c>
      <c r="E403" s="105"/>
    </row>
    <row r="404" ht="22.5" customHeight="1">
      <c r="A404" s="133">
        <f>IFERROR(__xludf.DUMMYFUNCTION("""COMPUTED_VALUE"""),2.0301437E7)</f>
        <v>20301437</v>
      </c>
      <c r="B404" s="133" t="str">
        <f>IFERROR(__xludf.DUMMYFUNCTION("""COMPUTED_VALUE"""),"Mehrab Hossain Sajin")</f>
        <v>Mehrab Hossain Sajin</v>
      </c>
      <c r="C404" s="134" t="str">
        <f>IFERROR(__xludf.DUMMYFUNCTION("""COMPUTED_VALUE"""),"General Member")</f>
        <v>General Member</v>
      </c>
      <c r="D404" s="134"/>
      <c r="E404" s="105"/>
    </row>
    <row r="405" ht="22.5" customHeight="1">
      <c r="A405" s="133">
        <f>IFERROR(__xludf.DUMMYFUNCTION("""COMPUTED_VALUE"""),2.4101601E7)</f>
        <v>24101601</v>
      </c>
      <c r="B405" s="133" t="str">
        <f>IFERROR(__xludf.DUMMYFUNCTION("""COMPUTED_VALUE"""),"Maiaha Rahman")</f>
        <v>Maiaha Rahman</v>
      </c>
      <c r="C405" s="134" t="str">
        <f>IFERROR(__xludf.DUMMYFUNCTION("""COMPUTED_VALUE"""),"General Member")</f>
        <v>General Member</v>
      </c>
      <c r="D405" s="134" t="str">
        <f>IFERROR(__xludf.DUMMYFUNCTION("""COMPUTED_VALUE"""),"maisha.rahman2@g.bracu.ac.bd")</f>
        <v>maisha.rahman2@g.bracu.ac.bd</v>
      </c>
      <c r="E405" s="105"/>
    </row>
    <row r="406" ht="22.5" customHeight="1">
      <c r="A406" s="133">
        <f>IFERROR(__xludf.DUMMYFUNCTION("""COMPUTED_VALUE"""),2.4101351E7)</f>
        <v>24101351</v>
      </c>
      <c r="B406" s="133" t="str">
        <f>IFERROR(__xludf.DUMMYFUNCTION("""COMPUTED_VALUE"""),"Mahmum Nazmus Saquib")</f>
        <v>Mahmum Nazmus Saquib</v>
      </c>
      <c r="C406" s="134" t="str">
        <f>IFERROR(__xludf.DUMMYFUNCTION("""COMPUTED_VALUE"""),"General Member")</f>
        <v>General Member</v>
      </c>
      <c r="D406" s="134" t="str">
        <f>IFERROR(__xludf.DUMMYFUNCTION("""COMPUTED_VALUE"""),"mahmud.nazmus.saquib@g.bracu.ac.bd")</f>
        <v>mahmud.nazmus.saquib@g.bracu.ac.bd</v>
      </c>
      <c r="E406" s="105"/>
    </row>
    <row r="407" ht="22.5" customHeight="1">
      <c r="A407" s="133">
        <f>IFERROR(__xludf.DUMMYFUNCTION("""COMPUTED_VALUE"""),2.3201615E7)</f>
        <v>23201615</v>
      </c>
      <c r="B407" s="133" t="str">
        <f>IFERROR(__xludf.DUMMYFUNCTION("""COMPUTED_VALUE"""),"Abhishek Bosu Anup")</f>
        <v>Abhishek Bosu Anup</v>
      </c>
      <c r="C407" s="134" t="str">
        <f>IFERROR(__xludf.DUMMYFUNCTION("""COMPUTED_VALUE"""),"General Member")</f>
        <v>General Member</v>
      </c>
      <c r="D407" s="134" t="str">
        <f>IFERROR(__xludf.DUMMYFUNCTION("""COMPUTED_VALUE"""),"abhishek.bosu.anup@g.bracu.ac.bd")</f>
        <v>abhishek.bosu.anup@g.bracu.ac.bd</v>
      </c>
      <c r="E407" s="105"/>
    </row>
    <row r="408" ht="22.5" customHeight="1">
      <c r="A408" s="133">
        <f>IFERROR(__xludf.DUMMYFUNCTION("""COMPUTED_VALUE"""),2.4101376E7)</f>
        <v>24101376</v>
      </c>
      <c r="B408" s="133" t="str">
        <f>IFERROR(__xludf.DUMMYFUNCTION("""COMPUTED_VALUE"""),"Rubyeat Wadud Galpa")</f>
        <v>Rubyeat Wadud Galpa</v>
      </c>
      <c r="C408" s="134" t="str">
        <f>IFERROR(__xludf.DUMMYFUNCTION("""COMPUTED_VALUE"""),"General Member")</f>
        <v>General Member</v>
      </c>
      <c r="D408" s="134" t="str">
        <f>IFERROR(__xludf.DUMMYFUNCTION("""COMPUTED_VALUE"""),"rubyeat.wadud.galpa@g.bracu.ac.bd")</f>
        <v>rubyeat.wadud.galpa@g.bracu.ac.bd</v>
      </c>
      <c r="E408" s="105"/>
    </row>
    <row r="409" ht="22.5" customHeight="1">
      <c r="A409" s="133">
        <f>IFERROR(__xludf.DUMMYFUNCTION("""COMPUTED_VALUE"""),2.2301373E7)</f>
        <v>22301373</v>
      </c>
      <c r="B409" s="133" t="str">
        <f>IFERROR(__xludf.DUMMYFUNCTION("""COMPUTED_VALUE"""),"Razen zaman")</f>
        <v>Razen zaman</v>
      </c>
      <c r="C409" s="134" t="str">
        <f>IFERROR(__xludf.DUMMYFUNCTION("""COMPUTED_VALUE"""),"General Member")</f>
        <v>General Member</v>
      </c>
      <c r="D409" s="134" t="str">
        <f>IFERROR(__xludf.DUMMYFUNCTION("""COMPUTED_VALUE"""),"Razen.zaman.salehin@g.bracu.ac.bd")</f>
        <v>Razen.zaman.salehin@g.bracu.ac.bd</v>
      </c>
      <c r="E409" s="105"/>
    </row>
    <row r="410" ht="22.5" customHeight="1">
      <c r="A410" s="133">
        <f>IFERROR(__xludf.DUMMYFUNCTION("""COMPUTED_VALUE"""),2.4101333E7)</f>
        <v>24101333</v>
      </c>
      <c r="B410" s="133" t="str">
        <f>IFERROR(__xludf.DUMMYFUNCTION("""COMPUTED_VALUE"""),"Ashfaq Rahman")</f>
        <v>Ashfaq Rahman</v>
      </c>
      <c r="C410" s="134" t="str">
        <f>IFERROR(__xludf.DUMMYFUNCTION("""COMPUTED_VALUE"""),"General Member")</f>
        <v>General Member</v>
      </c>
      <c r="D410" s="134" t="str">
        <f>IFERROR(__xludf.DUMMYFUNCTION("""COMPUTED_VALUE"""),"ashfaq.rahman@g.bracu.ac.bd")</f>
        <v>ashfaq.rahman@g.bracu.ac.bd</v>
      </c>
      <c r="E410" s="105"/>
    </row>
    <row r="411" ht="22.5" customHeight="1">
      <c r="A411" s="133">
        <f>IFERROR(__xludf.DUMMYFUNCTION("""COMPUTED_VALUE"""),2.4110009E7)</f>
        <v>24110009</v>
      </c>
      <c r="B411" s="133" t="str">
        <f>IFERROR(__xludf.DUMMYFUNCTION("""COMPUTED_VALUE"""),"MD Tasfiq Tasin")</f>
        <v>MD Tasfiq Tasin</v>
      </c>
      <c r="C411" s="134" t="str">
        <f>IFERROR(__xludf.DUMMYFUNCTION("""COMPUTED_VALUE"""),"General Member")</f>
        <v>General Member</v>
      </c>
      <c r="D411" s="134" t="str">
        <f>IFERROR(__xludf.DUMMYFUNCTION("""COMPUTED_VALUE"""),"md.tasfiq.tasin@g.bracu.ac.bd")</f>
        <v>md.tasfiq.tasin@g.bracu.ac.bd</v>
      </c>
      <c r="E411" s="105"/>
    </row>
    <row r="412" ht="22.5" customHeight="1">
      <c r="A412" s="133">
        <f>IFERROR(__xludf.DUMMYFUNCTION("""COMPUTED_VALUE"""),2.4321194E7)</f>
        <v>24321194</v>
      </c>
      <c r="B412" s="133" t="str">
        <f>IFERROR(__xludf.DUMMYFUNCTION("""COMPUTED_VALUE"""),"Rahid Ahmed")</f>
        <v>Rahid Ahmed</v>
      </c>
      <c r="C412" s="134" t="str">
        <f>IFERROR(__xludf.DUMMYFUNCTION("""COMPUTED_VALUE"""),"General Member")</f>
        <v>General Member</v>
      </c>
      <c r="D412" s="134" t="str">
        <f>IFERROR(__xludf.DUMMYFUNCTION("""COMPUTED_VALUE"""),"rahid.ahmed@g.bracu.ac.bd")</f>
        <v>rahid.ahmed@g.bracu.ac.bd</v>
      </c>
      <c r="E412" s="105"/>
    </row>
    <row r="413" ht="22.5" customHeight="1">
      <c r="A413" s="133">
        <f>IFERROR(__xludf.DUMMYFUNCTION("""COMPUTED_VALUE"""),2.4301468E7)</f>
        <v>24301468</v>
      </c>
      <c r="B413" s="133" t="str">
        <f>IFERROR(__xludf.DUMMYFUNCTION("""COMPUTED_VALUE"""),"Abdur Rahman Saad")</f>
        <v>Abdur Rahman Saad</v>
      </c>
      <c r="C413" s="134" t="str">
        <f>IFERROR(__xludf.DUMMYFUNCTION("""COMPUTED_VALUE"""),"General Member")</f>
        <v>General Member</v>
      </c>
      <c r="D413" s="134" t="str">
        <f>IFERROR(__xludf.DUMMYFUNCTION("""COMPUTED_VALUE"""),"abdur.rahman.saad1@g.bracu.ac.bd")</f>
        <v>abdur.rahman.saad1@g.bracu.ac.bd</v>
      </c>
      <c r="E413" s="105"/>
    </row>
    <row r="414" ht="22.5" customHeight="1">
      <c r="A414" s="133">
        <f>IFERROR(__xludf.DUMMYFUNCTION("""COMPUTED_VALUE"""),2.4301251E7)</f>
        <v>24301251</v>
      </c>
      <c r="B414" s="133" t="str">
        <f>IFERROR(__xludf.DUMMYFUNCTION("""COMPUTED_VALUE"""),"Zuhayer Iqbal Shafin")</f>
        <v>Zuhayer Iqbal Shafin</v>
      </c>
      <c r="C414" s="134" t="str">
        <f>IFERROR(__xludf.DUMMYFUNCTION("""COMPUTED_VALUE"""),"General Member")</f>
        <v>General Member</v>
      </c>
      <c r="D414" s="134" t="str">
        <f>IFERROR(__xludf.DUMMYFUNCTION("""COMPUTED_VALUE"""),"zuhayer.iqbal.shafin@g.bracu.ac.bd")</f>
        <v>zuhayer.iqbal.shafin@g.bracu.ac.bd</v>
      </c>
      <c r="E414" s="105"/>
    </row>
    <row r="415" ht="22.5" customHeight="1">
      <c r="A415" s="133">
        <f>IFERROR(__xludf.DUMMYFUNCTION("""COMPUTED_VALUE"""),2.4301176E7)</f>
        <v>24301176</v>
      </c>
      <c r="B415" s="133" t="str">
        <f>IFERROR(__xludf.DUMMYFUNCTION("""COMPUTED_VALUE"""),"Istiak Ahmmed Bishal")</f>
        <v>Istiak Ahmmed Bishal</v>
      </c>
      <c r="C415" s="134" t="str">
        <f>IFERROR(__xludf.DUMMYFUNCTION("""COMPUTED_VALUE"""),"General Member")</f>
        <v>General Member</v>
      </c>
      <c r="D415" s="134" t="str">
        <f>IFERROR(__xludf.DUMMYFUNCTION("""COMPUTED_VALUE"""),"istiak.ahmmed.bishal@g.bracu.ac.bd")</f>
        <v>istiak.ahmmed.bishal@g.bracu.ac.bd</v>
      </c>
      <c r="E415" s="105"/>
    </row>
    <row r="416" ht="22.5" customHeight="1">
      <c r="A416" s="133">
        <f>IFERROR(__xludf.DUMMYFUNCTION("""COMPUTED_VALUE"""),2.4141058E7)</f>
        <v>24141058</v>
      </c>
      <c r="B416" s="133" t="str">
        <f>IFERROR(__xludf.DUMMYFUNCTION("""COMPUTED_VALUE"""),"Navid Tahmid Nibir")</f>
        <v>Navid Tahmid Nibir</v>
      </c>
      <c r="C416" s="134" t="str">
        <f>IFERROR(__xludf.DUMMYFUNCTION("""COMPUTED_VALUE"""),"General Member")</f>
        <v>General Member</v>
      </c>
      <c r="D416" s="134" t="str">
        <f>IFERROR(__xludf.DUMMYFUNCTION("""COMPUTED_VALUE"""),"navid.tahmid.nibir@g.bracu.ac.bd")</f>
        <v>navid.tahmid.nibir@g.bracu.ac.bd</v>
      </c>
      <c r="E416" s="105"/>
    </row>
    <row r="417" ht="22.5" customHeight="1">
      <c r="A417" s="133">
        <f>IFERROR(__xludf.DUMMYFUNCTION("""COMPUTED_VALUE"""),2.3101199E7)</f>
        <v>23101199</v>
      </c>
      <c r="B417" s="133" t="str">
        <f>IFERROR(__xludf.DUMMYFUNCTION("""COMPUTED_VALUE"""),"Tanha Zaman")</f>
        <v>Tanha Zaman</v>
      </c>
      <c r="C417" s="134" t="str">
        <f>IFERROR(__xludf.DUMMYFUNCTION("""COMPUTED_VALUE"""),"General Member")</f>
        <v>General Member</v>
      </c>
      <c r="D417" s="134" t="str">
        <f>IFERROR(__xludf.DUMMYFUNCTION("""COMPUTED_VALUE"""),"tanha.zaman@g.bracu.ac.bd")</f>
        <v>tanha.zaman@g.bracu.ac.bd</v>
      </c>
      <c r="E417" s="105"/>
    </row>
    <row r="418" ht="22.5" customHeight="1">
      <c r="A418" s="133">
        <f>IFERROR(__xludf.DUMMYFUNCTION("""COMPUTED_VALUE"""),2.41011E7)</f>
        <v>24101100</v>
      </c>
      <c r="B418" s="133" t="str">
        <f>IFERROR(__xludf.DUMMYFUNCTION("""COMPUTED_VALUE"""),"Tahrim Ahmed")</f>
        <v>Tahrim Ahmed</v>
      </c>
      <c r="C418" s="134" t="str">
        <f>IFERROR(__xludf.DUMMYFUNCTION("""COMPUTED_VALUE"""),"General Member")</f>
        <v>General Member</v>
      </c>
      <c r="D418" s="134" t="str">
        <f>IFERROR(__xludf.DUMMYFUNCTION("""COMPUTED_VALUE"""),"tahrim.ahmed@g.bracu.ac.bd")</f>
        <v>tahrim.ahmed@g.bracu.ac.bd</v>
      </c>
      <c r="E418" s="105"/>
    </row>
    <row r="419" ht="22.5" customHeight="1">
      <c r="A419" s="133">
        <f>IFERROR(__xludf.DUMMYFUNCTION("""COMPUTED_VALUE"""),2.4301181E7)</f>
        <v>24301181</v>
      </c>
      <c r="B419" s="133" t="str">
        <f>IFERROR(__xludf.DUMMYFUNCTION("""COMPUTED_VALUE"""),"MD. Mahi Hyder")</f>
        <v>MD. Mahi Hyder</v>
      </c>
      <c r="C419" s="134" t="str">
        <f>IFERROR(__xludf.DUMMYFUNCTION("""COMPUTED_VALUE"""),"General Member")</f>
        <v>General Member</v>
      </c>
      <c r="D419" s="134" t="str">
        <f>IFERROR(__xludf.DUMMYFUNCTION("""COMPUTED_VALUE"""),"md.mahi.hyder@g.bracu.ac.bd")</f>
        <v>md.mahi.hyder@g.bracu.ac.bd</v>
      </c>
      <c r="E419" s="105"/>
    </row>
    <row r="420" ht="22.5" customHeight="1">
      <c r="A420" s="133">
        <f>IFERROR(__xludf.DUMMYFUNCTION("""COMPUTED_VALUE"""),2.4101284E7)</f>
        <v>24101284</v>
      </c>
      <c r="B420" s="133" t="str">
        <f>IFERROR(__xludf.DUMMYFUNCTION("""COMPUTED_VALUE"""),"Alvi Ahmed")</f>
        <v>Alvi Ahmed</v>
      </c>
      <c r="C420" s="134" t="str">
        <f>IFERROR(__xludf.DUMMYFUNCTION("""COMPUTED_VALUE"""),"General Member")</f>
        <v>General Member</v>
      </c>
      <c r="D420" s="134" t="str">
        <f>IFERROR(__xludf.DUMMYFUNCTION("""COMPUTED_VALUE"""),"alvi.ahmed@g.bracu.ac.bd")</f>
        <v>alvi.ahmed@g.bracu.ac.bd</v>
      </c>
      <c r="E420" s="105"/>
    </row>
    <row r="421" ht="22.5" customHeight="1">
      <c r="A421" s="133">
        <f>IFERROR(__xludf.DUMMYFUNCTION("""COMPUTED_VALUE"""),2.2201916E7)</f>
        <v>22201916</v>
      </c>
      <c r="B421" s="133" t="str">
        <f>IFERROR(__xludf.DUMMYFUNCTION("""COMPUTED_VALUE"""),"Md Rayhan Chowdhury")</f>
        <v>Md Rayhan Chowdhury</v>
      </c>
      <c r="C421" s="134" t="str">
        <f>IFERROR(__xludf.DUMMYFUNCTION("""COMPUTED_VALUE"""),"General Member")</f>
        <v>General Member</v>
      </c>
      <c r="D421" s="134" t="str">
        <f>IFERROR(__xludf.DUMMYFUNCTION("""COMPUTED_VALUE"""),"md.rayhan.chowdhury@g.bracu.ac.bd")</f>
        <v>md.rayhan.chowdhury@g.bracu.ac.bd</v>
      </c>
      <c r="E421" s="105"/>
    </row>
    <row r="422" ht="22.5" customHeight="1">
      <c r="A422" s="133">
        <f>IFERROR(__xludf.DUMMYFUNCTION("""COMPUTED_VALUE"""),2.4301405E7)</f>
        <v>24301405</v>
      </c>
      <c r="B422" s="133" t="str">
        <f>IFERROR(__xludf.DUMMYFUNCTION("""COMPUTED_VALUE"""),"Tozammal Hossain Evan")</f>
        <v>Tozammal Hossain Evan</v>
      </c>
      <c r="C422" s="134" t="str">
        <f>IFERROR(__xludf.DUMMYFUNCTION("""COMPUTED_VALUE"""),"General Member")</f>
        <v>General Member</v>
      </c>
      <c r="D422" s="134" t="str">
        <f>IFERROR(__xludf.DUMMYFUNCTION("""COMPUTED_VALUE"""),"tozammal.hossain.evan@g.bracu.ac.bd")</f>
        <v>tozammal.hossain.evan@g.bracu.ac.bd</v>
      </c>
      <c r="E422" s="105"/>
    </row>
    <row r="423" ht="22.5" customHeight="1">
      <c r="A423" s="133">
        <f>IFERROR(__xludf.DUMMYFUNCTION("""COMPUTED_VALUE"""),2.3301117E7)</f>
        <v>23301117</v>
      </c>
      <c r="B423" s="133" t="str">
        <f>IFERROR(__xludf.DUMMYFUNCTION("""COMPUTED_VALUE"""),"Rukaya Tasfia Karim")</f>
        <v>Rukaya Tasfia Karim</v>
      </c>
      <c r="C423" s="134" t="str">
        <f>IFERROR(__xludf.DUMMYFUNCTION("""COMPUTED_VALUE"""),"General Member")</f>
        <v>General Member</v>
      </c>
      <c r="D423" s="134" t="str">
        <f>IFERROR(__xludf.DUMMYFUNCTION("""COMPUTED_VALUE"""),"rukaya.tasfia.karim@g.bracu.ac.bd")</f>
        <v>rukaya.tasfia.karim@g.bracu.ac.bd</v>
      </c>
      <c r="E423" s="105"/>
    </row>
    <row r="424" ht="22.5" customHeight="1">
      <c r="A424" s="133">
        <f>IFERROR(__xludf.DUMMYFUNCTION("""COMPUTED_VALUE"""),2.4321175E7)</f>
        <v>24321175</v>
      </c>
      <c r="B424" s="133" t="str">
        <f>IFERROR(__xludf.DUMMYFUNCTION("""COMPUTED_VALUE"""),"Arjan Kumar Banik")</f>
        <v>Arjan Kumar Banik</v>
      </c>
      <c r="C424" s="134" t="str">
        <f>IFERROR(__xludf.DUMMYFUNCTION("""COMPUTED_VALUE"""),"General Member")</f>
        <v>General Member</v>
      </c>
      <c r="D424" s="134" t="str">
        <f>IFERROR(__xludf.DUMMYFUNCTION("""COMPUTED_VALUE"""),"arjan.kumar.banik@g.bracu.ac.bd")</f>
        <v>arjan.kumar.banik@g.bracu.ac.bd</v>
      </c>
      <c r="E424" s="105"/>
    </row>
    <row r="425" ht="22.5" customHeight="1">
      <c r="A425" s="133">
        <f>IFERROR(__xludf.DUMMYFUNCTION("""COMPUTED_VALUE"""),2.4304178E7)</f>
        <v>24304178</v>
      </c>
      <c r="B425" s="133" t="str">
        <f>IFERROR(__xludf.DUMMYFUNCTION("""COMPUTED_VALUE"""),"Salsabila Khan Rithmy")</f>
        <v>Salsabila Khan Rithmy</v>
      </c>
      <c r="C425" s="134" t="str">
        <f>IFERROR(__xludf.DUMMYFUNCTION("""COMPUTED_VALUE"""),"General Member")</f>
        <v>General Member</v>
      </c>
      <c r="D425" s="134" t="str">
        <f>IFERROR(__xludf.DUMMYFUNCTION("""COMPUTED_VALUE"""),"Salsabila.khan.rithmy@g.bracu.ac.bd")</f>
        <v>Salsabila.khan.rithmy@g.bracu.ac.bd</v>
      </c>
      <c r="E425" s="105"/>
    </row>
    <row r="426" ht="22.5" customHeight="1">
      <c r="A426" s="133">
        <f>IFERROR(__xludf.DUMMYFUNCTION("""COMPUTED_VALUE"""),2.430135E7)</f>
        <v>24301350</v>
      </c>
      <c r="B426" s="133" t="str">
        <f>IFERROR(__xludf.DUMMYFUNCTION("""COMPUTED_VALUE"""),"Kazi Shuwrid Raiyan")</f>
        <v>Kazi Shuwrid Raiyan</v>
      </c>
      <c r="C426" s="134" t="str">
        <f>IFERROR(__xludf.DUMMYFUNCTION("""COMPUTED_VALUE"""),"General Member")</f>
        <v>General Member</v>
      </c>
      <c r="D426" s="134" t="str">
        <f>IFERROR(__xludf.DUMMYFUNCTION("""COMPUTED_VALUE"""),"kazi.shuwrid.raiyan@g.bracu.ac.bd")</f>
        <v>kazi.shuwrid.raiyan@g.bracu.ac.bd</v>
      </c>
      <c r="E426" s="105"/>
    </row>
    <row r="427" ht="22.5" customHeight="1">
      <c r="A427" s="133">
        <f>IFERROR(__xludf.DUMMYFUNCTION("""COMPUTED_VALUE"""),2.4301192E7)</f>
        <v>24301192</v>
      </c>
      <c r="B427" s="133" t="str">
        <f>IFERROR(__xludf.DUMMYFUNCTION("""COMPUTED_VALUE"""),"Mashfiqur Rahman Khan")</f>
        <v>Mashfiqur Rahman Khan</v>
      </c>
      <c r="C427" s="134" t="str">
        <f>IFERROR(__xludf.DUMMYFUNCTION("""COMPUTED_VALUE"""),"General Member")</f>
        <v>General Member</v>
      </c>
      <c r="D427" s="134" t="str">
        <f>IFERROR(__xludf.DUMMYFUNCTION("""COMPUTED_VALUE"""),"mashfiqur.rahman.khan@g.bracu.ac.bd")</f>
        <v>mashfiqur.rahman.khan@g.bracu.ac.bd</v>
      </c>
      <c r="E427" s="105"/>
    </row>
    <row r="428" ht="22.5" customHeight="1">
      <c r="A428" s="133">
        <f>IFERROR(__xludf.DUMMYFUNCTION("""COMPUTED_VALUE"""),2.2299383E7)</f>
        <v>22299383</v>
      </c>
      <c r="B428" s="133" t="str">
        <f>IFERROR(__xludf.DUMMYFUNCTION("""COMPUTED_VALUE"""),"Pallab Saha")</f>
        <v>Pallab Saha</v>
      </c>
      <c r="C428" s="134" t="str">
        <f>IFERROR(__xludf.DUMMYFUNCTION("""COMPUTED_VALUE"""),"General Member")</f>
        <v>General Member</v>
      </c>
      <c r="D428" s="134" t="str">
        <f>IFERROR(__xludf.DUMMYFUNCTION("""COMPUTED_VALUE"""),"pallab.saha@g.bracu.ac.bd")</f>
        <v>pallab.saha@g.bracu.ac.bd</v>
      </c>
      <c r="E428" s="105"/>
    </row>
    <row r="429" ht="22.5" customHeight="1">
      <c r="A429" s="133">
        <f>IFERROR(__xludf.DUMMYFUNCTION("""COMPUTED_VALUE"""),2.4301503E7)</f>
        <v>24301503</v>
      </c>
      <c r="B429" s="133" t="str">
        <f>IFERROR(__xludf.DUMMYFUNCTION("""COMPUTED_VALUE"""),"Rudranil Debnath")</f>
        <v>Rudranil Debnath</v>
      </c>
      <c r="C429" s="134" t="str">
        <f>IFERROR(__xludf.DUMMYFUNCTION("""COMPUTED_VALUE"""),"General Member")</f>
        <v>General Member</v>
      </c>
      <c r="D429" s="134" t="str">
        <f>IFERROR(__xludf.DUMMYFUNCTION("""COMPUTED_VALUE"""),"rudranil.debnath@g.bracu.ac.bd")</f>
        <v>rudranil.debnath@g.bracu.ac.bd</v>
      </c>
      <c r="E429" s="105"/>
    </row>
    <row r="430" ht="22.5" customHeight="1">
      <c r="A430" s="133">
        <f>IFERROR(__xludf.DUMMYFUNCTION("""COMPUTED_VALUE"""),2.3301423E7)</f>
        <v>23301423</v>
      </c>
      <c r="B430" s="133" t="str">
        <f>IFERROR(__xludf.DUMMYFUNCTION("""COMPUTED_VALUE"""),"Ridwan Ahmed")</f>
        <v>Ridwan Ahmed</v>
      </c>
      <c r="C430" s="134" t="str">
        <f>IFERROR(__xludf.DUMMYFUNCTION("""COMPUTED_VALUE"""),"General Member")</f>
        <v>General Member</v>
      </c>
      <c r="D430" s="134" t="str">
        <f>IFERROR(__xludf.DUMMYFUNCTION("""COMPUTED_VALUE"""),"ridwan.ahmed2@g.bracu.ac.bd")</f>
        <v>ridwan.ahmed2@g.bracu.ac.bd</v>
      </c>
      <c r="E430" s="105"/>
    </row>
    <row r="431" ht="22.5" customHeight="1">
      <c r="A431" s="133">
        <f>IFERROR(__xludf.DUMMYFUNCTION("""COMPUTED_VALUE"""),2.3101234E7)</f>
        <v>23101234</v>
      </c>
      <c r="B431" s="133" t="str">
        <f>IFERROR(__xludf.DUMMYFUNCTION("""COMPUTED_VALUE"""),"Habibul Bashar")</f>
        <v>Habibul Bashar</v>
      </c>
      <c r="C431" s="134" t="str">
        <f>IFERROR(__xludf.DUMMYFUNCTION("""COMPUTED_VALUE"""),"General Member")</f>
        <v>General Member</v>
      </c>
      <c r="D431" s="134" t="str">
        <f>IFERROR(__xludf.DUMMYFUNCTION("""COMPUTED_VALUE"""),"habibul.bashar@g.bracu.ac.bd")</f>
        <v>habibul.bashar@g.bracu.ac.bd</v>
      </c>
      <c r="E431" s="105"/>
    </row>
    <row r="432" ht="22.5" customHeight="1">
      <c r="A432" s="133">
        <f>IFERROR(__xludf.DUMMYFUNCTION("""COMPUTED_VALUE"""),2.4301447E7)</f>
        <v>24301447</v>
      </c>
      <c r="B432" s="133" t="str">
        <f>IFERROR(__xludf.DUMMYFUNCTION("""COMPUTED_VALUE"""),"Rubayat Hosne Rhine")</f>
        <v>Rubayat Hosne Rhine</v>
      </c>
      <c r="C432" s="134" t="str">
        <f>IFERROR(__xludf.DUMMYFUNCTION("""COMPUTED_VALUE"""),"General Member")</f>
        <v>General Member</v>
      </c>
      <c r="D432" s="134" t="str">
        <f>IFERROR(__xludf.DUMMYFUNCTION("""COMPUTED_VALUE"""),"rubayat.hosne.rhine@g.bracu.ac.bd")</f>
        <v>rubayat.hosne.rhine@g.bracu.ac.bd</v>
      </c>
      <c r="E432" s="105"/>
    </row>
    <row r="433" ht="22.5" customHeight="1">
      <c r="A433" s="133">
        <f>IFERROR(__xludf.DUMMYFUNCTION("""COMPUTED_VALUE"""),2.4304495E7)</f>
        <v>24304495</v>
      </c>
      <c r="B433" s="133" t="str">
        <f>IFERROR(__xludf.DUMMYFUNCTION("""COMPUTED_VALUE"""),"Fahmid Shahriar")</f>
        <v>Fahmid Shahriar</v>
      </c>
      <c r="C433" s="134" t="str">
        <f>IFERROR(__xludf.DUMMYFUNCTION("""COMPUTED_VALUE"""),"General Member")</f>
        <v>General Member</v>
      </c>
      <c r="D433" s="134" t="str">
        <f>IFERROR(__xludf.DUMMYFUNCTION("""COMPUTED_VALUE"""),"fahmid.shahriar@g.bracu.ac.bd")</f>
        <v>fahmid.shahriar@g.bracu.ac.bd</v>
      </c>
      <c r="E433" s="105"/>
    </row>
    <row r="434" ht="22.5" customHeight="1">
      <c r="A434" s="133">
        <f>IFERROR(__xludf.DUMMYFUNCTION("""COMPUTED_VALUE"""),2.4301589E7)</f>
        <v>24301589</v>
      </c>
      <c r="B434" s="133" t="str">
        <f>IFERROR(__xludf.DUMMYFUNCTION("""COMPUTED_VALUE"""),"Sabiha Noor")</f>
        <v>Sabiha Noor</v>
      </c>
      <c r="C434" s="134" t="str">
        <f>IFERROR(__xludf.DUMMYFUNCTION("""COMPUTED_VALUE"""),"General Member")</f>
        <v>General Member</v>
      </c>
      <c r="D434" s="134" t="str">
        <f>IFERROR(__xludf.DUMMYFUNCTION("""COMPUTED_VALUE"""),"Sabiha.noor@g.bracu.ac.bd")</f>
        <v>Sabiha.noor@g.bracu.ac.bd</v>
      </c>
      <c r="E434" s="105"/>
    </row>
    <row r="435" ht="22.5" customHeight="1">
      <c r="A435" s="133">
        <f>IFERROR(__xludf.DUMMYFUNCTION("""COMPUTED_VALUE"""),2.4301571E7)</f>
        <v>24301571</v>
      </c>
      <c r="B435" s="133" t="str">
        <f>IFERROR(__xludf.DUMMYFUNCTION("""COMPUTED_VALUE"""),"Ronjoy paul")</f>
        <v>Ronjoy paul</v>
      </c>
      <c r="C435" s="134" t="str">
        <f>IFERROR(__xludf.DUMMYFUNCTION("""COMPUTED_VALUE"""),"General Member")</f>
        <v>General Member</v>
      </c>
      <c r="D435" s="134" t="str">
        <f>IFERROR(__xludf.DUMMYFUNCTION("""COMPUTED_VALUE"""),"ronjoy.paul@g.bracu.ac.bd")</f>
        <v>ronjoy.paul@g.bracu.ac.bd</v>
      </c>
      <c r="E435" s="105"/>
    </row>
    <row r="436" ht="22.5" customHeight="1">
      <c r="A436" s="133">
        <f>IFERROR(__xludf.DUMMYFUNCTION("""COMPUTED_VALUE"""),2.4301482E7)</f>
        <v>24301482</v>
      </c>
      <c r="B436" s="133" t="str">
        <f>IFERROR(__xludf.DUMMYFUNCTION("""COMPUTED_VALUE"""),"S.M. Fuad Hasan")</f>
        <v>S.M. Fuad Hasan</v>
      </c>
      <c r="C436" s="134" t="str">
        <f>IFERROR(__xludf.DUMMYFUNCTION("""COMPUTED_VALUE"""),"General Member")</f>
        <v>General Member</v>
      </c>
      <c r="D436" s="134" t="str">
        <f>IFERROR(__xludf.DUMMYFUNCTION("""COMPUTED_VALUE"""),"sm.fuad.hasan@g.bracu.ac.bd")</f>
        <v>sm.fuad.hasan@g.bracu.ac.bd</v>
      </c>
      <c r="E436" s="105"/>
    </row>
    <row r="437" ht="22.5" customHeight="1">
      <c r="A437" s="133">
        <f>IFERROR(__xludf.DUMMYFUNCTION("""COMPUTED_VALUE"""),2.4101083E7)</f>
        <v>24101083</v>
      </c>
      <c r="B437" s="133" t="str">
        <f>IFERROR(__xludf.DUMMYFUNCTION("""COMPUTED_VALUE"""),"SHAJALAL ANJUM")</f>
        <v>SHAJALAL ANJUM</v>
      </c>
      <c r="C437" s="134" t="str">
        <f>IFERROR(__xludf.DUMMYFUNCTION("""COMPUTED_VALUE"""),"General Member")</f>
        <v>General Member</v>
      </c>
      <c r="D437" s="134" t="str">
        <f>IFERROR(__xludf.DUMMYFUNCTION("""COMPUTED_VALUE"""),"shajalal.anjum@g.bracu.ac.bd")</f>
        <v>shajalal.anjum@g.bracu.ac.bd</v>
      </c>
      <c r="E437" s="105"/>
    </row>
    <row r="438" ht="22.5" customHeight="1">
      <c r="A438" s="133">
        <f>IFERROR(__xludf.DUMMYFUNCTION("""COMPUTED_VALUE"""),2.4301541E7)</f>
        <v>24301541</v>
      </c>
      <c r="B438" s="133" t="str">
        <f>IFERROR(__xludf.DUMMYFUNCTION("""COMPUTED_VALUE"""),"Rifakat Ul Quadir Nasif")</f>
        <v>Rifakat Ul Quadir Nasif</v>
      </c>
      <c r="C438" s="134" t="str">
        <f>IFERROR(__xludf.DUMMYFUNCTION("""COMPUTED_VALUE"""),"General Member")</f>
        <v>General Member</v>
      </c>
      <c r="D438" s="134" t="str">
        <f>IFERROR(__xludf.DUMMYFUNCTION("""COMPUTED_VALUE"""),"rifakat.ul.quadir@g.bracu.ac.bd")</f>
        <v>rifakat.ul.quadir@g.bracu.ac.bd</v>
      </c>
      <c r="E438" s="105"/>
    </row>
    <row r="439" ht="22.5" customHeight="1">
      <c r="A439" s="133">
        <f>IFERROR(__xludf.DUMMYFUNCTION("""COMPUTED_VALUE"""),2.4301258E7)</f>
        <v>24301258</v>
      </c>
      <c r="B439" s="133" t="str">
        <f>IFERROR(__xludf.DUMMYFUNCTION("""COMPUTED_VALUE"""),"Md. Tahsin Abid Khan")</f>
        <v>Md. Tahsin Abid Khan</v>
      </c>
      <c r="C439" s="134" t="str">
        <f>IFERROR(__xludf.DUMMYFUNCTION("""COMPUTED_VALUE"""),"General Member")</f>
        <v>General Member</v>
      </c>
      <c r="D439" s="134" t="str">
        <f>IFERROR(__xludf.DUMMYFUNCTION("""COMPUTED_VALUE"""),"tahsin.abid.khan@g.bracu.ac.bd")</f>
        <v>tahsin.abid.khan@g.bracu.ac.bd</v>
      </c>
      <c r="E439" s="105"/>
    </row>
    <row r="440" ht="22.5" customHeight="1">
      <c r="A440" s="133">
        <f>IFERROR(__xludf.DUMMYFUNCTION("""COMPUTED_VALUE"""),2.2301212E7)</f>
        <v>22301212</v>
      </c>
      <c r="B440" s="133" t="str">
        <f>IFERROR(__xludf.DUMMYFUNCTION("""COMPUTED_VALUE"""),"Ahana Fairuz Zara")</f>
        <v>Ahana Fairuz Zara</v>
      </c>
      <c r="C440" s="134" t="str">
        <f>IFERROR(__xludf.DUMMYFUNCTION("""COMPUTED_VALUE"""),"General Member")</f>
        <v>General Member</v>
      </c>
      <c r="D440" s="134" t="str">
        <f>IFERROR(__xludf.DUMMYFUNCTION("""COMPUTED_VALUE"""),"ahana.fairuz.zara@g.bracu.ac.bd")</f>
        <v>ahana.fairuz.zara@g.bracu.ac.bd</v>
      </c>
      <c r="E440" s="105"/>
    </row>
    <row r="441" ht="22.5" customHeight="1">
      <c r="A441" s="133">
        <f>IFERROR(__xludf.DUMMYFUNCTION("""COMPUTED_VALUE"""),2.4101472E7)</f>
        <v>24101472</v>
      </c>
      <c r="B441" s="133" t="str">
        <f>IFERROR(__xludf.DUMMYFUNCTION("""COMPUTED_VALUE"""),"Khalid Reza Khan")</f>
        <v>Khalid Reza Khan</v>
      </c>
      <c r="C441" s="134" t="str">
        <f>IFERROR(__xludf.DUMMYFUNCTION("""COMPUTED_VALUE"""),"General Member")</f>
        <v>General Member</v>
      </c>
      <c r="D441" s="134" t="str">
        <f>IFERROR(__xludf.DUMMYFUNCTION("""COMPUTED_VALUE"""),"khalid.reza.khan@g.bracu.ac.bd")</f>
        <v>khalid.reza.khan@g.bracu.ac.bd</v>
      </c>
      <c r="E441" s="105"/>
    </row>
    <row r="442" ht="22.5" customHeight="1">
      <c r="A442" s="133">
        <f>IFERROR(__xludf.DUMMYFUNCTION("""COMPUTED_VALUE"""),2.3201302E7)</f>
        <v>23201302</v>
      </c>
      <c r="B442" s="133" t="str">
        <f>IFERROR(__xludf.DUMMYFUNCTION("""COMPUTED_VALUE"""),"Tasnim Shahad Rafi")</f>
        <v>Tasnim Shahad Rafi</v>
      </c>
      <c r="C442" s="134" t="str">
        <f>IFERROR(__xludf.DUMMYFUNCTION("""COMPUTED_VALUE"""),"General Member")</f>
        <v>General Member</v>
      </c>
      <c r="D442" s="134" t="str">
        <f>IFERROR(__xludf.DUMMYFUNCTION("""COMPUTED_VALUE"""),"tasnim.shahad.rafi@g.bracu.ac.bd")</f>
        <v>tasnim.shahad.rafi@g.bracu.ac.bd</v>
      </c>
      <c r="E442" s="105"/>
    </row>
    <row r="443" ht="22.5" customHeight="1">
      <c r="A443" s="133">
        <f>IFERROR(__xludf.DUMMYFUNCTION("""COMPUTED_VALUE"""),2.4201225E7)</f>
        <v>24201225</v>
      </c>
      <c r="B443" s="133" t="str">
        <f>IFERROR(__xludf.DUMMYFUNCTION("""COMPUTED_VALUE"""),"MD Tariqul Hasan Faysal")</f>
        <v>MD Tariqul Hasan Faysal</v>
      </c>
      <c r="C443" s="134" t="str">
        <f>IFERROR(__xludf.DUMMYFUNCTION("""COMPUTED_VALUE"""),"General Member")</f>
        <v>General Member</v>
      </c>
      <c r="D443" s="134" t="str">
        <f>IFERROR(__xludf.DUMMYFUNCTION("""COMPUTED_VALUE"""),"tariqul.hasan.faysal@g.bracu.ac.bd")</f>
        <v>tariqul.hasan.faysal@g.bracu.ac.bd</v>
      </c>
      <c r="E443" s="105"/>
    </row>
    <row r="444" ht="22.5" customHeight="1">
      <c r="A444" s="133">
        <f>IFERROR(__xludf.DUMMYFUNCTION("""COMPUTED_VALUE"""),2.3201239E7)</f>
        <v>23201239</v>
      </c>
      <c r="B444" s="133" t="str">
        <f>IFERROR(__xludf.DUMMYFUNCTION("""COMPUTED_VALUE"""),"Jarif Ihtisum Khan")</f>
        <v>Jarif Ihtisum Khan</v>
      </c>
      <c r="C444" s="134" t="str">
        <f>IFERROR(__xludf.DUMMYFUNCTION("""COMPUTED_VALUE"""),"General Member")</f>
        <v>General Member</v>
      </c>
      <c r="D444" s="134" t="str">
        <f>IFERROR(__xludf.DUMMYFUNCTION("""COMPUTED_VALUE"""),"jarif.ihtisum.khan@g.bracu.ac.bd")</f>
        <v>jarif.ihtisum.khan@g.bracu.ac.bd</v>
      </c>
      <c r="E444" s="105"/>
    </row>
    <row r="445" ht="22.5" customHeight="1">
      <c r="A445" s="133">
        <f>IFERROR(__xludf.DUMMYFUNCTION("""COMPUTED_VALUE"""),2.4301146E7)</f>
        <v>24301146</v>
      </c>
      <c r="B445" s="133" t="str">
        <f>IFERROR(__xludf.DUMMYFUNCTION("""COMPUTED_VALUE"""),"Lubaiyana Afroze Khan")</f>
        <v>Lubaiyana Afroze Khan</v>
      </c>
      <c r="C445" s="134" t="str">
        <f>IFERROR(__xludf.DUMMYFUNCTION("""COMPUTED_VALUE"""),"General Member")</f>
        <v>General Member</v>
      </c>
      <c r="D445" s="134" t="str">
        <f>IFERROR(__xludf.DUMMYFUNCTION("""COMPUTED_VALUE"""),"lubaiyana.afroze.khan@g.bracu.ac.bd")</f>
        <v>lubaiyana.afroze.khan@g.bracu.ac.bd</v>
      </c>
      <c r="E445" s="105"/>
    </row>
    <row r="446" ht="22.5" customHeight="1">
      <c r="A446" s="133">
        <f>IFERROR(__xludf.DUMMYFUNCTION("""COMPUTED_VALUE"""),2.3301455E7)</f>
        <v>23301455</v>
      </c>
      <c r="B446" s="133" t="str">
        <f>IFERROR(__xludf.DUMMYFUNCTION("""COMPUTED_VALUE"""),"Pritam Sarker")</f>
        <v>Pritam Sarker</v>
      </c>
      <c r="C446" s="134" t="str">
        <f>IFERROR(__xludf.DUMMYFUNCTION("""COMPUTED_VALUE"""),"General Member")</f>
        <v>General Member</v>
      </c>
      <c r="D446" s="134" t="str">
        <f>IFERROR(__xludf.DUMMYFUNCTION("""COMPUTED_VALUE"""),"pritam.sarker@g.bracu.ac.bd")</f>
        <v>pritam.sarker@g.bracu.ac.bd</v>
      </c>
      <c r="E446" s="105"/>
    </row>
    <row r="447" ht="22.5" customHeight="1">
      <c r="A447" s="133">
        <f>IFERROR(__xludf.DUMMYFUNCTION("""COMPUTED_VALUE"""),2.4201033E7)</f>
        <v>24201033</v>
      </c>
      <c r="B447" s="133" t="str">
        <f>IFERROR(__xludf.DUMMYFUNCTION("""COMPUTED_VALUE"""),"S.M. Talha Jubayer")</f>
        <v>S.M. Talha Jubayer</v>
      </c>
      <c r="C447" s="134" t="str">
        <f>IFERROR(__xludf.DUMMYFUNCTION("""COMPUTED_VALUE"""),"General Member")</f>
        <v>General Member</v>
      </c>
      <c r="D447" s="134" t="str">
        <f>IFERROR(__xludf.DUMMYFUNCTION("""COMPUTED_VALUE"""),"sm.talha.jubayer@g.bracu.ac.bd")</f>
        <v>sm.talha.jubayer@g.bracu.ac.bd</v>
      </c>
      <c r="E447" s="105"/>
    </row>
    <row r="448" ht="22.5" customHeight="1">
      <c r="A448" s="133">
        <f>IFERROR(__xludf.DUMMYFUNCTION("""COMPUTED_VALUE"""),2.4241328E7)</f>
        <v>24241328</v>
      </c>
      <c r="B448" s="133" t="str">
        <f>IFERROR(__xludf.DUMMYFUNCTION("""COMPUTED_VALUE"""),"Fariha Zaman")</f>
        <v>Fariha Zaman</v>
      </c>
      <c r="C448" s="134" t="str">
        <f>IFERROR(__xludf.DUMMYFUNCTION("""COMPUTED_VALUE"""),"General Member")</f>
        <v>General Member</v>
      </c>
      <c r="D448" s="134" t="str">
        <f>IFERROR(__xludf.DUMMYFUNCTION("""COMPUTED_VALUE"""),"fariha.zaman1@g.bracu.ac.bd")</f>
        <v>fariha.zaman1@g.bracu.ac.bd</v>
      </c>
      <c r="E448" s="105"/>
    </row>
    <row r="449" ht="22.5" customHeight="1">
      <c r="A449" s="133">
        <f>IFERROR(__xludf.DUMMYFUNCTION("""COMPUTED_VALUE"""),2.4301502E7)</f>
        <v>24301502</v>
      </c>
      <c r="B449" s="133" t="str">
        <f>IFERROR(__xludf.DUMMYFUNCTION("""COMPUTED_VALUE"""),"Hiya Barua")</f>
        <v>Hiya Barua</v>
      </c>
      <c r="C449" s="134" t="str">
        <f>IFERROR(__xludf.DUMMYFUNCTION("""COMPUTED_VALUE"""),"General Member")</f>
        <v>General Member</v>
      </c>
      <c r="D449" s="134" t="str">
        <f>IFERROR(__xludf.DUMMYFUNCTION("""COMPUTED_VALUE"""),"hiya.barua@g.bracu.ac.bd")</f>
        <v>hiya.barua@g.bracu.ac.bd</v>
      </c>
      <c r="E449" s="105"/>
    </row>
    <row r="450" ht="22.5" customHeight="1">
      <c r="A450" s="133">
        <f>IFERROR(__xludf.DUMMYFUNCTION("""COMPUTED_VALUE"""),2.4201339E7)</f>
        <v>24201339</v>
      </c>
      <c r="B450" s="133" t="str">
        <f>IFERROR(__xludf.DUMMYFUNCTION("""COMPUTED_VALUE"""),"Masfik Rahman Nusan")</f>
        <v>Masfik Rahman Nusan</v>
      </c>
      <c r="C450" s="134" t="str">
        <f>IFERROR(__xludf.DUMMYFUNCTION("""COMPUTED_VALUE"""),"General Member")</f>
        <v>General Member</v>
      </c>
      <c r="D450" s="134" t="str">
        <f>IFERROR(__xludf.DUMMYFUNCTION("""COMPUTED_VALUE"""),"masfik.rahman.nusan@g.bracu.ac.bd")</f>
        <v>masfik.rahman.nusan@g.bracu.ac.bd</v>
      </c>
      <c r="E450" s="105"/>
    </row>
    <row r="451" ht="22.5" customHeight="1">
      <c r="A451" s="133">
        <f>IFERROR(__xludf.DUMMYFUNCTION("""COMPUTED_VALUE"""),2.4101069E7)</f>
        <v>24101069</v>
      </c>
      <c r="B451" s="133" t="str">
        <f>IFERROR(__xludf.DUMMYFUNCTION("""COMPUTED_VALUE"""),"Tasfia Jamal Binta")</f>
        <v>Tasfia Jamal Binta</v>
      </c>
      <c r="C451" s="134" t="str">
        <f>IFERROR(__xludf.DUMMYFUNCTION("""COMPUTED_VALUE"""),"General Member")</f>
        <v>General Member</v>
      </c>
      <c r="D451" s="134" t="str">
        <f>IFERROR(__xludf.DUMMYFUNCTION("""COMPUTED_VALUE"""),"tasfia.jamal.binta@g.bracu.ac.bd")</f>
        <v>tasfia.jamal.binta@g.bracu.ac.bd</v>
      </c>
      <c r="E451" s="105"/>
    </row>
    <row r="452" ht="22.5" customHeight="1">
      <c r="A452" s="133">
        <f>IFERROR(__xludf.DUMMYFUNCTION("""COMPUTED_VALUE"""),2.4321155E7)</f>
        <v>24321155</v>
      </c>
      <c r="B452" s="133" t="str">
        <f>IFERROR(__xludf.DUMMYFUNCTION("""COMPUTED_VALUE"""),"Shafayet Ahmad")</f>
        <v>Shafayet Ahmad</v>
      </c>
      <c r="C452" s="134" t="str">
        <f>IFERROR(__xludf.DUMMYFUNCTION("""COMPUTED_VALUE"""),"General Member")</f>
        <v>General Member</v>
      </c>
      <c r="D452" s="134" t="str">
        <f>IFERROR(__xludf.DUMMYFUNCTION("""COMPUTED_VALUE"""),"shafayet.ahmad@g.bracu.ac.bd")</f>
        <v>shafayet.ahmad@g.bracu.ac.bd</v>
      </c>
      <c r="E452" s="105"/>
    </row>
    <row r="453" ht="22.5" customHeight="1">
      <c r="A453" s="133">
        <f>IFERROR(__xludf.DUMMYFUNCTION("""COMPUTED_VALUE"""),2.4201114E7)</f>
        <v>24201114</v>
      </c>
      <c r="B453" s="133" t="str">
        <f>IFERROR(__xludf.DUMMYFUNCTION("""COMPUTED_VALUE"""),"Fatema Tuj Johora")</f>
        <v>Fatema Tuj Johora</v>
      </c>
      <c r="C453" s="134" t="str">
        <f>IFERROR(__xludf.DUMMYFUNCTION("""COMPUTED_VALUE"""),"General Member")</f>
        <v>General Member</v>
      </c>
      <c r="D453" s="134" t="str">
        <f>IFERROR(__xludf.DUMMYFUNCTION("""COMPUTED_VALUE"""),"fatema.tuj.johora2@g.bracu.ac.bd")</f>
        <v>fatema.tuj.johora2@g.bracu.ac.bd</v>
      </c>
      <c r="E453" s="105"/>
    </row>
    <row r="454" ht="22.5" customHeight="1">
      <c r="A454" s="133">
        <f>IFERROR(__xludf.DUMMYFUNCTION("""COMPUTED_VALUE"""),2.1101039E7)</f>
        <v>21101039</v>
      </c>
      <c r="B454" s="133" t="str">
        <f>IFERROR(__xludf.DUMMYFUNCTION("""COMPUTED_VALUE"""),"Most. Esrat Jahan Reya")</f>
        <v>Most. Esrat Jahan Reya</v>
      </c>
      <c r="C454" s="134" t="str">
        <f>IFERROR(__xludf.DUMMYFUNCTION("""COMPUTED_VALUE"""),"General Member")</f>
        <v>General Member</v>
      </c>
      <c r="D454" s="134" t="str">
        <f>IFERROR(__xludf.DUMMYFUNCTION("""COMPUTED_VALUE"""),"esrat.jahan.reya@g.bracu.ac.bd")</f>
        <v>esrat.jahan.reya@g.bracu.ac.bd</v>
      </c>
      <c r="E454" s="105"/>
    </row>
    <row r="455" ht="22.5" customHeight="1">
      <c r="A455" s="133">
        <f>IFERROR(__xludf.DUMMYFUNCTION("""COMPUTED_VALUE"""),2.4311012E7)</f>
        <v>24311012</v>
      </c>
      <c r="B455" s="133" t="str">
        <f>IFERROR(__xludf.DUMMYFUNCTION("""COMPUTED_VALUE"""),"Mahatir Mahraz Niloy")</f>
        <v>Mahatir Mahraz Niloy</v>
      </c>
      <c r="C455" s="134" t="str">
        <f>IFERROR(__xludf.DUMMYFUNCTION("""COMPUTED_VALUE"""),"General Member")</f>
        <v>General Member</v>
      </c>
      <c r="D455" s="134" t="str">
        <f>IFERROR(__xludf.DUMMYFUNCTION("""COMPUTED_VALUE"""),"mahatir.mahraz.niloy@g.bracu.ac.bd")</f>
        <v>mahatir.mahraz.niloy@g.bracu.ac.bd</v>
      </c>
      <c r="E455" s="105"/>
    </row>
    <row r="456" ht="22.5" customHeight="1">
      <c r="A456" s="133">
        <f>IFERROR(__xludf.DUMMYFUNCTION("""COMPUTED_VALUE"""),2.4301322E7)</f>
        <v>24301322</v>
      </c>
      <c r="B456" s="133" t="str">
        <f>IFERROR(__xludf.DUMMYFUNCTION("""COMPUTED_VALUE"""),"Mariyam Mahbub")</f>
        <v>Mariyam Mahbub</v>
      </c>
      <c r="C456" s="134" t="str">
        <f>IFERROR(__xludf.DUMMYFUNCTION("""COMPUTED_VALUE"""),"General Member")</f>
        <v>General Member</v>
      </c>
      <c r="D456" s="134" t="str">
        <f>IFERROR(__xludf.DUMMYFUNCTION("""COMPUTED_VALUE"""),"mariyam.mahbub@g.bracu.ac.bd")</f>
        <v>mariyam.mahbub@g.bracu.ac.bd</v>
      </c>
      <c r="E456" s="105"/>
    </row>
    <row r="457" ht="22.5" customHeight="1">
      <c r="A457" s="133">
        <f>IFERROR(__xludf.DUMMYFUNCTION("""COMPUTED_VALUE"""),2.4301127E7)</f>
        <v>24301127</v>
      </c>
      <c r="B457" s="133" t="str">
        <f>IFERROR(__xludf.DUMMYFUNCTION("""COMPUTED_VALUE"""),"Sidrat Ahsan")</f>
        <v>Sidrat Ahsan</v>
      </c>
      <c r="C457" s="134" t="str">
        <f>IFERROR(__xludf.DUMMYFUNCTION("""COMPUTED_VALUE"""),"General Member")</f>
        <v>General Member</v>
      </c>
      <c r="D457" s="134" t="str">
        <f>IFERROR(__xludf.DUMMYFUNCTION("""COMPUTED_VALUE"""),"sidrat.ahsan@g.bracu.ac.bd")</f>
        <v>sidrat.ahsan@g.bracu.ac.bd</v>
      </c>
      <c r="E457" s="105"/>
    </row>
    <row r="458" ht="22.5" customHeight="1">
      <c r="A458" s="133">
        <f>IFERROR(__xludf.DUMMYFUNCTION("""COMPUTED_VALUE"""),2.4201375E7)</f>
        <v>24201375</v>
      </c>
      <c r="B458" s="133" t="str">
        <f>IFERROR(__xludf.DUMMYFUNCTION("""COMPUTED_VALUE"""),"Md Robayet Mia")</f>
        <v>Md Robayet Mia</v>
      </c>
      <c r="C458" s="134" t="str">
        <f>IFERROR(__xludf.DUMMYFUNCTION("""COMPUTED_VALUE"""),"General Member")</f>
        <v>General Member</v>
      </c>
      <c r="D458" s="134" t="str">
        <f>IFERROR(__xludf.DUMMYFUNCTION("""COMPUTED_VALUE"""),"md.robayet.mia@g.bracu.ac.bd")</f>
        <v>md.robayet.mia@g.bracu.ac.bd</v>
      </c>
      <c r="E458" s="105"/>
    </row>
    <row r="459" ht="22.5" customHeight="1">
      <c r="A459" s="133">
        <f>IFERROR(__xludf.DUMMYFUNCTION("""COMPUTED_VALUE"""),2.2201411E7)</f>
        <v>22201411</v>
      </c>
      <c r="B459" s="133" t="str">
        <f>IFERROR(__xludf.DUMMYFUNCTION("""COMPUTED_VALUE"""),"Moutmayen Nafis")</f>
        <v>Moutmayen Nafis</v>
      </c>
      <c r="C459" s="134" t="str">
        <f>IFERROR(__xludf.DUMMYFUNCTION("""COMPUTED_VALUE"""),"General Member")</f>
        <v>General Member</v>
      </c>
      <c r="D459" s="134" t="str">
        <f>IFERROR(__xludf.DUMMYFUNCTION("""COMPUTED_VALUE"""),"moutmayen.omama.nafis@g.bracu.ac.bd")</f>
        <v>moutmayen.omama.nafis@g.bracu.ac.bd</v>
      </c>
      <c r="E459" s="105"/>
    </row>
    <row r="460" ht="22.5" customHeight="1">
      <c r="A460" s="133">
        <f>IFERROR(__xludf.DUMMYFUNCTION("""COMPUTED_VALUE"""),2.4201188E7)</f>
        <v>24201188</v>
      </c>
      <c r="B460" s="133" t="str">
        <f>IFERROR(__xludf.DUMMYFUNCTION("""COMPUTED_VALUE"""),"Shariful Islam Naeem")</f>
        <v>Shariful Islam Naeem</v>
      </c>
      <c r="C460" s="134" t="str">
        <f>IFERROR(__xludf.DUMMYFUNCTION("""COMPUTED_VALUE"""),"General Member")</f>
        <v>General Member</v>
      </c>
      <c r="D460" s="134" t="str">
        <f>IFERROR(__xludf.DUMMYFUNCTION("""COMPUTED_VALUE"""),"mohammad.shariful.islam@g.bracu.ac.bd")</f>
        <v>mohammad.shariful.islam@g.bracu.ac.bd</v>
      </c>
      <c r="E460" s="105"/>
    </row>
    <row r="461" ht="22.5" customHeight="1">
      <c r="A461" s="133">
        <f>IFERROR(__xludf.DUMMYFUNCTION("""COMPUTED_VALUE"""),2.4301556E7)</f>
        <v>24301556</v>
      </c>
      <c r="B461" s="133" t="str">
        <f>IFERROR(__xludf.DUMMYFUNCTION("""COMPUTED_VALUE"""),"Zarif Yeameen")</f>
        <v>Zarif Yeameen</v>
      </c>
      <c r="C461" s="134" t="str">
        <f>IFERROR(__xludf.DUMMYFUNCTION("""COMPUTED_VALUE"""),"General Member")</f>
        <v>General Member</v>
      </c>
      <c r="D461" s="134" t="str">
        <f>IFERROR(__xludf.DUMMYFUNCTION("""COMPUTED_VALUE"""),"zarif.yeameen@g.bracu.ac.bd")</f>
        <v>zarif.yeameen@g.bracu.ac.bd</v>
      </c>
      <c r="E461" s="105"/>
    </row>
    <row r="462" ht="22.5" customHeight="1">
      <c r="A462" s="133">
        <f>IFERROR(__xludf.DUMMYFUNCTION("""COMPUTED_VALUE"""),2.3201238E7)</f>
        <v>23201238</v>
      </c>
      <c r="B462" s="133" t="str">
        <f>IFERROR(__xludf.DUMMYFUNCTION("""COMPUTED_VALUE"""),"Shaiara Noshin")</f>
        <v>Shaiara Noshin</v>
      </c>
      <c r="C462" s="134" t="str">
        <f>IFERROR(__xludf.DUMMYFUNCTION("""COMPUTED_VALUE"""),"General Member")</f>
        <v>General Member</v>
      </c>
      <c r="D462" s="134" t="str">
        <f>IFERROR(__xludf.DUMMYFUNCTION("""COMPUTED_VALUE"""),"shaiara.noshin@g.bracu.ac.bd")</f>
        <v>shaiara.noshin@g.bracu.ac.bd</v>
      </c>
      <c r="E462" s="105"/>
    </row>
    <row r="463" ht="22.5" customHeight="1">
      <c r="A463" s="133">
        <f>IFERROR(__xludf.DUMMYFUNCTION("""COMPUTED_VALUE"""),2.2201591E7)</f>
        <v>22201591</v>
      </c>
      <c r="B463" s="133" t="str">
        <f>IFERROR(__xludf.DUMMYFUNCTION("""COMPUTED_VALUE"""),"Nawar Shafin")</f>
        <v>Nawar Shafin</v>
      </c>
      <c r="C463" s="134" t="str">
        <f>IFERROR(__xludf.DUMMYFUNCTION("""COMPUTED_VALUE"""),"General Member")</f>
        <v>General Member</v>
      </c>
      <c r="D463" s="134" t="str">
        <f>IFERROR(__xludf.DUMMYFUNCTION("""COMPUTED_VALUE"""),"nawar.shafin@g.bracu.ac.bd")</f>
        <v>nawar.shafin@g.bracu.ac.bd</v>
      </c>
      <c r="E463" s="105"/>
    </row>
    <row r="464" ht="22.5" customHeight="1">
      <c r="A464" s="133">
        <f>IFERROR(__xludf.DUMMYFUNCTION("""COMPUTED_VALUE"""),2.2201972E7)</f>
        <v>22201972</v>
      </c>
      <c r="B464" s="133" t="str">
        <f>IFERROR(__xludf.DUMMYFUNCTION("""COMPUTED_VALUE"""),"Rafsan Rahman")</f>
        <v>Rafsan Rahman</v>
      </c>
      <c r="C464" s="134" t="str">
        <f>IFERROR(__xludf.DUMMYFUNCTION("""COMPUTED_VALUE"""),"General Member")</f>
        <v>General Member</v>
      </c>
      <c r="D464" s="134" t="str">
        <f>IFERROR(__xludf.DUMMYFUNCTION("""COMPUTED_VALUE"""),"rafsan.rahman1@g.bracu.ac.bd")</f>
        <v>rafsan.rahman1@g.bracu.ac.bd</v>
      </c>
      <c r="E464" s="105"/>
    </row>
    <row r="465" ht="22.5" customHeight="1">
      <c r="A465" s="133">
        <f>IFERROR(__xludf.DUMMYFUNCTION("""COMPUTED_VALUE"""),2.2299441E7)</f>
        <v>22299441</v>
      </c>
      <c r="B465" s="133" t="str">
        <f>IFERROR(__xludf.DUMMYFUNCTION("""COMPUTED_VALUE"""),"Prottoy Chatterji")</f>
        <v>Prottoy Chatterji</v>
      </c>
      <c r="C465" s="134" t="str">
        <f>IFERROR(__xludf.DUMMYFUNCTION("""COMPUTED_VALUE"""),"General Member")</f>
        <v>General Member</v>
      </c>
      <c r="D465" s="134" t="str">
        <f>IFERROR(__xludf.DUMMYFUNCTION("""COMPUTED_VALUE"""),"prottay.chatterji@g.bracu.ac.bd")</f>
        <v>prottay.chatterji@g.bracu.ac.bd</v>
      </c>
      <c r="E465" s="105"/>
    </row>
    <row r="466" ht="22.5" customHeight="1">
      <c r="A466" s="133">
        <f>IFERROR(__xludf.DUMMYFUNCTION("""COMPUTED_VALUE"""),2.2301261E7)</f>
        <v>22301261</v>
      </c>
      <c r="B466" s="133" t="str">
        <f>IFERROR(__xludf.DUMMYFUNCTION("""COMPUTED_VALUE"""),"Pranto Roy")</f>
        <v>Pranto Roy</v>
      </c>
      <c r="C466" s="134" t="str">
        <f>IFERROR(__xludf.DUMMYFUNCTION("""COMPUTED_VALUE"""),"General Member")</f>
        <v>General Member</v>
      </c>
      <c r="D466" s="134" t="str">
        <f>IFERROR(__xludf.DUMMYFUNCTION("""COMPUTED_VALUE"""),"pranto.roy@g.bracu.ac.bd")</f>
        <v>pranto.roy@g.bracu.ac.bd</v>
      </c>
      <c r="E466" s="105"/>
    </row>
    <row r="467" ht="22.5" customHeight="1">
      <c r="A467" s="133">
        <f>IFERROR(__xludf.DUMMYFUNCTION("""COMPUTED_VALUE"""),2.3101474E7)</f>
        <v>23101474</v>
      </c>
      <c r="B467" s="133" t="str">
        <f>IFERROR(__xludf.DUMMYFUNCTION("""COMPUTED_VALUE"""),"Fayez Ahmad Protik")</f>
        <v>Fayez Ahmad Protik</v>
      </c>
      <c r="C467" s="134" t="str">
        <f>IFERROR(__xludf.DUMMYFUNCTION("""COMPUTED_VALUE"""),"General Member")</f>
        <v>General Member</v>
      </c>
      <c r="D467" s="134" t="str">
        <f>IFERROR(__xludf.DUMMYFUNCTION("""COMPUTED_VALUE"""),"fayez.ahmad.protik@g.bracu.ac.bd")</f>
        <v>fayez.ahmad.protik@g.bracu.ac.bd</v>
      </c>
      <c r="E467" s="105"/>
    </row>
    <row r="468" ht="22.5" customHeight="1">
      <c r="A468" s="133">
        <f>IFERROR(__xludf.DUMMYFUNCTION("""COMPUTED_VALUE"""),2.3101509E7)</f>
        <v>23101509</v>
      </c>
      <c r="B468" s="133" t="str">
        <f>IFERROR(__xludf.DUMMYFUNCTION("""COMPUTED_VALUE"""),"Anika Akter")</f>
        <v>Anika Akter</v>
      </c>
      <c r="C468" s="134" t="str">
        <f>IFERROR(__xludf.DUMMYFUNCTION("""COMPUTED_VALUE"""),"General Member")</f>
        <v>General Member</v>
      </c>
      <c r="D468" s="134" t="str">
        <f>IFERROR(__xludf.DUMMYFUNCTION("""COMPUTED_VALUE"""),"anika.akter1@g.bracu.ac.bd")</f>
        <v>anika.akter1@g.bracu.ac.bd</v>
      </c>
      <c r="E468" s="105"/>
    </row>
    <row r="469" ht="22.5" customHeight="1">
      <c r="A469" s="133">
        <f>IFERROR(__xludf.DUMMYFUNCTION("""COMPUTED_VALUE"""),2.310154E7)</f>
        <v>23101540</v>
      </c>
      <c r="B469" s="133" t="str">
        <f>IFERROR(__xludf.DUMMYFUNCTION("""COMPUTED_VALUE"""),"Somanur Binte Sohid Smita")</f>
        <v>Somanur Binte Sohid Smita</v>
      </c>
      <c r="C469" s="134" t="str">
        <f>IFERROR(__xludf.DUMMYFUNCTION("""COMPUTED_VALUE"""),"General Member")</f>
        <v>General Member</v>
      </c>
      <c r="D469" s="134" t="str">
        <f>IFERROR(__xludf.DUMMYFUNCTION("""COMPUTED_VALUE"""),"somanur.binte.sohid@g.bracu.ac.bd")</f>
        <v>somanur.binte.sohid@g.bracu.ac.bd</v>
      </c>
      <c r="E469" s="105"/>
    </row>
    <row r="470" ht="22.5" customHeight="1">
      <c r="A470" s="133">
        <f>IFERROR(__xludf.DUMMYFUNCTION("""COMPUTED_VALUE"""),2.3201418E7)</f>
        <v>23201418</v>
      </c>
      <c r="B470" s="133" t="str">
        <f>IFERROR(__xludf.DUMMYFUNCTION("""COMPUTED_VALUE"""),"Anindya Debnath Ani")</f>
        <v>Anindya Debnath Ani</v>
      </c>
      <c r="C470" s="134" t="str">
        <f>IFERROR(__xludf.DUMMYFUNCTION("""COMPUTED_VALUE"""),"General Member")</f>
        <v>General Member</v>
      </c>
      <c r="D470" s="134" t="str">
        <f>IFERROR(__xludf.DUMMYFUNCTION("""COMPUTED_VALUE"""),"anindya.debnath.ani@g.bracu.ac.bd")</f>
        <v>anindya.debnath.ani@g.bracu.ac.bd</v>
      </c>
      <c r="E470" s="105"/>
    </row>
    <row r="471" ht="22.5" customHeight="1">
      <c r="A471" s="133">
        <f>IFERROR(__xludf.DUMMYFUNCTION("""COMPUTED_VALUE"""),2.3301301E7)</f>
        <v>23301301</v>
      </c>
      <c r="B471" s="133" t="str">
        <f>IFERROR(__xludf.DUMMYFUNCTION("""COMPUTED_VALUE"""),"Md. Munasib Al Karim")</f>
        <v>Md. Munasib Al Karim</v>
      </c>
      <c r="C471" s="134" t="str">
        <f>IFERROR(__xludf.DUMMYFUNCTION("""COMPUTED_VALUE"""),"General Member")</f>
        <v>General Member</v>
      </c>
      <c r="D471" s="134" t="str">
        <f>IFERROR(__xludf.DUMMYFUNCTION("""COMPUTED_VALUE"""),"munasib.al.karim@g.bracu.ac.bd")</f>
        <v>munasib.al.karim@g.bracu.ac.bd</v>
      </c>
      <c r="E471" s="105"/>
    </row>
    <row r="472" ht="22.5" customHeight="1">
      <c r="A472" s="133">
        <f>IFERROR(__xludf.DUMMYFUNCTION("""COMPUTED_VALUE"""),2.330134E7)</f>
        <v>23301340</v>
      </c>
      <c r="B472" s="133" t="str">
        <f>IFERROR(__xludf.DUMMYFUNCTION("""COMPUTED_VALUE"""),"MD.ADNAN MURSALIN IBNE ASHIQUE")</f>
        <v>MD.ADNAN MURSALIN IBNE ASHIQUE</v>
      </c>
      <c r="C472" s="134" t="str">
        <f>IFERROR(__xludf.DUMMYFUNCTION("""COMPUTED_VALUE"""),"General Member")</f>
        <v>General Member</v>
      </c>
      <c r="D472" s="134" t="str">
        <f>IFERROR(__xludf.DUMMYFUNCTION("""COMPUTED_VALUE"""),"adnanmursalin.ibne.ashique@g.bracu.ac.bd")</f>
        <v>adnanmursalin.ibne.ashique@g.bracu.ac.bd</v>
      </c>
      <c r="E472" s="105"/>
    </row>
    <row r="473" ht="22.5" customHeight="1">
      <c r="A473" s="133">
        <f>IFERROR(__xludf.DUMMYFUNCTION("""COMPUTED_VALUE"""),2.3301679E7)</f>
        <v>23301679</v>
      </c>
      <c r="B473" s="133" t="str">
        <f>IFERROR(__xludf.DUMMYFUNCTION("""COMPUTED_VALUE"""),"Iftekhar Alvee")</f>
        <v>Iftekhar Alvee</v>
      </c>
      <c r="C473" s="134" t="str">
        <f>IFERROR(__xludf.DUMMYFUNCTION("""COMPUTED_VALUE"""),"General Member")</f>
        <v>General Member</v>
      </c>
      <c r="D473" s="134" t="str">
        <f>IFERROR(__xludf.DUMMYFUNCTION("""COMPUTED_VALUE"""),"md.iftekhar.alvee@g.bracu.ac.bd")</f>
        <v>md.iftekhar.alvee@g.bracu.ac.bd</v>
      </c>
      <c r="E473" s="105"/>
    </row>
    <row r="474" ht="22.5" customHeight="1">
      <c r="A474" s="133">
        <f>IFERROR(__xludf.DUMMYFUNCTION("""COMPUTED_VALUE"""),2.4101146E7)</f>
        <v>24101146</v>
      </c>
      <c r="B474" s="133" t="str">
        <f>IFERROR(__xludf.DUMMYFUNCTION("""COMPUTED_VALUE"""),"Saifullah Mohd. Sakib")</f>
        <v>Saifullah Mohd. Sakib</v>
      </c>
      <c r="C474" s="134" t="str">
        <f>IFERROR(__xludf.DUMMYFUNCTION("""COMPUTED_VALUE"""),"General Member")</f>
        <v>General Member</v>
      </c>
      <c r="D474" s="134" t="str">
        <f>IFERROR(__xludf.DUMMYFUNCTION("""COMPUTED_VALUE"""),"saifullah.mohd.sakib@g.bracu.ac.bd")</f>
        <v>saifullah.mohd.sakib@g.bracu.ac.bd</v>
      </c>
      <c r="E474" s="105"/>
    </row>
    <row r="475" ht="22.5" customHeight="1">
      <c r="A475" s="133">
        <f>IFERROR(__xludf.DUMMYFUNCTION("""COMPUTED_VALUE"""),2.4101174E7)</f>
        <v>24101174</v>
      </c>
      <c r="B475" s="133" t="str">
        <f>IFERROR(__xludf.DUMMYFUNCTION("""COMPUTED_VALUE"""),"Nowshed Alam Chowdhury Rahat")</f>
        <v>Nowshed Alam Chowdhury Rahat</v>
      </c>
      <c r="C475" s="134" t="str">
        <f>IFERROR(__xludf.DUMMYFUNCTION("""COMPUTED_VALUE"""),"General Member")</f>
        <v>General Member</v>
      </c>
      <c r="D475" s="134" t="str">
        <f>IFERROR(__xludf.DUMMYFUNCTION("""COMPUTED_VALUE"""),"nowshed.alam.chowdhury@g.bracu.ac.bd")</f>
        <v>nowshed.alam.chowdhury@g.bracu.ac.bd</v>
      </c>
      <c r="E475" s="105"/>
    </row>
    <row r="476" ht="22.5" customHeight="1">
      <c r="A476" s="133">
        <f>IFERROR(__xludf.DUMMYFUNCTION("""COMPUTED_VALUE"""),2.4101251E7)</f>
        <v>24101251</v>
      </c>
      <c r="B476" s="133" t="str">
        <f>IFERROR(__xludf.DUMMYFUNCTION("""COMPUTED_VALUE"""),"Abdul kadir Abir")</f>
        <v>Abdul kadir Abir</v>
      </c>
      <c r="C476" s="134" t="str">
        <f>IFERROR(__xludf.DUMMYFUNCTION("""COMPUTED_VALUE"""),"General Member")</f>
        <v>General Member</v>
      </c>
      <c r="D476" s="134" t="str">
        <f>IFERROR(__xludf.DUMMYFUNCTION("""COMPUTED_VALUE"""),"abdul.kadir.abir@g.bracu.ac.bd")</f>
        <v>abdul.kadir.abir@g.bracu.ac.bd</v>
      </c>
      <c r="E476" s="105"/>
    </row>
    <row r="477" ht="22.5" customHeight="1">
      <c r="A477" s="133">
        <f>IFERROR(__xludf.DUMMYFUNCTION("""COMPUTED_VALUE"""),2.4101292E7)</f>
        <v>24101292</v>
      </c>
      <c r="B477" s="133" t="str">
        <f>IFERROR(__xludf.DUMMYFUNCTION("""COMPUTED_VALUE"""),"Md. Yash Akif")</f>
        <v>Md. Yash Akif</v>
      </c>
      <c r="C477" s="134" t="str">
        <f>IFERROR(__xludf.DUMMYFUNCTION("""COMPUTED_VALUE"""),"General Member")</f>
        <v>General Member</v>
      </c>
      <c r="D477" s="134" t="str">
        <f>IFERROR(__xludf.DUMMYFUNCTION("""COMPUTED_VALUE"""),"md.yash.akif@g.bracu.ac.bd")</f>
        <v>md.yash.akif@g.bracu.ac.bd</v>
      </c>
      <c r="E477" s="105"/>
    </row>
    <row r="478" ht="22.5" customHeight="1">
      <c r="A478" s="133">
        <f>IFERROR(__xludf.DUMMYFUNCTION("""COMPUTED_VALUE"""),2.4101304E7)</f>
        <v>24101304</v>
      </c>
      <c r="B478" s="133" t="str">
        <f>IFERROR(__xludf.DUMMYFUNCTION("""COMPUTED_VALUE"""),"Asif Anjum Niloy")</f>
        <v>Asif Anjum Niloy</v>
      </c>
      <c r="C478" s="134" t="str">
        <f>IFERROR(__xludf.DUMMYFUNCTION("""COMPUTED_VALUE"""),"General Member")</f>
        <v>General Member</v>
      </c>
      <c r="D478" s="134" t="str">
        <f>IFERROR(__xludf.DUMMYFUNCTION("""COMPUTED_VALUE"""),"asif.anjum.niloy@g.bracu.ac.bd")</f>
        <v>asif.anjum.niloy@g.bracu.ac.bd</v>
      </c>
      <c r="E478" s="105"/>
    </row>
    <row r="479" ht="22.5" customHeight="1">
      <c r="A479" s="133">
        <f>IFERROR(__xludf.DUMMYFUNCTION("""COMPUTED_VALUE"""),2.4101352E7)</f>
        <v>24101352</v>
      </c>
      <c r="B479" s="133" t="str">
        <f>IFERROR(__xludf.DUMMYFUNCTION("""COMPUTED_VALUE"""),"Mohammad Faiyaz Mazumder")</f>
        <v>Mohammad Faiyaz Mazumder</v>
      </c>
      <c r="C479" s="134" t="str">
        <f>IFERROR(__xludf.DUMMYFUNCTION("""COMPUTED_VALUE"""),"General Member")</f>
        <v>General Member</v>
      </c>
      <c r="D479" s="134" t="str">
        <f>IFERROR(__xludf.DUMMYFUNCTION("""COMPUTED_VALUE"""),"mohammad.faiyaz.mazumder@g.bracu.ac.bd")</f>
        <v>mohammad.faiyaz.mazumder@g.bracu.ac.bd</v>
      </c>
      <c r="E479" s="105"/>
    </row>
    <row r="480" ht="22.5" customHeight="1">
      <c r="A480" s="133">
        <f>IFERROR(__xludf.DUMMYFUNCTION("""COMPUTED_VALUE"""),2.4101439E7)</f>
        <v>24101439</v>
      </c>
      <c r="B480" s="133" t="str">
        <f>IFERROR(__xludf.DUMMYFUNCTION("""COMPUTED_VALUE"""),"Md Moniruzzaman")</f>
        <v>Md Moniruzzaman</v>
      </c>
      <c r="C480" s="134" t="str">
        <f>IFERROR(__xludf.DUMMYFUNCTION("""COMPUTED_VALUE"""),"General Member")</f>
        <v>General Member</v>
      </c>
      <c r="D480" s="134" t="str">
        <f>IFERROR(__xludf.DUMMYFUNCTION("""COMPUTED_VALUE"""),"md.moniruzzaman5@g.bracu.ac.bd")</f>
        <v>md.moniruzzaman5@g.bracu.ac.bd</v>
      </c>
      <c r="E480" s="105"/>
    </row>
    <row r="481" ht="22.5" customHeight="1">
      <c r="A481" s="133">
        <f>IFERROR(__xludf.DUMMYFUNCTION("""COMPUTED_VALUE"""),2.4101511E7)</f>
        <v>24101511</v>
      </c>
      <c r="B481" s="133" t="str">
        <f>IFERROR(__xludf.DUMMYFUNCTION("""COMPUTED_VALUE"""),"Safwan Islam")</f>
        <v>Safwan Islam</v>
      </c>
      <c r="C481" s="134" t="str">
        <f>IFERROR(__xludf.DUMMYFUNCTION("""COMPUTED_VALUE"""),"General Member")</f>
        <v>General Member</v>
      </c>
      <c r="D481" s="134" t="str">
        <f>IFERROR(__xludf.DUMMYFUNCTION("""COMPUTED_VALUE"""),"safwan.islam1@g.bracu.ac.bd")</f>
        <v>safwan.islam1@g.bracu.ac.bd</v>
      </c>
      <c r="E481" s="105"/>
    </row>
    <row r="482" ht="22.5" customHeight="1">
      <c r="A482" s="133">
        <f>IFERROR(__xludf.DUMMYFUNCTION("""COMPUTED_VALUE"""),2.4101587E7)</f>
        <v>24101587</v>
      </c>
      <c r="B482" s="133" t="str">
        <f>IFERROR(__xludf.DUMMYFUNCTION("""COMPUTED_VALUE"""),"Safayat Rahman")</f>
        <v>Safayat Rahman</v>
      </c>
      <c r="C482" s="134" t="str">
        <f>IFERROR(__xludf.DUMMYFUNCTION("""COMPUTED_VALUE"""),"General Member")</f>
        <v>General Member</v>
      </c>
      <c r="D482" s="134" t="str">
        <f>IFERROR(__xludf.DUMMYFUNCTION("""COMPUTED_VALUE"""),"safayat.rahman@g.bracu.ac.bd")</f>
        <v>safayat.rahman@g.bracu.ac.bd</v>
      </c>
      <c r="E482" s="105"/>
    </row>
    <row r="483" ht="22.5" customHeight="1">
      <c r="A483" s="133">
        <f>IFERROR(__xludf.DUMMYFUNCTION("""COMPUTED_VALUE"""),2.4201039E7)</f>
        <v>24201039</v>
      </c>
      <c r="B483" s="133" t="str">
        <f>IFERROR(__xludf.DUMMYFUNCTION("""COMPUTED_VALUE"""),"Miftahul Jannat Jim")</f>
        <v>Miftahul Jannat Jim</v>
      </c>
      <c r="C483" s="134" t="str">
        <f>IFERROR(__xludf.DUMMYFUNCTION("""COMPUTED_VALUE"""),"General Member")</f>
        <v>General Member</v>
      </c>
      <c r="D483" s="134" t="str">
        <f>IFERROR(__xludf.DUMMYFUNCTION("""COMPUTED_VALUE"""),"miftahul.jannat5@g.bracu.ac.bd")</f>
        <v>miftahul.jannat5@g.bracu.ac.bd</v>
      </c>
      <c r="E483" s="105"/>
    </row>
    <row r="484" ht="22.5" customHeight="1">
      <c r="A484" s="133">
        <f>IFERROR(__xludf.DUMMYFUNCTION("""COMPUTED_VALUE"""),2.420129E7)</f>
        <v>24201290</v>
      </c>
      <c r="B484" s="133" t="str">
        <f>IFERROR(__xludf.DUMMYFUNCTION("""COMPUTED_VALUE"""),"Enan Ahnaf")</f>
        <v>Enan Ahnaf</v>
      </c>
      <c r="C484" s="134" t="str">
        <f>IFERROR(__xludf.DUMMYFUNCTION("""COMPUTED_VALUE"""),"General Member")</f>
        <v>General Member</v>
      </c>
      <c r="D484" s="134" t="str">
        <f>IFERROR(__xludf.DUMMYFUNCTION("""COMPUTED_VALUE"""),"enan.ahnaf@g.bracu.ac.bd")</f>
        <v>enan.ahnaf@g.bracu.ac.bd</v>
      </c>
      <c r="E484" s="105"/>
    </row>
    <row r="485" ht="22.5" customHeight="1">
      <c r="A485" s="133">
        <f>IFERROR(__xludf.DUMMYFUNCTION("""COMPUTED_VALUE"""),2.4201301E7)</f>
        <v>24201301</v>
      </c>
      <c r="B485" s="133" t="str">
        <f>IFERROR(__xludf.DUMMYFUNCTION("""COMPUTED_VALUE"""),"Nagib Shahriar Rad")</f>
        <v>Nagib Shahriar Rad</v>
      </c>
      <c r="C485" s="134" t="str">
        <f>IFERROR(__xludf.DUMMYFUNCTION("""COMPUTED_VALUE"""),"General Member")</f>
        <v>General Member</v>
      </c>
      <c r="D485" s="134" t="str">
        <f>IFERROR(__xludf.DUMMYFUNCTION("""COMPUTED_VALUE"""),"nagib.shahriar.rad@g.bracu.ac.bd")</f>
        <v>nagib.shahriar.rad@g.bracu.ac.bd</v>
      </c>
      <c r="E485" s="105"/>
    </row>
    <row r="486" ht="22.5" customHeight="1">
      <c r="A486" s="133">
        <f>IFERROR(__xludf.DUMMYFUNCTION("""COMPUTED_VALUE"""),2.4201326E7)</f>
        <v>24201326</v>
      </c>
      <c r="B486" s="133" t="str">
        <f>IFERROR(__xludf.DUMMYFUNCTION("""COMPUTED_VALUE"""),"Md. Zakaria Hafiz")</f>
        <v>Md. Zakaria Hafiz</v>
      </c>
      <c r="C486" s="134" t="str">
        <f>IFERROR(__xludf.DUMMYFUNCTION("""COMPUTED_VALUE"""),"General Member")</f>
        <v>General Member</v>
      </c>
      <c r="D486" s="134" t="str">
        <f>IFERROR(__xludf.DUMMYFUNCTION("""COMPUTED_VALUE"""),"md.zakaria.hafiz@g.bracu.ac.bd")</f>
        <v>md.zakaria.hafiz@g.bracu.ac.bd</v>
      </c>
      <c r="E486" s="105"/>
    </row>
    <row r="487" ht="22.5" customHeight="1">
      <c r="A487" s="133">
        <f>IFERROR(__xludf.DUMMYFUNCTION("""COMPUTED_VALUE"""),2.4201385E7)</f>
        <v>24201385</v>
      </c>
      <c r="B487" s="133" t="str">
        <f>IFERROR(__xludf.DUMMYFUNCTION("""COMPUTED_VALUE"""),"Anita Rahman Chadni")</f>
        <v>Anita Rahman Chadni</v>
      </c>
      <c r="C487" s="134" t="str">
        <f>IFERROR(__xludf.DUMMYFUNCTION("""COMPUTED_VALUE"""),"General Member")</f>
        <v>General Member</v>
      </c>
      <c r="D487" s="134" t="str">
        <f>IFERROR(__xludf.DUMMYFUNCTION("""COMPUTED_VALUE"""),"anita.rahman.chadni@g.bracu.ac.bd")</f>
        <v>anita.rahman.chadni@g.bracu.ac.bd</v>
      </c>
      <c r="E487" s="105"/>
    </row>
    <row r="488" ht="22.5" customHeight="1">
      <c r="A488" s="133">
        <f>IFERROR(__xludf.DUMMYFUNCTION("""COMPUTED_VALUE"""),2.4201442E7)</f>
        <v>24201442</v>
      </c>
      <c r="B488" s="133" t="str">
        <f>IFERROR(__xludf.DUMMYFUNCTION("""COMPUTED_VALUE"""),"MD. Rasel Ahmed")</f>
        <v>MD. Rasel Ahmed</v>
      </c>
      <c r="C488" s="134" t="str">
        <f>IFERROR(__xludf.DUMMYFUNCTION("""COMPUTED_VALUE"""),"General Member")</f>
        <v>General Member</v>
      </c>
      <c r="D488" s="134" t="str">
        <f>IFERROR(__xludf.DUMMYFUNCTION("""COMPUTED_VALUE"""),"MD.rasel.ahmed@g.bracu.ac.bd")</f>
        <v>MD.rasel.ahmed@g.bracu.ac.bd</v>
      </c>
      <c r="E488" s="105"/>
    </row>
    <row r="489" ht="22.5" customHeight="1">
      <c r="A489" s="133">
        <f>IFERROR(__xludf.DUMMYFUNCTION("""COMPUTED_VALUE"""),2.4201445E7)</f>
        <v>24201445</v>
      </c>
      <c r="B489" s="133" t="str">
        <f>IFERROR(__xludf.DUMMYFUNCTION("""COMPUTED_VALUE"""),"Be-nozir Hossain Hamza")</f>
        <v>Be-nozir Hossain Hamza</v>
      </c>
      <c r="C489" s="134" t="str">
        <f>IFERROR(__xludf.DUMMYFUNCTION("""COMPUTED_VALUE"""),"General Member")</f>
        <v>General Member</v>
      </c>
      <c r="D489" s="134" t="str">
        <f>IFERROR(__xludf.DUMMYFUNCTION("""COMPUTED_VALUE"""),"benozir.hossain.hamza@g.bracu.ac.bd")</f>
        <v>benozir.hossain.hamza@g.bracu.ac.bd</v>
      </c>
      <c r="E489" s="105"/>
    </row>
    <row r="490" ht="22.5" customHeight="1">
      <c r="A490" s="133">
        <f>IFERROR(__xludf.DUMMYFUNCTION("""COMPUTED_VALUE"""),2.4204079E7)</f>
        <v>24204079</v>
      </c>
      <c r="B490" s="133" t="str">
        <f>IFERROR(__xludf.DUMMYFUNCTION("""COMPUTED_VALUE"""),"Tasin Mahbub")</f>
        <v>Tasin Mahbub</v>
      </c>
      <c r="C490" s="134" t="str">
        <f>IFERROR(__xludf.DUMMYFUNCTION("""COMPUTED_VALUE"""),"General Member")</f>
        <v>General Member</v>
      </c>
      <c r="D490" s="134" t="str">
        <f>IFERROR(__xludf.DUMMYFUNCTION("""COMPUTED_VALUE"""),"tasin.mahbub@g.bracu.ac.bd")</f>
        <v>tasin.mahbub@g.bracu.ac.bd</v>
      </c>
      <c r="E490" s="105"/>
    </row>
    <row r="491" ht="22.5" customHeight="1">
      <c r="A491" s="133">
        <f>IFERROR(__xludf.DUMMYFUNCTION("""COMPUTED_VALUE"""),2.4236052E7)</f>
        <v>24236052</v>
      </c>
      <c r="B491" s="133" t="str">
        <f>IFERROR(__xludf.DUMMYFUNCTION("""COMPUTED_VALUE"""),"Mahibullah Sami")</f>
        <v>Mahibullah Sami</v>
      </c>
      <c r="C491" s="134" t="str">
        <f>IFERROR(__xludf.DUMMYFUNCTION("""COMPUTED_VALUE"""),"General Member")</f>
        <v>General Member</v>
      </c>
      <c r="D491" s="134" t="str">
        <f>IFERROR(__xludf.DUMMYFUNCTION("""COMPUTED_VALUE"""),"sm.mahibullah.sami@g.bracu.ac.bd")</f>
        <v>sm.mahibullah.sami@g.bracu.ac.bd</v>
      </c>
      <c r="E491" s="105"/>
    </row>
    <row r="492" ht="22.5" customHeight="1">
      <c r="A492" s="133">
        <f>IFERROR(__xludf.DUMMYFUNCTION("""COMPUTED_VALUE"""),2.4301215E7)</f>
        <v>24301215</v>
      </c>
      <c r="B492" s="133" t="str">
        <f>IFERROR(__xludf.DUMMYFUNCTION("""COMPUTED_VALUE"""),"Swapnil Debnath")</f>
        <v>Swapnil Debnath</v>
      </c>
      <c r="C492" s="134" t="str">
        <f>IFERROR(__xludf.DUMMYFUNCTION("""COMPUTED_VALUE"""),"General Member")</f>
        <v>General Member</v>
      </c>
      <c r="D492" s="134" t="str">
        <f>IFERROR(__xludf.DUMMYFUNCTION("""COMPUTED_VALUE"""),"swapnil.debnath@g.bracu.ac.bd")</f>
        <v>swapnil.debnath@g.bracu.ac.bd</v>
      </c>
      <c r="E492" s="105"/>
    </row>
    <row r="493" ht="22.5" customHeight="1">
      <c r="A493" s="133">
        <f>IFERROR(__xludf.DUMMYFUNCTION("""COMPUTED_VALUE"""),2.4301491E7)</f>
        <v>24301491</v>
      </c>
      <c r="B493" s="133" t="str">
        <f>IFERROR(__xludf.DUMMYFUNCTION("""COMPUTED_VALUE"""),"Fahmid Rahman")</f>
        <v>Fahmid Rahman</v>
      </c>
      <c r="C493" s="134" t="str">
        <f>IFERROR(__xludf.DUMMYFUNCTION("""COMPUTED_VALUE"""),"General Member")</f>
        <v>General Member</v>
      </c>
      <c r="D493" s="134" t="str">
        <f>IFERROR(__xludf.DUMMYFUNCTION("""COMPUTED_VALUE"""),"fahmid.rahman@g.bracu.ac.bd")</f>
        <v>fahmid.rahman@g.bracu.ac.bd</v>
      </c>
      <c r="E493" s="105"/>
    </row>
    <row r="494" ht="22.5" customHeight="1">
      <c r="A494" s="133">
        <f>IFERROR(__xludf.DUMMYFUNCTION("""COMPUTED_VALUE"""),2.4321273E7)</f>
        <v>24321273</v>
      </c>
      <c r="B494" s="133" t="str">
        <f>IFERROR(__xludf.DUMMYFUNCTION("""COMPUTED_VALUE"""),"Humayra Saniat Lithe")</f>
        <v>Humayra Saniat Lithe</v>
      </c>
      <c r="C494" s="134" t="str">
        <f>IFERROR(__xludf.DUMMYFUNCTION("""COMPUTED_VALUE"""),"General Member")</f>
        <v>General Member</v>
      </c>
      <c r="D494" s="134" t="str">
        <f>IFERROR(__xludf.DUMMYFUNCTION("""COMPUTED_VALUE"""),"humayra.saniat.lithe@g.bracu.ac.bd")</f>
        <v>humayra.saniat.lithe@g.bracu.ac.bd</v>
      </c>
      <c r="E494" s="105"/>
    </row>
    <row r="495" ht="22.5" customHeight="1">
      <c r="A495" s="133">
        <f>IFERROR(__xludf.DUMMYFUNCTION("""COMPUTED_VALUE"""),2.5115002E7)</f>
        <v>25115002</v>
      </c>
      <c r="B495" s="133" t="str">
        <f>IFERROR(__xludf.DUMMYFUNCTION("""COMPUTED_VALUE"""),"Md. Osman Saad")</f>
        <v>Md. Osman Saad</v>
      </c>
      <c r="C495" s="134" t="str">
        <f>IFERROR(__xludf.DUMMYFUNCTION("""COMPUTED_VALUE"""),"General Member")</f>
        <v>General Member</v>
      </c>
      <c r="D495" s="134" t="str">
        <f>IFERROR(__xludf.DUMMYFUNCTION("""COMPUTED_VALUE"""),"md.osman.saad@g.bracu.ac.bd")</f>
        <v>md.osman.saad@g.bracu.ac.bd</v>
      </c>
      <c r="E495" s="105"/>
    </row>
    <row r="496" ht="22.5" customHeight="1">
      <c r="A496" s="133">
        <f>IFERROR(__xludf.DUMMYFUNCTION("""COMPUTED_VALUE"""),1.000054119E9)</f>
        <v>1000054119</v>
      </c>
      <c r="B496" s="133" t="str">
        <f>IFERROR(__xludf.DUMMYFUNCTION("""COMPUTED_VALUE"""),"Tahsinul Haque Miraz")</f>
        <v>Tahsinul Haque Miraz</v>
      </c>
      <c r="C496" s="134" t="str">
        <f>IFERROR(__xludf.DUMMYFUNCTION("""COMPUTED_VALUE"""),"General Member")</f>
        <v>General Member</v>
      </c>
      <c r="D496" s="134" t="str">
        <f>IFERROR(__xludf.DUMMYFUNCTION("""COMPUTED_VALUE"""),"tahsinul.haque@g.bracu.ac.bd")</f>
        <v>tahsinul.haque@g.bracu.ac.bd</v>
      </c>
      <c r="E496" s="105"/>
    </row>
    <row r="497" ht="22.5" customHeight="1">
      <c r="A497" s="133">
        <f>IFERROR(__xludf.DUMMYFUNCTION("""COMPUTED_VALUE"""),1.000054198E9)</f>
        <v>1000054198</v>
      </c>
      <c r="B497" s="133" t="str">
        <f>IFERROR(__xludf.DUMMYFUNCTION("""COMPUTED_VALUE"""),"Moontaha Mahjabin")</f>
        <v>Moontaha Mahjabin</v>
      </c>
      <c r="C497" s="134" t="str">
        <f>IFERROR(__xludf.DUMMYFUNCTION("""COMPUTED_VALUE"""),"General Member")</f>
        <v>General Member</v>
      </c>
      <c r="D497" s="134" t="str">
        <f>IFERROR(__xludf.DUMMYFUNCTION("""COMPUTED_VALUE"""),"moontaha.mahjabin@g.bracu.ac.bd")</f>
        <v>moontaha.mahjabin@g.bracu.ac.bd</v>
      </c>
      <c r="E497" s="105"/>
    </row>
    <row r="498" ht="22.5" customHeight="1">
      <c r="A498" s="133">
        <f>IFERROR(__xludf.DUMMYFUNCTION("""COMPUTED_VALUE"""),1.000054318E9)</f>
        <v>1000054318</v>
      </c>
      <c r="B498" s="133" t="str">
        <f>IFERROR(__xludf.DUMMYFUNCTION("""COMPUTED_VALUE"""),"Nowme Khan")</f>
        <v>Nowme Khan</v>
      </c>
      <c r="C498" s="134" t="str">
        <f>IFERROR(__xludf.DUMMYFUNCTION("""COMPUTED_VALUE"""),"General Member")</f>
        <v>General Member</v>
      </c>
      <c r="D498" s="134" t="str">
        <f>IFERROR(__xludf.DUMMYFUNCTION("""COMPUTED_VALUE"""),"nowme.khan@g.bracu.ac.bd")</f>
        <v>nowme.khan@g.bracu.ac.bd</v>
      </c>
      <c r="E498" s="105"/>
    </row>
    <row r="499" ht="22.5" customHeight="1">
      <c r="A499" s="133">
        <f>IFERROR(__xludf.DUMMYFUNCTION("""COMPUTED_VALUE"""),1.000054493E9)</f>
        <v>1000054493</v>
      </c>
      <c r="B499" s="133" t="str">
        <f>IFERROR(__xludf.DUMMYFUNCTION("""COMPUTED_VALUE"""),"Anushuya Annanova")</f>
        <v>Anushuya Annanova</v>
      </c>
      <c r="C499" s="134" t="str">
        <f>IFERROR(__xludf.DUMMYFUNCTION("""COMPUTED_VALUE"""),"General Member")</f>
        <v>General Member</v>
      </c>
      <c r="D499" s="134" t="str">
        <f>IFERROR(__xludf.DUMMYFUNCTION("""COMPUTED_VALUE"""),"anushuya.annanova@g.bracu.ac.bd")</f>
        <v>anushuya.annanova@g.bracu.ac.bd</v>
      </c>
      <c r="E499" s="105"/>
    </row>
    <row r="500" ht="22.5" customHeight="1">
      <c r="A500" s="133">
        <f>IFERROR(__xludf.DUMMYFUNCTION("""COMPUTED_VALUE"""),1.000054655E9)</f>
        <v>1000054655</v>
      </c>
      <c r="B500" s="133" t="str">
        <f>IFERROR(__xludf.DUMMYFUNCTION("""COMPUTED_VALUE"""),"MD KHALID SAIFULLAH")</f>
        <v>MD KHALID SAIFULLAH</v>
      </c>
      <c r="C500" s="134" t="str">
        <f>IFERROR(__xludf.DUMMYFUNCTION("""COMPUTED_VALUE"""),"General Member")</f>
        <v>General Member</v>
      </c>
      <c r="D500" s="134" t="str">
        <f>IFERROR(__xludf.DUMMYFUNCTION("""COMPUTED_VALUE"""),"md.khalid.saifullah@g.bracu.ac.bd")</f>
        <v>md.khalid.saifullah@g.bracu.ac.bd</v>
      </c>
      <c r="E500" s="105"/>
    </row>
    <row r="501" ht="22.5" customHeight="1">
      <c r="A501" s="133">
        <f>IFERROR(__xludf.DUMMYFUNCTION("""COMPUTED_VALUE"""),1.000054693E9)</f>
        <v>1000054693</v>
      </c>
      <c r="B501" s="133" t="str">
        <f>IFERROR(__xludf.DUMMYFUNCTION("""COMPUTED_VALUE"""),"Efat Ahmed")</f>
        <v>Efat Ahmed</v>
      </c>
      <c r="C501" s="134" t="str">
        <f>IFERROR(__xludf.DUMMYFUNCTION("""COMPUTED_VALUE"""),"General Member")</f>
        <v>General Member</v>
      </c>
      <c r="D501" s="134" t="str">
        <f>IFERROR(__xludf.DUMMYFUNCTION("""COMPUTED_VALUE"""),"efat.ahmed@g.bracu.ac.bd")</f>
        <v>efat.ahmed@g.bracu.ac.bd</v>
      </c>
      <c r="E501" s="105"/>
    </row>
    <row r="502" ht="22.5" customHeight="1">
      <c r="A502" s="133">
        <f>IFERROR(__xludf.DUMMYFUNCTION("""COMPUTED_VALUE"""),1.000054756E9)</f>
        <v>1000054756</v>
      </c>
      <c r="B502" s="133" t="str">
        <f>IFERROR(__xludf.DUMMYFUNCTION("""COMPUTED_VALUE"""),"Sayed Mostafa Kamal")</f>
        <v>Sayed Mostafa Kamal</v>
      </c>
      <c r="C502" s="134" t="str">
        <f>IFERROR(__xludf.DUMMYFUNCTION("""COMPUTED_VALUE"""),"General Member")</f>
        <v>General Member</v>
      </c>
      <c r="D502" s="134" t="str">
        <f>IFERROR(__xludf.DUMMYFUNCTION("""COMPUTED_VALUE"""),"sayed.mostafa.kamal@g.bracu.ac.bd")</f>
        <v>sayed.mostafa.kamal@g.bracu.ac.bd</v>
      </c>
      <c r="E502" s="105"/>
    </row>
    <row r="503" ht="22.5" customHeight="1">
      <c r="A503" s="133">
        <f>IFERROR(__xludf.DUMMYFUNCTION("""COMPUTED_VALUE"""),1.000054917E9)</f>
        <v>1000054917</v>
      </c>
      <c r="B503" s="133" t="str">
        <f>IFERROR(__xludf.DUMMYFUNCTION("""COMPUTED_VALUE"""),"Tafhimul Haque Wafee")</f>
        <v>Tafhimul Haque Wafee</v>
      </c>
      <c r="C503" s="134" t="str">
        <f>IFERROR(__xludf.DUMMYFUNCTION("""COMPUTED_VALUE"""),"General Member")</f>
        <v>General Member</v>
      </c>
      <c r="D503" s="134" t="str">
        <f>IFERROR(__xludf.DUMMYFUNCTION("""COMPUTED_VALUE"""),"tafhimul.haque.wafee@g.bracu.ac.bd")</f>
        <v>tafhimul.haque.wafee@g.bracu.ac.bd</v>
      </c>
      <c r="E503" s="105"/>
    </row>
    <row r="504" ht="22.5" customHeight="1">
      <c r="A504" s="133">
        <f>IFERROR(__xludf.DUMMYFUNCTION("""COMPUTED_VALUE"""),1.000055263E9)</f>
        <v>1000055263</v>
      </c>
      <c r="B504" s="133" t="str">
        <f>IFERROR(__xludf.DUMMYFUNCTION("""COMPUTED_VALUE"""),"Faiza Farzana")</f>
        <v>Faiza Farzana</v>
      </c>
      <c r="C504" s="134" t="str">
        <f>IFERROR(__xludf.DUMMYFUNCTION("""COMPUTED_VALUE"""),"General Member")</f>
        <v>General Member</v>
      </c>
      <c r="D504" s="134" t="str">
        <f>IFERROR(__xludf.DUMMYFUNCTION("""COMPUTED_VALUE"""),"faiza.farzana1@g.bracu.ac.bd")</f>
        <v>faiza.farzana1@g.bracu.ac.bd</v>
      </c>
      <c r="E504" s="105"/>
    </row>
    <row r="505" ht="22.5" customHeight="1">
      <c r="A505" s="133">
        <f>IFERROR(__xludf.DUMMYFUNCTION("""COMPUTED_VALUE"""),1.000055462E9)</f>
        <v>1000055462</v>
      </c>
      <c r="B505" s="133" t="str">
        <f>IFERROR(__xludf.DUMMYFUNCTION("""COMPUTED_VALUE"""),"Eshan SInha")</f>
        <v>Eshan SInha</v>
      </c>
      <c r="C505" s="134" t="str">
        <f>IFERROR(__xludf.DUMMYFUNCTION("""COMPUTED_VALUE"""),"General Member")</f>
        <v>General Member</v>
      </c>
      <c r="D505" s="134" t="str">
        <f>IFERROR(__xludf.DUMMYFUNCTION("""COMPUTED_VALUE"""),"eshan.sinha@g.bracu.ac.bd")</f>
        <v>eshan.sinha@g.bracu.ac.bd</v>
      </c>
      <c r="E505" s="105"/>
    </row>
    <row r="506" ht="22.5" customHeight="1">
      <c r="A506" s="133">
        <f>IFERROR(__xludf.DUMMYFUNCTION("""COMPUTED_VALUE"""),2.3101512E7)</f>
        <v>23101512</v>
      </c>
      <c r="B506" s="133" t="str">
        <f>IFERROR(__xludf.DUMMYFUNCTION("""COMPUTED_VALUE"""),"Saramoni")</f>
        <v>Saramoni</v>
      </c>
      <c r="C506" s="134" t="str">
        <f>IFERROR(__xludf.DUMMYFUNCTION("""COMPUTED_VALUE"""),"General Member")</f>
        <v>General Member</v>
      </c>
      <c r="D506" s="134" t="str">
        <f>IFERROR(__xludf.DUMMYFUNCTION("""COMPUTED_VALUE"""),"saramoni@g.bracu.ac.bd")</f>
        <v>saramoni@g.bracu.ac.bd</v>
      </c>
      <c r="E506" s="105"/>
    </row>
    <row r="507" ht="22.5" customHeight="1">
      <c r="A507" s="133">
        <f>IFERROR(__xludf.DUMMYFUNCTION("""COMPUTED_VALUE"""),2.4101657E7)</f>
        <v>24101657</v>
      </c>
      <c r="B507" s="133" t="str">
        <f>IFERROR(__xludf.DUMMYFUNCTION("""COMPUTED_VALUE"""),"Md. Shafein Rahman")</f>
        <v>Md. Shafein Rahman</v>
      </c>
      <c r="C507" s="134" t="str">
        <f>IFERROR(__xludf.DUMMYFUNCTION("""COMPUTED_VALUE"""),"General Member")</f>
        <v>General Member</v>
      </c>
      <c r="D507" s="134" t="str">
        <f>IFERROR(__xludf.DUMMYFUNCTION("""COMPUTED_VALUE"""),"md.shafein.rahman@g.bracu.ac.bd")</f>
        <v>md.shafein.rahman@g.bracu.ac.bd</v>
      </c>
      <c r="E507" s="105"/>
    </row>
    <row r="508" ht="22.5" customHeight="1">
      <c r="A508" s="133">
        <f>IFERROR(__xludf.DUMMYFUNCTION("""COMPUTED_VALUE"""),2.430152E7)</f>
        <v>24301520</v>
      </c>
      <c r="B508" s="133" t="str">
        <f>IFERROR(__xludf.DUMMYFUNCTION("""COMPUTED_VALUE"""),"Saad Ahmed")</f>
        <v>Saad Ahmed</v>
      </c>
      <c r="C508" s="134" t="str">
        <f>IFERROR(__xludf.DUMMYFUNCTION("""COMPUTED_VALUE"""),"General Member")</f>
        <v>General Member</v>
      </c>
      <c r="D508" s="134" t="str">
        <f>IFERROR(__xludf.DUMMYFUNCTION("""COMPUTED_VALUE"""),"saad.ahmed1@g.bracu.ac.bd")</f>
        <v>saad.ahmed1@g.bracu.ac.bd</v>
      </c>
      <c r="E508" s="105"/>
    </row>
    <row r="509" ht="22.5" customHeight="1">
      <c r="A509" s="133">
        <f>IFERROR(__xludf.DUMMYFUNCTION("""COMPUTED_VALUE"""),1.000054161E9)</f>
        <v>1000054161</v>
      </c>
      <c r="B509" s="133" t="str">
        <f>IFERROR(__xludf.DUMMYFUNCTION("""COMPUTED_VALUE"""),"Shirajum Munira Dyuti")</f>
        <v>Shirajum Munira Dyuti</v>
      </c>
      <c r="C509" s="134" t="str">
        <f>IFERROR(__xludf.DUMMYFUNCTION("""COMPUTED_VALUE"""),"General Member")</f>
        <v>General Member</v>
      </c>
      <c r="D509" s="134" t="str">
        <f>IFERROR(__xludf.DUMMYFUNCTION("""COMPUTED_VALUE"""),"shirajum.munira.dyuti@g.bracu.ac.bd")</f>
        <v>shirajum.munira.dyuti@g.bracu.ac.bd</v>
      </c>
      <c r="E509" s="105"/>
    </row>
    <row r="510" ht="22.5" customHeight="1">
      <c r="A510" s="133">
        <f>IFERROR(__xludf.DUMMYFUNCTION("""COMPUTED_VALUE"""),1.000054205E9)</f>
        <v>1000054205</v>
      </c>
      <c r="B510" s="133" t="str">
        <f>IFERROR(__xludf.DUMMYFUNCTION("""COMPUTED_VALUE"""),"Md. Rakibul Islam")</f>
        <v>Md. Rakibul Islam</v>
      </c>
      <c r="C510" s="134" t="str">
        <f>IFERROR(__xludf.DUMMYFUNCTION("""COMPUTED_VALUE"""),"General Member")</f>
        <v>General Member</v>
      </c>
      <c r="D510" s="134" t="str">
        <f>IFERROR(__xludf.DUMMYFUNCTION("""COMPUTED_VALUE"""),"rakibul.islam6@g.bracu.ac.bd")</f>
        <v>rakibul.islam6@g.bracu.ac.bd</v>
      </c>
      <c r="E510" s="105"/>
    </row>
    <row r="511" ht="22.5" customHeight="1">
      <c r="A511" s="133">
        <f>IFERROR(__xludf.DUMMYFUNCTION("""COMPUTED_VALUE"""),1.000055069E9)</f>
        <v>1000055069</v>
      </c>
      <c r="B511" s="133" t="str">
        <f>IFERROR(__xludf.DUMMYFUNCTION("""COMPUTED_VALUE"""),"Tahsin Tarannum")</f>
        <v>Tahsin Tarannum</v>
      </c>
      <c r="C511" s="134" t="str">
        <f>IFERROR(__xludf.DUMMYFUNCTION("""COMPUTED_VALUE"""),"General Member")</f>
        <v>General Member</v>
      </c>
      <c r="D511" s="134" t="str">
        <f>IFERROR(__xludf.DUMMYFUNCTION("""COMPUTED_VALUE"""),"tahsin.tarannum1@g.bracu.ac.bd")</f>
        <v>tahsin.tarannum1@g.bracu.ac.bd</v>
      </c>
      <c r="E511" s="105"/>
    </row>
    <row r="512" ht="22.5" customHeight="1">
      <c r="A512" s="133">
        <f>IFERROR(__xludf.DUMMYFUNCTION("""COMPUTED_VALUE"""),1.000055799E9)</f>
        <v>1000055799</v>
      </c>
      <c r="B512" s="133" t="str">
        <f>IFERROR(__xludf.DUMMYFUNCTION("""COMPUTED_VALUE"""),"Alip Raha")</f>
        <v>Alip Raha</v>
      </c>
      <c r="C512" s="134" t="str">
        <f>IFERROR(__xludf.DUMMYFUNCTION("""COMPUTED_VALUE"""),"General Member")</f>
        <v>General Member</v>
      </c>
      <c r="D512" s="134" t="str">
        <f>IFERROR(__xludf.DUMMYFUNCTION("""COMPUTED_VALUE"""),"alip.raha@g.bracu.ac.bd")</f>
        <v>alip.raha@g.bracu.ac.bd</v>
      </c>
      <c r="E512" s="105"/>
    </row>
    <row r="513" ht="22.5" customHeight="1">
      <c r="A513" s="133">
        <f>IFERROR(__xludf.DUMMYFUNCTION("""COMPUTED_VALUE"""),1.000056994E9)</f>
        <v>1000056994</v>
      </c>
      <c r="B513" s="133" t="str">
        <f>IFERROR(__xludf.DUMMYFUNCTION("""COMPUTED_VALUE"""),"MD ABU RAYHAN SEFAT")</f>
        <v>MD ABU RAYHAN SEFAT</v>
      </c>
      <c r="C513" s="134" t="str">
        <f>IFERROR(__xludf.DUMMYFUNCTION("""COMPUTED_VALUE"""),"General Member")</f>
        <v>General Member</v>
      </c>
      <c r="D513" s="134" t="str">
        <f>IFERROR(__xludf.DUMMYFUNCTION("""COMPUTED_VALUE"""),"abu.rayhan.sefat@g.bracu.ac.bd")</f>
        <v>abu.rayhan.sefat@g.bracu.ac.bd</v>
      </c>
      <c r="E513" s="105"/>
    </row>
    <row r="514" ht="22.5" customHeight="1">
      <c r="A514" s="133">
        <f>IFERROR(__xludf.DUMMYFUNCTION("""COMPUTED_VALUE"""),1.000055669E9)</f>
        <v>1000055669</v>
      </c>
      <c r="B514" s="133" t="str">
        <f>IFERROR(__xludf.DUMMYFUNCTION("""COMPUTED_VALUE"""),"Abib Hasan")</f>
        <v>Abib Hasan</v>
      </c>
      <c r="C514" s="134" t="str">
        <f>IFERROR(__xludf.DUMMYFUNCTION("""COMPUTED_VALUE"""),"General Member")</f>
        <v>General Member</v>
      </c>
      <c r="D514" s="134" t="str">
        <f>IFERROR(__xludf.DUMMYFUNCTION("""COMPUTED_VALUE"""),"abib.hasan@g.bracu.ac.bd")</f>
        <v>abib.hasan@g.bracu.ac.bd</v>
      </c>
      <c r="E514" s="105"/>
    </row>
    <row r="515" ht="22.5" customHeight="1">
      <c r="A515" s="133">
        <f>IFERROR(__xludf.DUMMYFUNCTION("""COMPUTED_VALUE"""),2.4321286E7)</f>
        <v>24321286</v>
      </c>
      <c r="B515" s="133" t="str">
        <f>IFERROR(__xludf.DUMMYFUNCTION("""COMPUTED_VALUE"""),"Eamin Ahmed Akash")</f>
        <v>Eamin Ahmed Akash</v>
      </c>
      <c r="C515" s="134" t="str">
        <f>IFERROR(__xludf.DUMMYFUNCTION("""COMPUTED_VALUE"""),"General Member")</f>
        <v>General Member</v>
      </c>
      <c r="D515" s="134" t="str">
        <f>IFERROR(__xludf.DUMMYFUNCTION("""COMPUTED_VALUE"""),"eamin.ahmed.akash@g.bracu.ac.bd")</f>
        <v>eamin.ahmed.akash@g.bracu.ac.bd</v>
      </c>
      <c r="E515" s="105"/>
    </row>
    <row r="516" ht="22.5" customHeight="1">
      <c r="A516" s="133">
        <f>IFERROR(__xludf.DUMMYFUNCTION("""COMPUTED_VALUE"""),1.000058789E9)</f>
        <v>1000058789</v>
      </c>
      <c r="B516" s="133" t="str">
        <f>IFERROR(__xludf.DUMMYFUNCTION("""COMPUTED_VALUE"""),"Dipta Ghosh")</f>
        <v>Dipta Ghosh</v>
      </c>
      <c r="C516" s="134" t="str">
        <f>IFERROR(__xludf.DUMMYFUNCTION("""COMPUTED_VALUE"""),"General Member")</f>
        <v>General Member</v>
      </c>
      <c r="D516" s="134" t="str">
        <f>IFERROR(__xludf.DUMMYFUNCTION("""COMPUTED_VALUE"""),"dipta.ghosh@g.bracu.ac.bd")</f>
        <v>dipta.ghosh@g.bracu.ac.bd</v>
      </c>
      <c r="E516" s="105"/>
    </row>
    <row r="517" ht="22.5" customHeight="1">
      <c r="A517" s="133">
        <f>IFERROR(__xludf.DUMMYFUNCTION("""COMPUTED_VALUE"""),2.4321235E7)</f>
        <v>24321235</v>
      </c>
      <c r="B517" s="133" t="str">
        <f>IFERROR(__xludf.DUMMYFUNCTION("""COMPUTED_VALUE"""),"Syed Farah Ummy Ahsan")</f>
        <v>Syed Farah Ummy Ahsan</v>
      </c>
      <c r="C517" s="134" t="str">
        <f>IFERROR(__xludf.DUMMYFUNCTION("""COMPUTED_VALUE"""),"General Member")</f>
        <v>General Member</v>
      </c>
      <c r="D517" s="134" t="str">
        <f>IFERROR(__xludf.DUMMYFUNCTION("""COMPUTED_VALUE"""),"farah.ummy.ahsan@g.bracu.ac.bd")</f>
        <v>farah.ummy.ahsan@g.bracu.ac.bd</v>
      </c>
      <c r="E517" s="105"/>
    </row>
    <row r="518" ht="22.5" customHeight="1">
      <c r="A518" s="133">
        <f>IFERROR(__xludf.DUMMYFUNCTION("""COMPUTED_VALUE"""),2.4101255E7)</f>
        <v>24101255</v>
      </c>
      <c r="B518" s="133" t="str">
        <f>IFERROR(__xludf.DUMMYFUNCTION("""COMPUTED_VALUE"""),"ISTIAK ALAM IFTE")</f>
        <v>ISTIAK ALAM IFTE</v>
      </c>
      <c r="C518" s="134" t="str">
        <f>IFERROR(__xludf.DUMMYFUNCTION("""COMPUTED_VALUE"""),"General Member")</f>
        <v>General Member</v>
      </c>
      <c r="D518" s="134" t="str">
        <f>IFERROR(__xludf.DUMMYFUNCTION("""COMPUTED_VALUE"""),"istiak.alam.ifte@g.bracu.ac.bd")</f>
        <v>istiak.alam.ifte@g.bracu.ac.bd</v>
      </c>
      <c r="E518" s="105"/>
    </row>
    <row r="519" ht="22.5" customHeight="1">
      <c r="A519" s="133">
        <f>IFERROR(__xludf.DUMMYFUNCTION("""COMPUTED_VALUE"""),1.000058822E9)</f>
        <v>1000058822</v>
      </c>
      <c r="B519" s="133" t="str">
        <f>IFERROR(__xludf.DUMMYFUNCTION("""COMPUTED_VALUE"""),"Amana Jahan Tisha")</f>
        <v>Amana Jahan Tisha</v>
      </c>
      <c r="C519" s="134" t="str">
        <f>IFERROR(__xludf.DUMMYFUNCTION("""COMPUTED_VALUE"""),"General Member")</f>
        <v>General Member</v>
      </c>
      <c r="D519" s="134" t="str">
        <f>IFERROR(__xludf.DUMMYFUNCTION("""COMPUTED_VALUE"""),"amana.jahan.tisha@g.bracu.ac.bd")</f>
        <v>amana.jahan.tisha@g.bracu.ac.bd</v>
      </c>
      <c r="E519" s="105"/>
    </row>
    <row r="520" ht="22.5" customHeight="1">
      <c r="A520" s="133">
        <f>IFERROR(__xludf.DUMMYFUNCTION("""COMPUTED_VALUE"""),1.000057589E9)</f>
        <v>1000057589</v>
      </c>
      <c r="B520" s="133" t="str">
        <f>IFERROR(__xludf.DUMMYFUNCTION("""COMPUTED_VALUE"""),"Masud Hasan Khan")</f>
        <v>Masud Hasan Khan</v>
      </c>
      <c r="C520" s="134" t="str">
        <f>IFERROR(__xludf.DUMMYFUNCTION("""COMPUTED_VALUE"""),"General Member")</f>
        <v>General Member</v>
      </c>
      <c r="D520" s="134" t="str">
        <f>IFERROR(__xludf.DUMMYFUNCTION("""COMPUTED_VALUE"""),"masud.hasan.khan@g.bracu.ac.bd")</f>
        <v>masud.hasan.khan@g.bracu.ac.bd</v>
      </c>
      <c r="E520" s="105"/>
    </row>
    <row r="521" ht="22.5" customHeight="1">
      <c r="A521" s="133">
        <f>IFERROR(__xludf.DUMMYFUNCTION("""COMPUTED_VALUE"""),1.000055726E9)</f>
        <v>1000055726</v>
      </c>
      <c r="B521" s="133" t="str">
        <f>IFERROR(__xludf.DUMMYFUNCTION("""COMPUTED_VALUE"""),"Aryan Islam Durjoy")</f>
        <v>Aryan Islam Durjoy</v>
      </c>
      <c r="C521" s="134" t="str">
        <f>IFERROR(__xludf.DUMMYFUNCTION("""COMPUTED_VALUE"""),"General Member")</f>
        <v>General Member</v>
      </c>
      <c r="D521" s="134" t="str">
        <f>IFERROR(__xludf.DUMMYFUNCTION("""COMPUTED_VALUE"""),"aryan.islam.durjoy@g.bracu.ac.bd")</f>
        <v>aryan.islam.durjoy@g.bracu.ac.bd</v>
      </c>
      <c r="E521" s="105"/>
    </row>
    <row r="522" ht="22.5" customHeight="1">
      <c r="A522" s="133">
        <f>IFERROR(__xludf.DUMMYFUNCTION("""COMPUTED_VALUE"""),2.4301525E7)</f>
        <v>24301525</v>
      </c>
      <c r="B522" s="133" t="str">
        <f>IFERROR(__xludf.DUMMYFUNCTION("""COMPUTED_VALUE"""),"Shahed Amin")</f>
        <v>Shahed Amin</v>
      </c>
      <c r="C522" s="134" t="str">
        <f>IFERROR(__xludf.DUMMYFUNCTION("""COMPUTED_VALUE"""),"General Member")</f>
        <v>General Member</v>
      </c>
      <c r="D522" s="134" t="str">
        <f>IFERROR(__xludf.DUMMYFUNCTION("""COMPUTED_VALUE"""),"shahed.amin1@g.bracu.ac.bd")</f>
        <v>shahed.amin1@g.bracu.ac.bd</v>
      </c>
      <c r="E522" s="105"/>
    </row>
    <row r="523">
      <c r="A523" s="105">
        <f>IFERROR(__xludf.DUMMYFUNCTION("""COMPUTED_VALUE"""),2.4301371E7)</f>
        <v>24301371</v>
      </c>
      <c r="B523" s="105" t="str">
        <f>IFERROR(__xludf.DUMMYFUNCTION("""COMPUTED_VALUE"""),"Ashikur Rahman Ashik")</f>
        <v>Ashikur Rahman Ashik</v>
      </c>
      <c r="C523" s="135" t="str">
        <f>IFERROR(__xludf.DUMMYFUNCTION("""COMPUTED_VALUE"""),"General Member")</f>
        <v>General Member</v>
      </c>
      <c r="D523" s="135" t="str">
        <f>IFERROR(__xludf.DUMMYFUNCTION("""COMPUTED_VALUE"""),"ashikur.rahman.ashik@g.bracu.ac.bd")</f>
        <v>ashikur.rahman.ashik@g.bracu.ac.bd</v>
      </c>
      <c r="E523" s="105"/>
    </row>
    <row r="524">
      <c r="A524" s="105">
        <f>IFERROR(__xludf.DUMMYFUNCTION("""COMPUTED_VALUE"""),1.000055949E9)</f>
        <v>1000055949</v>
      </c>
      <c r="B524" s="105" t="str">
        <f>IFERROR(__xludf.DUMMYFUNCTION("""COMPUTED_VALUE"""),"Syed Ayman Ul Alam")</f>
        <v>Syed Ayman Ul Alam</v>
      </c>
      <c r="C524" s="135" t="str">
        <f>IFERROR(__xludf.DUMMYFUNCTION("""COMPUTED_VALUE"""),"General Member")</f>
        <v>General Member</v>
      </c>
      <c r="D524" s="135" t="str">
        <f>IFERROR(__xludf.DUMMYFUNCTION("""COMPUTED_VALUE"""),"ayman.ul.alam@g.bracu.ac.bd")</f>
        <v>ayman.ul.alam@g.bracu.ac.bd</v>
      </c>
      <c r="E524" s="105"/>
    </row>
    <row r="525">
      <c r="A525" s="105">
        <f>IFERROR(__xludf.DUMMYFUNCTION("""COMPUTED_VALUE"""),2.4301493E7)</f>
        <v>24301493</v>
      </c>
      <c r="B525" s="105" t="str">
        <f>IFERROR(__xludf.DUMMYFUNCTION("""COMPUTED_VALUE"""),"Marzia Tabassum")</f>
        <v>Marzia Tabassum</v>
      </c>
      <c r="C525" s="135" t="str">
        <f>IFERROR(__xludf.DUMMYFUNCTION("""COMPUTED_VALUE"""),"General Member")</f>
        <v>General Member</v>
      </c>
      <c r="D525" s="135" t="str">
        <f>IFERROR(__xludf.DUMMYFUNCTION("""COMPUTED_VALUE"""),"marzia.tabassum@g.bracu.ac.bd")</f>
        <v>marzia.tabassum@g.bracu.ac.bd</v>
      </c>
      <c r="E525" s="105"/>
    </row>
    <row r="526">
      <c r="A526" s="105">
        <f>IFERROR(__xludf.DUMMYFUNCTION("""COMPUTED_VALUE"""),2.3201209E7)</f>
        <v>23201209</v>
      </c>
      <c r="B526" s="105" t="str">
        <f>IFERROR(__xludf.DUMMYFUNCTION("""COMPUTED_VALUE"""),"Sayma Shazrin")</f>
        <v>Sayma Shazrin</v>
      </c>
      <c r="C526" s="135" t="str">
        <f>IFERROR(__xludf.DUMMYFUNCTION("""COMPUTED_VALUE"""),"General Member")</f>
        <v>General Member</v>
      </c>
      <c r="D526" s="135" t="str">
        <f>IFERROR(__xludf.DUMMYFUNCTION("""COMPUTED_VALUE"""),"sayma.shazrin@g.bracu.ac.bd")</f>
        <v>sayma.shazrin@g.bracu.ac.bd</v>
      </c>
      <c r="E526" s="105"/>
    </row>
    <row r="527">
      <c r="A527" s="105">
        <f>IFERROR(__xludf.DUMMYFUNCTION("""COMPUTED_VALUE"""),1.000058706E9)</f>
        <v>1000058706</v>
      </c>
      <c r="B527" s="105" t="str">
        <f>IFERROR(__xludf.DUMMYFUNCTION("""COMPUTED_VALUE"""),"Nowshin Tasnia Rafa")</f>
        <v>Nowshin Tasnia Rafa</v>
      </c>
      <c r="C527" s="135" t="str">
        <f>IFERROR(__xludf.DUMMYFUNCTION("""COMPUTED_VALUE"""),"General Member")</f>
        <v>General Member</v>
      </c>
      <c r="D527" s="135" t="str">
        <f>IFERROR(__xludf.DUMMYFUNCTION("""COMPUTED_VALUE"""),"nowshin.tasnia.rafa@g.bracu.ac.bd")</f>
        <v>nowshin.tasnia.rafa@g.bracu.ac.bd</v>
      </c>
      <c r="E527" s="105"/>
    </row>
    <row r="528">
      <c r="A528" s="105">
        <f>IFERROR(__xludf.DUMMYFUNCTION("""COMPUTED_VALUE"""),1.000058175E9)</f>
        <v>1000058175</v>
      </c>
      <c r="B528" s="105" t="str">
        <f>IFERROR(__xludf.DUMMYFUNCTION("""COMPUTED_VALUE"""),"Ariful Islam Rafid")</f>
        <v>Ariful Islam Rafid</v>
      </c>
      <c r="C528" s="135" t="str">
        <f>IFERROR(__xludf.DUMMYFUNCTION("""COMPUTED_VALUE"""),"General Member")</f>
        <v>General Member</v>
      </c>
      <c r="D528" s="135" t="str">
        <f>IFERROR(__xludf.DUMMYFUNCTION("""COMPUTED_VALUE"""),"ariful.islam.rafid@g.bracu.ac.bd")</f>
        <v>ariful.islam.rafid@g.bracu.ac.bd</v>
      </c>
      <c r="E528" s="105"/>
    </row>
    <row r="529">
      <c r="A529" s="105">
        <f>IFERROR(__xludf.DUMMYFUNCTION("""COMPUTED_VALUE"""),1.000057573E9)</f>
        <v>1000057573</v>
      </c>
      <c r="B529" s="105" t="str">
        <f>IFERROR(__xludf.DUMMYFUNCTION("""COMPUTED_VALUE"""),"Madeha Nower Pushon")</f>
        <v>Madeha Nower Pushon</v>
      </c>
      <c r="C529" s="135" t="str">
        <f>IFERROR(__xludf.DUMMYFUNCTION("""COMPUTED_VALUE"""),"General Member")</f>
        <v>General Member</v>
      </c>
      <c r="D529" s="135" t="str">
        <f>IFERROR(__xludf.DUMMYFUNCTION("""COMPUTED_VALUE"""),"madeha.nower.pushon@g.bracu.ac.bd")</f>
        <v>madeha.nower.pushon@g.bracu.ac.bd</v>
      </c>
      <c r="E529" s="105"/>
    </row>
    <row r="530">
      <c r="A530" s="105">
        <f>IFERROR(__xludf.DUMMYFUNCTION("""COMPUTED_VALUE"""),1.000056815E9)</f>
        <v>1000056815</v>
      </c>
      <c r="B530" s="105" t="str">
        <f>IFERROR(__xludf.DUMMYFUNCTION("""COMPUTED_VALUE"""),"MD NAVIDUL HOSSAIN")</f>
        <v>MD NAVIDUL HOSSAIN</v>
      </c>
      <c r="C530" s="135" t="str">
        <f>IFERROR(__xludf.DUMMYFUNCTION("""COMPUTED_VALUE"""),"General Member")</f>
        <v>General Member</v>
      </c>
      <c r="D530" s="135" t="str">
        <f>IFERROR(__xludf.DUMMYFUNCTION("""COMPUTED_VALUE"""),"md.navidul.hossain@g.bracu.ac.bd")</f>
        <v>md.navidul.hossain@g.bracu.ac.bd</v>
      </c>
      <c r="E530" s="105"/>
    </row>
    <row r="531">
      <c r="A531" s="105">
        <f>IFERROR(__xludf.DUMMYFUNCTION("""COMPUTED_VALUE"""),2.4321257E7)</f>
        <v>24321257</v>
      </c>
      <c r="B531" s="105" t="str">
        <f>IFERROR(__xludf.DUMMYFUNCTION("""COMPUTED_VALUE"""),"MD Monirul Islam")</f>
        <v>MD Monirul Islam</v>
      </c>
      <c r="C531" s="135" t="str">
        <f>IFERROR(__xludf.DUMMYFUNCTION("""COMPUTED_VALUE"""),"General Member")</f>
        <v>General Member</v>
      </c>
      <c r="D531" s="135" t="str">
        <f>IFERROR(__xludf.DUMMYFUNCTION("""COMPUTED_VALUE"""),"md.monirul.islam2@g.bracu.ac.bd")</f>
        <v>md.monirul.islam2@g.bracu.ac.bd</v>
      </c>
      <c r="E531" s="105"/>
    </row>
    <row r="532">
      <c r="A532" s="105">
        <f>IFERROR(__xludf.DUMMYFUNCTION("""COMPUTED_VALUE"""),2.4301037E7)</f>
        <v>24301037</v>
      </c>
      <c r="B532" s="105" t="str">
        <f>IFERROR(__xludf.DUMMYFUNCTION("""COMPUTED_VALUE"""),"SAKIF WASIR HAQUE")</f>
        <v>SAKIF WASIR HAQUE</v>
      </c>
      <c r="C532" s="135" t="str">
        <f>IFERROR(__xludf.DUMMYFUNCTION("""COMPUTED_VALUE"""),"General Member")</f>
        <v>General Member</v>
      </c>
      <c r="D532" s="135" t="str">
        <f>IFERROR(__xludf.DUMMYFUNCTION("""COMPUTED_VALUE"""),"sakif.wasir.haque@g.bracu.ac.bd")</f>
        <v>sakif.wasir.haque@g.bracu.ac.bd</v>
      </c>
      <c r="E532" s="105"/>
    </row>
    <row r="533">
      <c r="A533" s="105">
        <f>IFERROR(__xludf.DUMMYFUNCTION("""COMPUTED_VALUE"""),1.000058794E9)</f>
        <v>1000058794</v>
      </c>
      <c r="B533" s="105" t="str">
        <f>IFERROR(__xludf.DUMMYFUNCTION("""COMPUTED_VALUE"""),"Jarin Zaman")</f>
        <v>Jarin Zaman</v>
      </c>
      <c r="C533" s="135" t="str">
        <f>IFERROR(__xludf.DUMMYFUNCTION("""COMPUTED_VALUE"""),"General Member")</f>
        <v>General Member</v>
      </c>
      <c r="D533" s="135" t="str">
        <f>IFERROR(__xludf.DUMMYFUNCTION("""COMPUTED_VALUE"""),"jarin.zaman@g.bracu.ac.bd")</f>
        <v>jarin.zaman@g.bracu.ac.bd</v>
      </c>
      <c r="E533" s="105"/>
    </row>
    <row r="534">
      <c r="A534" s="105">
        <f>IFERROR(__xludf.DUMMYFUNCTION("""COMPUTED_VALUE"""),1.00005756E9)</f>
        <v>1000057560</v>
      </c>
      <c r="B534" s="105" t="str">
        <f>IFERROR(__xludf.DUMMYFUNCTION("""COMPUTED_VALUE"""),"Sajia Tanzin Rahman")</f>
        <v>Sajia Tanzin Rahman</v>
      </c>
      <c r="C534" s="135" t="str">
        <f>IFERROR(__xludf.DUMMYFUNCTION("""COMPUTED_VALUE"""),"General Member")</f>
        <v>General Member</v>
      </c>
      <c r="D534" s="135" t="str">
        <f>IFERROR(__xludf.DUMMYFUNCTION("""COMPUTED_VALUE"""),"sajia.tanzin.rahman@g.bracu.ac.bd")</f>
        <v>sajia.tanzin.rahman@g.bracu.ac.bd</v>
      </c>
      <c r="E534" s="105"/>
    </row>
    <row r="535">
      <c r="A535" s="105">
        <f>IFERROR(__xludf.DUMMYFUNCTION("""COMPUTED_VALUE"""),2.4301128E7)</f>
        <v>24301128</v>
      </c>
      <c r="B535" s="105" t="str">
        <f>IFERROR(__xludf.DUMMYFUNCTION("""COMPUTED_VALUE"""),"Anika Ibnat Ananna")</f>
        <v>Anika Ibnat Ananna</v>
      </c>
      <c r="C535" s="135" t="str">
        <f>IFERROR(__xludf.DUMMYFUNCTION("""COMPUTED_VALUE"""),"General Member")</f>
        <v>General Member</v>
      </c>
      <c r="D535" s="135" t="str">
        <f>IFERROR(__xludf.DUMMYFUNCTION("""COMPUTED_VALUE"""),"anika.ibnat.ananna@g.bracu.ac.bd")</f>
        <v>anika.ibnat.ananna@g.bracu.ac.bd</v>
      </c>
      <c r="E535" s="105"/>
    </row>
    <row r="536">
      <c r="A536" s="105">
        <f>IFERROR(__xludf.DUMMYFUNCTION("""COMPUTED_VALUE"""),2.4201355E7)</f>
        <v>24201355</v>
      </c>
      <c r="B536" s="105" t="str">
        <f>IFERROR(__xludf.DUMMYFUNCTION("""COMPUTED_VALUE"""),"Jannat Ara Jahan")</f>
        <v>Jannat Ara Jahan</v>
      </c>
      <c r="C536" s="135" t="str">
        <f>IFERROR(__xludf.DUMMYFUNCTION("""COMPUTED_VALUE"""),"General Member")</f>
        <v>General Member</v>
      </c>
      <c r="D536" s="135" t="str">
        <f>IFERROR(__xludf.DUMMYFUNCTION("""COMPUTED_VALUE"""),"jannat.ara.jahan@g.bracu.ac.bd")</f>
        <v>jannat.ara.jahan@g.bracu.ac.bd</v>
      </c>
      <c r="E536" s="105"/>
    </row>
    <row r="537">
      <c r="A537" s="105">
        <f>IFERROR(__xludf.DUMMYFUNCTION("""COMPUTED_VALUE"""),2.4301096E7)</f>
        <v>24301096</v>
      </c>
      <c r="B537" s="105" t="str">
        <f>IFERROR(__xludf.DUMMYFUNCTION("""COMPUTED_VALUE"""),"Labiba Tabassum")</f>
        <v>Labiba Tabassum</v>
      </c>
      <c r="C537" s="135" t="str">
        <f>IFERROR(__xludf.DUMMYFUNCTION("""COMPUTED_VALUE"""),"General Member")</f>
        <v>General Member</v>
      </c>
      <c r="D537" s="135" t="str">
        <f>IFERROR(__xludf.DUMMYFUNCTION("""COMPUTED_VALUE"""),"labiba.tabassum@g.bracu.ac.bd")</f>
        <v>labiba.tabassum@g.bracu.ac.bd</v>
      </c>
      <c r="E537" s="105"/>
    </row>
    <row r="538">
      <c r="A538" s="105">
        <f>IFERROR(__xludf.DUMMYFUNCTION("""COMPUTED_VALUE"""),1.000056902E9)</f>
        <v>1000056902</v>
      </c>
      <c r="B538" s="105" t="str">
        <f>IFERROR(__xludf.DUMMYFUNCTION("""COMPUTED_VALUE"""),"Fardin Inan Ahmed")</f>
        <v>Fardin Inan Ahmed</v>
      </c>
      <c r="C538" s="135" t="str">
        <f>IFERROR(__xludf.DUMMYFUNCTION("""COMPUTED_VALUE"""),"General Member")</f>
        <v>General Member</v>
      </c>
      <c r="D538" s="135" t="str">
        <f>IFERROR(__xludf.DUMMYFUNCTION("""COMPUTED_VALUE"""),"fardin.inan.ahmed@g.bracu.ac.bd")</f>
        <v>fardin.inan.ahmed@g.bracu.ac.bd</v>
      </c>
      <c r="E538" s="105"/>
    </row>
    <row r="539">
      <c r="A539" s="105">
        <f>IFERROR(__xludf.DUMMYFUNCTION("""COMPUTED_VALUE"""),2.4101429E7)</f>
        <v>24101429</v>
      </c>
      <c r="B539" s="105" t="str">
        <f>IFERROR(__xludf.DUMMYFUNCTION("""COMPUTED_VALUE"""),"CHOWDHURY NAFISA SADHAF")</f>
        <v>CHOWDHURY NAFISA SADHAF</v>
      </c>
      <c r="C539" s="135" t="str">
        <f>IFERROR(__xludf.DUMMYFUNCTION("""COMPUTED_VALUE"""),"General Member")</f>
        <v>General Member</v>
      </c>
      <c r="D539" s="135" t="str">
        <f>IFERROR(__xludf.DUMMYFUNCTION("""COMPUTED_VALUE"""),"chowdhury.nafisa.sadhaf@g.bracu.ac.bd")</f>
        <v>chowdhury.nafisa.sadhaf@g.bracu.ac.bd</v>
      </c>
      <c r="E539" s="105"/>
    </row>
    <row r="540">
      <c r="A540" s="105">
        <f>IFERROR(__xludf.DUMMYFUNCTION("""COMPUTED_VALUE"""),2.4101178E7)</f>
        <v>24101178</v>
      </c>
      <c r="B540" s="105" t="str">
        <f>IFERROR(__xludf.DUMMYFUNCTION("""COMPUTED_VALUE"""),"Zarin Tasnim Samira")</f>
        <v>Zarin Tasnim Samira</v>
      </c>
      <c r="C540" s="135" t="str">
        <f>IFERROR(__xludf.DUMMYFUNCTION("""COMPUTED_VALUE"""),"General Member")</f>
        <v>General Member</v>
      </c>
      <c r="D540" s="135" t="str">
        <f>IFERROR(__xludf.DUMMYFUNCTION("""COMPUTED_VALUE"""),"zarin.tasnim.samira@g.bracu.ac.bd")</f>
        <v>zarin.tasnim.samira@g.bracu.ac.bd</v>
      </c>
      <c r="E540" s="105"/>
    </row>
    <row r="541">
      <c r="A541" s="105">
        <f>IFERROR(__xludf.DUMMYFUNCTION("""COMPUTED_VALUE"""),2.4301266E7)</f>
        <v>24301266</v>
      </c>
      <c r="B541" s="105" t="str">
        <f>IFERROR(__xludf.DUMMYFUNCTION("""COMPUTED_VALUE"""),"Junainah Alam Sanza")</f>
        <v>Junainah Alam Sanza</v>
      </c>
      <c r="C541" s="135" t="str">
        <f>IFERROR(__xludf.DUMMYFUNCTION("""COMPUTED_VALUE"""),"General Member")</f>
        <v>General Member</v>
      </c>
      <c r="D541" s="135" t="str">
        <f>IFERROR(__xludf.DUMMYFUNCTION("""COMPUTED_VALUE"""),"junainah.alam.sanza@g.bracu.ac.bd")</f>
        <v>junainah.alam.sanza@g.bracu.ac.bd</v>
      </c>
      <c r="E541" s="105"/>
    </row>
    <row r="542">
      <c r="A542" s="105">
        <f>IFERROR(__xludf.DUMMYFUNCTION("""COMPUTED_VALUE"""),2.4201432E7)</f>
        <v>24201432</v>
      </c>
      <c r="B542" s="105" t="str">
        <f>IFERROR(__xludf.DUMMYFUNCTION("""COMPUTED_VALUE"""),"Sudipto Majumder")</f>
        <v>Sudipto Majumder</v>
      </c>
      <c r="C542" s="135" t="str">
        <f>IFERROR(__xludf.DUMMYFUNCTION("""COMPUTED_VALUE"""),"General Member")</f>
        <v>General Member</v>
      </c>
      <c r="D542" s="135" t="str">
        <f>IFERROR(__xludf.DUMMYFUNCTION("""COMPUTED_VALUE"""),"sudipto.majumder@g.bracu.ac.bd")</f>
        <v>sudipto.majumder@g.bracu.ac.bd</v>
      </c>
      <c r="E542" s="105"/>
    </row>
    <row r="543">
      <c r="A543" s="105"/>
      <c r="B543" s="105"/>
      <c r="C543" s="105"/>
      <c r="D543" s="105"/>
      <c r="E543" s="105"/>
    </row>
    <row r="544">
      <c r="A544" s="105"/>
      <c r="B544" s="105"/>
      <c r="C544" s="105"/>
      <c r="D544" s="105"/>
      <c r="E544" s="105"/>
    </row>
    <row r="545">
      <c r="A545" s="105"/>
      <c r="B545" s="105"/>
      <c r="C545" s="105"/>
      <c r="D545" s="105"/>
      <c r="E545" s="105"/>
    </row>
    <row r="546">
      <c r="A546" s="105"/>
      <c r="B546" s="105"/>
      <c r="C546" s="105"/>
      <c r="D546" s="105"/>
      <c r="E546" s="105"/>
    </row>
    <row r="547">
      <c r="A547" s="105"/>
      <c r="B547" s="105"/>
      <c r="C547" s="105"/>
      <c r="D547" s="105"/>
      <c r="E547" s="105"/>
    </row>
    <row r="548">
      <c r="A548" s="105"/>
      <c r="B548" s="105"/>
      <c r="C548" s="105"/>
      <c r="D548" s="105"/>
      <c r="E548" s="105"/>
    </row>
    <row r="549">
      <c r="A549" s="105"/>
      <c r="B549" s="105"/>
      <c r="C549" s="105"/>
      <c r="D549" s="105"/>
      <c r="E549" s="105"/>
    </row>
    <row r="550">
      <c r="A550" s="105"/>
      <c r="B550" s="105"/>
      <c r="C550" s="105"/>
      <c r="D550" s="105"/>
      <c r="E550" s="105"/>
    </row>
    <row r="551">
      <c r="A551" s="105"/>
      <c r="B551" s="105"/>
      <c r="C551" s="105"/>
      <c r="D551" s="105"/>
      <c r="E551" s="105"/>
    </row>
    <row r="552">
      <c r="A552" s="105"/>
      <c r="B552" s="105"/>
      <c r="C552" s="105"/>
      <c r="D552" s="105"/>
      <c r="E552" s="105"/>
    </row>
    <row r="553">
      <c r="A553" s="105"/>
      <c r="B553" s="105"/>
      <c r="C553" s="105"/>
      <c r="D553" s="105"/>
      <c r="E553" s="105"/>
    </row>
    <row r="554">
      <c r="A554" s="105"/>
      <c r="B554" s="105"/>
      <c r="C554" s="105"/>
      <c r="D554" s="105"/>
      <c r="E554" s="105"/>
    </row>
    <row r="555">
      <c r="A555" s="105"/>
      <c r="B555" s="105"/>
      <c r="C555" s="105"/>
      <c r="D555" s="105"/>
      <c r="E555" s="105"/>
    </row>
    <row r="556">
      <c r="A556" s="105"/>
      <c r="B556" s="105"/>
      <c r="C556" s="105"/>
      <c r="D556" s="105"/>
      <c r="E556" s="105"/>
    </row>
    <row r="557">
      <c r="A557" s="105"/>
      <c r="B557" s="105"/>
      <c r="C557" s="105"/>
      <c r="D557" s="105"/>
      <c r="E557" s="105"/>
    </row>
    <row r="558">
      <c r="A558" s="105"/>
      <c r="B558" s="105"/>
      <c r="C558" s="105"/>
      <c r="D558" s="105"/>
      <c r="E558" s="105"/>
    </row>
    <row r="559">
      <c r="A559" s="105"/>
      <c r="B559" s="105"/>
      <c r="C559" s="105"/>
      <c r="D559" s="105"/>
      <c r="E559" s="105"/>
    </row>
    <row r="560">
      <c r="A560" s="105"/>
      <c r="B560" s="105"/>
      <c r="C560" s="105"/>
      <c r="D560" s="105"/>
      <c r="E560" s="105"/>
    </row>
    <row r="561">
      <c r="A561" s="105"/>
      <c r="B561" s="105"/>
      <c r="C561" s="105"/>
      <c r="D561" s="105"/>
      <c r="E561" s="105"/>
    </row>
    <row r="562">
      <c r="A562" s="105"/>
      <c r="B562" s="105"/>
      <c r="C562" s="105"/>
      <c r="D562" s="105"/>
      <c r="E562" s="105"/>
    </row>
    <row r="563">
      <c r="A563" s="105"/>
      <c r="B563" s="105"/>
      <c r="C563" s="105"/>
      <c r="D563" s="105"/>
      <c r="E563" s="105"/>
    </row>
    <row r="564">
      <c r="A564" s="105"/>
      <c r="B564" s="105"/>
      <c r="C564" s="105"/>
      <c r="D564" s="105"/>
      <c r="E564" s="105"/>
    </row>
    <row r="565">
      <c r="A565" s="105"/>
      <c r="B565" s="105"/>
      <c r="C565" s="105"/>
      <c r="D565" s="105"/>
      <c r="E565" s="105"/>
    </row>
    <row r="566">
      <c r="A566" s="105"/>
      <c r="B566" s="105"/>
      <c r="C566" s="105"/>
      <c r="D566" s="105"/>
      <c r="E566" s="105"/>
    </row>
    <row r="567">
      <c r="A567" s="105"/>
      <c r="B567" s="105"/>
      <c r="C567" s="105"/>
      <c r="D567" s="105"/>
      <c r="E567" s="105"/>
    </row>
    <row r="568">
      <c r="A568" s="105"/>
      <c r="B568" s="105"/>
      <c r="C568" s="105"/>
      <c r="D568" s="105"/>
      <c r="E568" s="105"/>
    </row>
    <row r="569">
      <c r="A569" s="105"/>
      <c r="B569" s="105"/>
      <c r="C569" s="105"/>
      <c r="D569" s="105"/>
      <c r="E569" s="105"/>
    </row>
    <row r="570">
      <c r="A570" s="105"/>
      <c r="B570" s="105"/>
      <c r="C570" s="105"/>
      <c r="D570" s="105"/>
      <c r="E570" s="105"/>
    </row>
    <row r="571">
      <c r="A571" s="105"/>
      <c r="B571" s="105"/>
      <c r="C571" s="105"/>
      <c r="D571" s="105"/>
      <c r="E571" s="105"/>
    </row>
    <row r="572">
      <c r="A572" s="105"/>
      <c r="B572" s="105"/>
      <c r="C572" s="105"/>
      <c r="D572" s="105"/>
      <c r="E572" s="105"/>
    </row>
    <row r="573">
      <c r="A573" s="105"/>
      <c r="B573" s="105"/>
      <c r="C573" s="105"/>
      <c r="D573" s="105"/>
      <c r="E573" s="105"/>
    </row>
    <row r="574">
      <c r="A574" s="105"/>
      <c r="B574" s="105"/>
      <c r="C574" s="105"/>
      <c r="D574" s="105"/>
      <c r="E574" s="105"/>
    </row>
    <row r="575">
      <c r="A575" s="105"/>
      <c r="B575" s="105"/>
      <c r="C575" s="105"/>
      <c r="D575" s="105"/>
      <c r="E575" s="105"/>
    </row>
    <row r="576">
      <c r="A576" s="105"/>
      <c r="B576" s="105"/>
      <c r="C576" s="105"/>
      <c r="D576" s="105"/>
      <c r="E576" s="105"/>
    </row>
    <row r="577">
      <c r="A577" s="105"/>
      <c r="B577" s="105"/>
      <c r="C577" s="105"/>
      <c r="D577" s="105"/>
      <c r="E577" s="105"/>
    </row>
    <row r="578">
      <c r="A578" s="105"/>
      <c r="B578" s="105"/>
      <c r="C578" s="105"/>
      <c r="D578" s="105"/>
      <c r="E578" s="105"/>
    </row>
    <row r="579">
      <c r="A579" s="105"/>
      <c r="B579" s="105"/>
      <c r="C579" s="105"/>
      <c r="D579" s="105"/>
      <c r="E579" s="105"/>
    </row>
    <row r="580">
      <c r="A580" s="105"/>
      <c r="B580" s="105"/>
      <c r="C580" s="105"/>
      <c r="D580" s="105"/>
      <c r="E580" s="105"/>
    </row>
    <row r="581">
      <c r="A581" s="105"/>
      <c r="B581" s="105"/>
      <c r="C581" s="105"/>
      <c r="D581" s="105"/>
      <c r="E581" s="105"/>
    </row>
    <row r="582">
      <c r="A582" s="105"/>
      <c r="B582" s="105"/>
      <c r="C582" s="105"/>
      <c r="D582" s="105"/>
      <c r="E582" s="105"/>
    </row>
    <row r="583">
      <c r="A583" s="105"/>
      <c r="B583" s="105"/>
      <c r="C583" s="105"/>
      <c r="D583" s="105"/>
      <c r="E583" s="105"/>
    </row>
    <row r="584">
      <c r="A584" s="105"/>
      <c r="B584" s="105"/>
      <c r="C584" s="105"/>
      <c r="D584" s="105"/>
      <c r="E584" s="105"/>
    </row>
    <row r="585">
      <c r="A585" s="105"/>
      <c r="B585" s="105"/>
      <c r="C585" s="105"/>
      <c r="D585" s="105"/>
      <c r="E585" s="105"/>
    </row>
    <row r="586">
      <c r="A586" s="105"/>
      <c r="B586" s="105"/>
      <c r="C586" s="105"/>
      <c r="D586" s="105"/>
      <c r="E586" s="105"/>
    </row>
    <row r="587">
      <c r="A587" s="105"/>
      <c r="B587" s="105"/>
      <c r="C587" s="105"/>
      <c r="D587" s="105"/>
      <c r="E587" s="105"/>
    </row>
    <row r="588">
      <c r="A588" s="105"/>
      <c r="B588" s="105"/>
      <c r="C588" s="105"/>
      <c r="D588" s="105"/>
      <c r="E588" s="105"/>
    </row>
    <row r="589">
      <c r="A589" s="105"/>
      <c r="B589" s="105"/>
      <c r="C589" s="105"/>
      <c r="D589" s="105"/>
      <c r="E589" s="105"/>
    </row>
    <row r="590">
      <c r="A590" s="105"/>
      <c r="B590" s="105"/>
      <c r="C590" s="105"/>
      <c r="D590" s="105"/>
      <c r="E590" s="105"/>
    </row>
    <row r="591">
      <c r="A591" s="105"/>
      <c r="B591" s="105"/>
      <c r="C591" s="105"/>
      <c r="D591" s="105"/>
      <c r="E591" s="105"/>
    </row>
    <row r="592">
      <c r="A592" s="105"/>
      <c r="B592" s="105"/>
      <c r="C592" s="105"/>
      <c r="D592" s="105"/>
      <c r="E592" s="105"/>
    </row>
    <row r="593">
      <c r="A593" s="105"/>
      <c r="B593" s="105"/>
      <c r="C593" s="105"/>
      <c r="D593" s="105"/>
      <c r="E593" s="105"/>
    </row>
    <row r="594">
      <c r="A594" s="105"/>
      <c r="B594" s="105"/>
      <c r="C594" s="105"/>
      <c r="D594" s="105"/>
      <c r="E594" s="105"/>
    </row>
    <row r="595">
      <c r="A595" s="105"/>
      <c r="B595" s="105"/>
      <c r="C595" s="105"/>
      <c r="D595" s="105"/>
      <c r="E595" s="105"/>
    </row>
    <row r="596">
      <c r="A596" s="105"/>
      <c r="B596" s="105"/>
      <c r="C596" s="105"/>
      <c r="D596" s="105"/>
      <c r="E596" s="105"/>
    </row>
    <row r="597">
      <c r="A597" s="105"/>
      <c r="B597" s="105"/>
      <c r="C597" s="105"/>
      <c r="D597" s="105"/>
      <c r="E597" s="105"/>
    </row>
    <row r="598">
      <c r="A598" s="105"/>
      <c r="B598" s="105"/>
      <c r="C598" s="105"/>
      <c r="D598" s="105"/>
      <c r="E598" s="105"/>
    </row>
    <row r="599">
      <c r="A599" s="105"/>
      <c r="B599" s="105"/>
      <c r="C599" s="105"/>
      <c r="D599" s="105"/>
      <c r="E599" s="105"/>
    </row>
    <row r="600">
      <c r="A600" s="105"/>
      <c r="B600" s="105"/>
      <c r="C600" s="105"/>
      <c r="D600" s="105"/>
      <c r="E600" s="105"/>
    </row>
    <row r="601">
      <c r="A601" s="105"/>
      <c r="B601" s="105"/>
      <c r="C601" s="105"/>
      <c r="D601" s="105"/>
      <c r="E601" s="105"/>
    </row>
    <row r="602">
      <c r="A602" s="105"/>
      <c r="B602" s="105"/>
      <c r="C602" s="105"/>
      <c r="D602" s="105"/>
      <c r="E602" s="105"/>
    </row>
    <row r="603">
      <c r="A603" s="105"/>
      <c r="B603" s="105"/>
      <c r="C603" s="105"/>
      <c r="D603" s="105"/>
      <c r="E603" s="105"/>
    </row>
    <row r="604">
      <c r="A604" s="105"/>
      <c r="B604" s="105"/>
      <c r="C604" s="105"/>
      <c r="D604" s="105"/>
      <c r="E604" s="105"/>
    </row>
    <row r="605">
      <c r="A605" s="105"/>
      <c r="B605" s="105"/>
      <c r="C605" s="105"/>
      <c r="D605" s="105"/>
      <c r="E605" s="105"/>
    </row>
    <row r="606">
      <c r="A606" s="105"/>
      <c r="B606" s="105"/>
      <c r="C606" s="105"/>
      <c r="D606" s="105"/>
      <c r="E606" s="105"/>
    </row>
    <row r="607">
      <c r="A607" s="105"/>
      <c r="B607" s="105"/>
      <c r="C607" s="105"/>
      <c r="D607" s="105"/>
      <c r="E607" s="105"/>
    </row>
    <row r="608">
      <c r="A608" s="105"/>
      <c r="B608" s="105"/>
      <c r="C608" s="105"/>
      <c r="D608" s="105"/>
      <c r="E608" s="105"/>
    </row>
    <row r="609">
      <c r="A609" s="105"/>
      <c r="B609" s="105"/>
      <c r="C609" s="105"/>
      <c r="D609" s="105"/>
      <c r="E609" s="105"/>
    </row>
    <row r="610">
      <c r="A610" s="105"/>
      <c r="B610" s="105"/>
      <c r="C610" s="105"/>
      <c r="D610" s="105"/>
      <c r="E610" s="105"/>
    </row>
    <row r="611">
      <c r="A611" s="105"/>
      <c r="B611" s="105"/>
      <c r="C611" s="105"/>
      <c r="D611" s="105"/>
      <c r="E611" s="105"/>
    </row>
    <row r="612">
      <c r="A612" s="105"/>
      <c r="B612" s="105"/>
      <c r="C612" s="105"/>
      <c r="D612" s="105"/>
      <c r="E612" s="105"/>
    </row>
    <row r="613">
      <c r="A613" s="105"/>
      <c r="B613" s="105"/>
      <c r="C613" s="105"/>
      <c r="D613" s="105"/>
      <c r="E613" s="105"/>
    </row>
    <row r="614">
      <c r="A614" s="105"/>
      <c r="B614" s="105"/>
      <c r="C614" s="105"/>
      <c r="D614" s="105"/>
      <c r="E614" s="105"/>
    </row>
    <row r="615">
      <c r="A615" s="105"/>
      <c r="B615" s="105"/>
      <c r="C615" s="105"/>
      <c r="D615" s="105"/>
      <c r="E615" s="105"/>
    </row>
    <row r="616">
      <c r="A616" s="105"/>
      <c r="B616" s="105"/>
      <c r="C616" s="105"/>
      <c r="D616" s="105"/>
      <c r="E616" s="105"/>
    </row>
    <row r="617">
      <c r="A617" s="105"/>
      <c r="B617" s="105"/>
      <c r="C617" s="105"/>
      <c r="D617" s="105"/>
      <c r="E617" s="105"/>
    </row>
    <row r="618">
      <c r="A618" s="105"/>
      <c r="B618" s="105"/>
      <c r="C618" s="105"/>
      <c r="D618" s="105"/>
      <c r="E618" s="105"/>
    </row>
    <row r="619">
      <c r="A619" s="105"/>
      <c r="B619" s="105"/>
      <c r="C619" s="105"/>
      <c r="D619" s="105"/>
      <c r="E619" s="105"/>
    </row>
    <row r="620">
      <c r="A620" s="105"/>
      <c r="B620" s="105"/>
      <c r="C620" s="105"/>
      <c r="D620" s="105"/>
      <c r="E620" s="105"/>
    </row>
    <row r="621">
      <c r="A621" s="105"/>
      <c r="B621" s="105"/>
      <c r="C621" s="105"/>
      <c r="D621" s="105"/>
      <c r="E621" s="105"/>
    </row>
    <row r="622">
      <c r="A622" s="105"/>
      <c r="B622" s="105"/>
      <c r="C622" s="105"/>
      <c r="D622" s="105"/>
      <c r="E622" s="105"/>
    </row>
    <row r="623">
      <c r="A623" s="105"/>
      <c r="B623" s="105"/>
      <c r="C623" s="105"/>
      <c r="D623" s="105"/>
      <c r="E623" s="105"/>
    </row>
    <row r="624">
      <c r="A624" s="105"/>
      <c r="B624" s="105"/>
      <c r="C624" s="105"/>
      <c r="D624" s="105"/>
      <c r="E624" s="105"/>
    </row>
    <row r="625">
      <c r="A625" s="105"/>
      <c r="B625" s="105"/>
      <c r="C625" s="105"/>
      <c r="D625" s="105"/>
      <c r="E625" s="105"/>
    </row>
    <row r="626">
      <c r="A626" s="105"/>
      <c r="B626" s="105"/>
      <c r="C626" s="105"/>
      <c r="D626" s="105"/>
      <c r="E626" s="105"/>
    </row>
    <row r="627">
      <c r="A627" s="105"/>
      <c r="B627" s="105"/>
      <c r="C627" s="105"/>
      <c r="D627" s="105"/>
      <c r="E627" s="105"/>
    </row>
    <row r="628">
      <c r="A628" s="105"/>
      <c r="B628" s="105"/>
      <c r="C628" s="105"/>
      <c r="D628" s="105"/>
      <c r="E628" s="105"/>
    </row>
    <row r="629">
      <c r="A629" s="105"/>
      <c r="B629" s="105"/>
      <c r="C629" s="105"/>
      <c r="D629" s="105"/>
      <c r="E629" s="105"/>
    </row>
    <row r="630">
      <c r="A630" s="105"/>
      <c r="B630" s="105"/>
      <c r="C630" s="105"/>
      <c r="D630" s="105"/>
      <c r="E630" s="105"/>
    </row>
    <row r="631">
      <c r="A631" s="105"/>
      <c r="B631" s="105"/>
      <c r="C631" s="105"/>
      <c r="D631" s="105"/>
      <c r="E631" s="105"/>
    </row>
    <row r="632">
      <c r="A632" s="105"/>
      <c r="B632" s="105"/>
      <c r="C632" s="105"/>
      <c r="D632" s="105"/>
      <c r="E632" s="105"/>
    </row>
    <row r="633">
      <c r="A633" s="105"/>
      <c r="B633" s="105"/>
      <c r="C633" s="105"/>
      <c r="D633" s="105"/>
      <c r="E633" s="105"/>
    </row>
    <row r="634">
      <c r="A634" s="105"/>
      <c r="B634" s="105"/>
      <c r="C634" s="105"/>
      <c r="D634" s="105"/>
      <c r="E634" s="105"/>
    </row>
    <row r="635">
      <c r="A635" s="105"/>
      <c r="B635" s="105"/>
      <c r="C635" s="105"/>
      <c r="D635" s="105"/>
      <c r="E635" s="105"/>
    </row>
    <row r="636">
      <c r="A636" s="105"/>
      <c r="B636" s="105"/>
      <c r="C636" s="105"/>
      <c r="D636" s="105"/>
      <c r="E636" s="105"/>
    </row>
    <row r="637">
      <c r="A637" s="105"/>
      <c r="B637" s="105"/>
      <c r="C637" s="105"/>
      <c r="D637" s="105"/>
      <c r="E637" s="105"/>
    </row>
    <row r="638">
      <c r="A638" s="105"/>
      <c r="B638" s="105"/>
      <c r="C638" s="105"/>
      <c r="D638" s="105"/>
      <c r="E638" s="105"/>
    </row>
    <row r="639">
      <c r="A639" s="105"/>
      <c r="B639" s="105"/>
      <c r="C639" s="105"/>
      <c r="D639" s="105"/>
      <c r="E639" s="105"/>
    </row>
    <row r="640">
      <c r="A640" s="105"/>
      <c r="B640" s="105"/>
      <c r="C640" s="105"/>
      <c r="D640" s="105"/>
      <c r="E640" s="105"/>
    </row>
    <row r="641">
      <c r="A641" s="105"/>
      <c r="B641" s="105"/>
      <c r="C641" s="105"/>
      <c r="D641" s="105"/>
      <c r="E641" s="105"/>
    </row>
    <row r="642">
      <c r="A642" s="105"/>
      <c r="B642" s="105"/>
      <c r="C642" s="105"/>
      <c r="D642" s="105"/>
      <c r="E642" s="105"/>
    </row>
    <row r="643">
      <c r="A643" s="105"/>
      <c r="B643" s="105"/>
      <c r="C643" s="105"/>
      <c r="D643" s="105"/>
      <c r="E643" s="105"/>
    </row>
    <row r="644">
      <c r="A644" s="105"/>
      <c r="B644" s="105"/>
      <c r="C644" s="105"/>
      <c r="D644" s="105"/>
      <c r="E644" s="105"/>
    </row>
    <row r="645">
      <c r="A645" s="105"/>
      <c r="B645" s="105"/>
      <c r="C645" s="105"/>
      <c r="D645" s="105"/>
      <c r="E645" s="105"/>
    </row>
    <row r="646">
      <c r="A646" s="105"/>
      <c r="B646" s="105"/>
      <c r="C646" s="105"/>
      <c r="D646" s="105"/>
      <c r="E646" s="105"/>
    </row>
    <row r="647">
      <c r="A647" s="105"/>
      <c r="B647" s="105"/>
      <c r="C647" s="105"/>
      <c r="D647" s="105"/>
      <c r="E647" s="105"/>
    </row>
    <row r="648">
      <c r="A648" s="105"/>
      <c r="B648" s="105"/>
      <c r="C648" s="105"/>
      <c r="D648" s="105"/>
      <c r="E648" s="105"/>
    </row>
    <row r="649">
      <c r="A649" s="105"/>
      <c r="B649" s="105"/>
      <c r="C649" s="105"/>
      <c r="D649" s="105"/>
      <c r="E649" s="105"/>
    </row>
    <row r="650">
      <c r="A650" s="105"/>
      <c r="B650" s="105"/>
      <c r="C650" s="105"/>
      <c r="D650" s="105"/>
      <c r="E650" s="105"/>
    </row>
    <row r="651">
      <c r="A651" s="105"/>
      <c r="B651" s="105"/>
      <c r="C651" s="105"/>
      <c r="D651" s="105"/>
      <c r="E651" s="105"/>
    </row>
    <row r="652">
      <c r="A652" s="105"/>
      <c r="B652" s="105"/>
      <c r="C652" s="105"/>
      <c r="D652" s="105"/>
      <c r="E652" s="105"/>
    </row>
    <row r="653">
      <c r="A653" s="105"/>
      <c r="B653" s="105"/>
      <c r="C653" s="105"/>
      <c r="D653" s="105"/>
      <c r="E653" s="105"/>
    </row>
    <row r="654">
      <c r="A654" s="105"/>
      <c r="B654" s="105"/>
      <c r="C654" s="105"/>
      <c r="D654" s="105"/>
      <c r="E654" s="105"/>
    </row>
    <row r="655">
      <c r="A655" s="105"/>
      <c r="B655" s="105"/>
      <c r="C655" s="105"/>
      <c r="D655" s="105"/>
      <c r="E655" s="105"/>
    </row>
    <row r="656">
      <c r="A656" s="105"/>
      <c r="B656" s="105"/>
      <c r="C656" s="105"/>
      <c r="D656" s="105"/>
      <c r="E656" s="105"/>
    </row>
    <row r="657">
      <c r="A657" s="105"/>
      <c r="B657" s="105"/>
      <c r="C657" s="105"/>
      <c r="D657" s="105"/>
      <c r="E657" s="105"/>
    </row>
    <row r="658">
      <c r="A658" s="105"/>
      <c r="B658" s="105"/>
      <c r="C658" s="105"/>
      <c r="D658" s="105"/>
      <c r="E658" s="105"/>
    </row>
    <row r="659">
      <c r="A659" s="105"/>
      <c r="B659" s="105"/>
      <c r="C659" s="105"/>
      <c r="D659" s="105"/>
      <c r="E659" s="105"/>
    </row>
    <row r="660">
      <c r="A660" s="105"/>
      <c r="B660" s="105"/>
      <c r="C660" s="105"/>
      <c r="D660" s="105"/>
      <c r="E660" s="105"/>
    </row>
    <row r="661">
      <c r="A661" s="105"/>
      <c r="B661" s="105"/>
      <c r="C661" s="105"/>
      <c r="D661" s="105"/>
      <c r="E661" s="105"/>
    </row>
    <row r="662">
      <c r="A662" s="105"/>
      <c r="B662" s="105"/>
      <c r="C662" s="105"/>
      <c r="D662" s="105"/>
      <c r="E662" s="105"/>
    </row>
    <row r="663">
      <c r="A663" s="105"/>
      <c r="B663" s="105"/>
      <c r="C663" s="105"/>
      <c r="D663" s="105"/>
      <c r="E663" s="105"/>
    </row>
    <row r="664">
      <c r="A664" s="105"/>
      <c r="B664" s="105"/>
      <c r="C664" s="105"/>
      <c r="D664" s="105"/>
      <c r="E664" s="105"/>
    </row>
    <row r="665">
      <c r="A665" s="105"/>
      <c r="B665" s="105"/>
      <c r="C665" s="105"/>
      <c r="D665" s="105"/>
      <c r="E665" s="105"/>
    </row>
    <row r="666">
      <c r="A666" s="105"/>
      <c r="B666" s="105"/>
      <c r="C666" s="105"/>
      <c r="D666" s="105"/>
      <c r="E666" s="105"/>
    </row>
    <row r="667">
      <c r="A667" s="105"/>
      <c r="B667" s="105"/>
      <c r="C667" s="105"/>
      <c r="D667" s="105"/>
      <c r="E667" s="105"/>
    </row>
    <row r="668">
      <c r="A668" s="105"/>
      <c r="B668" s="105"/>
      <c r="C668" s="105"/>
      <c r="D668" s="105"/>
      <c r="E668" s="105"/>
    </row>
    <row r="669">
      <c r="A669" s="105"/>
      <c r="B669" s="105"/>
      <c r="C669" s="105"/>
      <c r="D669" s="105"/>
      <c r="E669" s="105"/>
    </row>
    <row r="670">
      <c r="A670" s="105"/>
      <c r="B670" s="105"/>
      <c r="C670" s="105"/>
      <c r="D670" s="105"/>
      <c r="E670" s="105"/>
    </row>
    <row r="671">
      <c r="A671" s="105"/>
      <c r="B671" s="105"/>
      <c r="C671" s="105"/>
      <c r="D671" s="105"/>
      <c r="E671" s="105"/>
    </row>
    <row r="672">
      <c r="A672" s="105"/>
      <c r="B672" s="105"/>
      <c r="C672" s="105"/>
      <c r="D672" s="105"/>
      <c r="E672" s="105"/>
    </row>
    <row r="673">
      <c r="A673" s="105"/>
      <c r="B673" s="105"/>
      <c r="C673" s="105"/>
      <c r="D673" s="105"/>
      <c r="E673" s="105"/>
    </row>
    <row r="674">
      <c r="A674" s="105"/>
      <c r="B674" s="105"/>
      <c r="C674" s="105"/>
      <c r="D674" s="105"/>
      <c r="E674" s="105"/>
    </row>
    <row r="675">
      <c r="A675" s="105"/>
      <c r="B675" s="105"/>
      <c r="C675" s="105"/>
      <c r="D675" s="105"/>
      <c r="E675" s="105"/>
    </row>
    <row r="676">
      <c r="A676" s="105"/>
      <c r="B676" s="105"/>
      <c r="C676" s="105"/>
      <c r="D676" s="105"/>
      <c r="E676" s="105"/>
    </row>
    <row r="677">
      <c r="A677" s="105"/>
      <c r="B677" s="105"/>
      <c r="C677" s="105"/>
      <c r="D677" s="105"/>
      <c r="E677" s="105"/>
    </row>
    <row r="678">
      <c r="A678" s="105"/>
      <c r="B678" s="105"/>
      <c r="C678" s="105"/>
      <c r="D678" s="105"/>
      <c r="E678" s="105"/>
    </row>
    <row r="679">
      <c r="A679" s="105"/>
      <c r="B679" s="105"/>
      <c r="C679" s="105"/>
      <c r="D679" s="105"/>
      <c r="E679" s="105"/>
    </row>
    <row r="680">
      <c r="A680" s="105"/>
      <c r="B680" s="105"/>
      <c r="C680" s="105"/>
      <c r="D680" s="105"/>
      <c r="E680" s="105"/>
    </row>
    <row r="681">
      <c r="A681" s="105"/>
      <c r="B681" s="105"/>
      <c r="C681" s="105"/>
      <c r="D681" s="105"/>
      <c r="E681" s="105"/>
    </row>
    <row r="682">
      <c r="A682" s="105"/>
      <c r="B682" s="105"/>
      <c r="C682" s="105"/>
      <c r="D682" s="105"/>
      <c r="E682" s="105"/>
    </row>
    <row r="683">
      <c r="A683" s="105"/>
      <c r="B683" s="105"/>
      <c r="C683" s="105"/>
      <c r="D683" s="105"/>
      <c r="E683" s="105"/>
    </row>
    <row r="684">
      <c r="A684" s="105"/>
      <c r="B684" s="105"/>
      <c r="C684" s="105"/>
      <c r="D684" s="105"/>
      <c r="E684" s="105"/>
    </row>
    <row r="685">
      <c r="A685" s="105"/>
      <c r="B685" s="105"/>
      <c r="C685" s="105"/>
      <c r="D685" s="105"/>
      <c r="E685" s="105"/>
    </row>
    <row r="686">
      <c r="A686" s="105"/>
      <c r="B686" s="105"/>
      <c r="C686" s="105"/>
      <c r="D686" s="105"/>
      <c r="E686" s="105"/>
    </row>
    <row r="687">
      <c r="A687" s="105"/>
      <c r="B687" s="105"/>
      <c r="C687" s="105"/>
      <c r="D687" s="105"/>
      <c r="E687" s="105"/>
    </row>
    <row r="688">
      <c r="A688" s="105"/>
      <c r="B688" s="105"/>
      <c r="C688" s="105"/>
      <c r="D688" s="105"/>
      <c r="E688" s="105"/>
    </row>
    <row r="689">
      <c r="A689" s="105"/>
      <c r="B689" s="105"/>
      <c r="C689" s="105"/>
      <c r="D689" s="105"/>
      <c r="E689" s="105"/>
    </row>
    <row r="690">
      <c r="A690" s="105"/>
      <c r="B690" s="105"/>
      <c r="C690" s="105"/>
      <c r="D690" s="105"/>
      <c r="E690" s="105"/>
    </row>
    <row r="691">
      <c r="A691" s="105"/>
      <c r="B691" s="105"/>
      <c r="C691" s="105"/>
      <c r="D691" s="105"/>
      <c r="E691" s="105"/>
    </row>
    <row r="692">
      <c r="A692" s="105"/>
      <c r="B692" s="105"/>
      <c r="C692" s="105"/>
      <c r="D692" s="105"/>
      <c r="E692" s="105"/>
    </row>
    <row r="693">
      <c r="A693" s="105"/>
      <c r="B693" s="105"/>
      <c r="C693" s="105"/>
      <c r="D693" s="105"/>
      <c r="E693" s="105"/>
    </row>
    <row r="694">
      <c r="A694" s="105"/>
      <c r="B694" s="105"/>
      <c r="C694" s="105"/>
      <c r="D694" s="105"/>
      <c r="E694" s="105"/>
    </row>
    <row r="695">
      <c r="A695" s="105"/>
      <c r="B695" s="105"/>
      <c r="C695" s="105"/>
      <c r="D695" s="105"/>
      <c r="E695" s="105"/>
    </row>
    <row r="696">
      <c r="A696" s="105"/>
      <c r="B696" s="105"/>
      <c r="C696" s="105"/>
      <c r="D696" s="105"/>
      <c r="E696" s="105"/>
    </row>
    <row r="697">
      <c r="A697" s="105"/>
      <c r="B697" s="105"/>
      <c r="C697" s="105"/>
      <c r="D697" s="105"/>
      <c r="E697" s="105"/>
    </row>
    <row r="698">
      <c r="A698" s="105"/>
      <c r="B698" s="105"/>
      <c r="C698" s="105"/>
      <c r="D698" s="105"/>
      <c r="E698" s="105"/>
    </row>
    <row r="699">
      <c r="A699" s="105"/>
      <c r="B699" s="105"/>
      <c r="C699" s="105"/>
      <c r="D699" s="105"/>
      <c r="E699" s="105"/>
    </row>
    <row r="700">
      <c r="A700" s="105"/>
      <c r="B700" s="105"/>
      <c r="C700" s="105"/>
      <c r="D700" s="105"/>
      <c r="E700" s="105"/>
    </row>
    <row r="701">
      <c r="A701" s="105"/>
      <c r="B701" s="105"/>
      <c r="C701" s="105"/>
      <c r="D701" s="105"/>
      <c r="E701" s="105"/>
    </row>
    <row r="702">
      <c r="A702" s="105"/>
      <c r="B702" s="105"/>
      <c r="C702" s="105"/>
      <c r="D702" s="105"/>
      <c r="E702" s="105"/>
    </row>
    <row r="703">
      <c r="A703" s="105"/>
      <c r="B703" s="105"/>
      <c r="C703" s="105"/>
      <c r="D703" s="105"/>
      <c r="E703" s="105"/>
    </row>
    <row r="704">
      <c r="A704" s="105"/>
      <c r="B704" s="105"/>
      <c r="C704" s="105"/>
      <c r="D704" s="105"/>
      <c r="E704" s="105"/>
    </row>
    <row r="705">
      <c r="A705" s="105"/>
      <c r="B705" s="105"/>
      <c r="C705" s="105"/>
      <c r="D705" s="105"/>
      <c r="E705" s="105"/>
    </row>
    <row r="706">
      <c r="A706" s="105"/>
      <c r="B706" s="105"/>
      <c r="C706" s="105"/>
      <c r="D706" s="105"/>
      <c r="E706" s="105"/>
    </row>
    <row r="707">
      <c r="A707" s="105"/>
      <c r="B707" s="105"/>
      <c r="C707" s="105"/>
      <c r="D707" s="105"/>
      <c r="E707" s="105"/>
    </row>
    <row r="708">
      <c r="A708" s="105"/>
      <c r="B708" s="105"/>
      <c r="C708" s="105"/>
      <c r="D708" s="105"/>
      <c r="E708" s="105"/>
    </row>
    <row r="709">
      <c r="A709" s="105"/>
      <c r="B709" s="105"/>
      <c r="C709" s="105"/>
      <c r="D709" s="105"/>
      <c r="E709" s="105"/>
    </row>
    <row r="710">
      <c r="A710" s="105"/>
      <c r="B710" s="105"/>
      <c r="C710" s="105"/>
      <c r="D710" s="105"/>
      <c r="E710" s="105"/>
    </row>
    <row r="711">
      <c r="A711" s="105"/>
      <c r="B711" s="105"/>
      <c r="C711" s="105"/>
      <c r="D711" s="105"/>
      <c r="E711" s="105"/>
    </row>
    <row r="712">
      <c r="A712" s="105"/>
      <c r="B712" s="105"/>
      <c r="C712" s="105"/>
      <c r="D712" s="105"/>
      <c r="E712" s="105"/>
    </row>
    <row r="713">
      <c r="A713" s="105"/>
      <c r="B713" s="105"/>
      <c r="C713" s="105"/>
      <c r="D713" s="105"/>
      <c r="E713" s="105"/>
    </row>
    <row r="714">
      <c r="A714" s="105"/>
      <c r="B714" s="105"/>
      <c r="C714" s="105"/>
      <c r="D714" s="105"/>
      <c r="E714" s="105"/>
    </row>
    <row r="715">
      <c r="A715" s="105"/>
      <c r="B715" s="105"/>
      <c r="C715" s="105"/>
      <c r="D715" s="105"/>
      <c r="E715" s="105"/>
    </row>
    <row r="716">
      <c r="A716" s="105"/>
      <c r="B716" s="105"/>
      <c r="C716" s="105"/>
      <c r="D716" s="105"/>
      <c r="E716" s="105"/>
    </row>
    <row r="717">
      <c r="A717" s="105"/>
      <c r="B717" s="105"/>
      <c r="C717" s="105"/>
      <c r="D717" s="105"/>
      <c r="E717" s="105"/>
    </row>
    <row r="718">
      <c r="A718" s="105"/>
      <c r="B718" s="105"/>
      <c r="C718" s="105"/>
      <c r="D718" s="105"/>
      <c r="E718" s="105"/>
    </row>
    <row r="719">
      <c r="A719" s="105"/>
      <c r="B719" s="105"/>
      <c r="C719" s="105"/>
      <c r="D719" s="105"/>
      <c r="E719" s="105"/>
    </row>
    <row r="720">
      <c r="A720" s="105"/>
      <c r="B720" s="105"/>
      <c r="C720" s="105"/>
      <c r="D720" s="105"/>
      <c r="E720" s="105"/>
    </row>
    <row r="721">
      <c r="A721" s="105"/>
      <c r="B721" s="105"/>
      <c r="C721" s="105"/>
      <c r="D721" s="105"/>
      <c r="E721" s="105"/>
    </row>
    <row r="722">
      <c r="A722" s="105"/>
      <c r="B722" s="105"/>
      <c r="C722" s="105"/>
      <c r="D722" s="105"/>
      <c r="E722" s="105"/>
    </row>
    <row r="723">
      <c r="A723" s="105"/>
      <c r="B723" s="105"/>
      <c r="C723" s="105"/>
      <c r="D723" s="105"/>
      <c r="E723" s="105"/>
    </row>
    <row r="724">
      <c r="A724" s="105"/>
      <c r="B724" s="105"/>
      <c r="C724" s="105"/>
      <c r="D724" s="105"/>
      <c r="E724" s="105"/>
    </row>
    <row r="725">
      <c r="A725" s="105"/>
      <c r="B725" s="105"/>
      <c r="C725" s="105"/>
      <c r="D725" s="105"/>
      <c r="E725" s="105"/>
    </row>
    <row r="726">
      <c r="A726" s="105"/>
      <c r="B726" s="105"/>
      <c r="C726" s="105"/>
      <c r="D726" s="105"/>
      <c r="E726" s="105"/>
    </row>
    <row r="727">
      <c r="A727" s="105"/>
      <c r="B727" s="105"/>
      <c r="C727" s="105"/>
      <c r="D727" s="105"/>
      <c r="E727" s="105"/>
    </row>
    <row r="728">
      <c r="A728" s="105"/>
      <c r="B728" s="105"/>
      <c r="C728" s="105"/>
      <c r="D728" s="105"/>
      <c r="E728" s="105"/>
    </row>
    <row r="729">
      <c r="A729" s="105"/>
      <c r="B729" s="105"/>
      <c r="C729" s="105"/>
      <c r="D729" s="105"/>
      <c r="E729" s="105"/>
    </row>
    <row r="730">
      <c r="A730" s="105"/>
      <c r="B730" s="105"/>
      <c r="C730" s="105"/>
      <c r="D730" s="105"/>
      <c r="E730" s="105"/>
    </row>
    <row r="731">
      <c r="A731" s="105"/>
      <c r="B731" s="105"/>
      <c r="C731" s="105"/>
      <c r="D731" s="105"/>
      <c r="E731" s="105"/>
    </row>
    <row r="732">
      <c r="A732" s="105"/>
      <c r="B732" s="105"/>
      <c r="C732" s="105"/>
      <c r="D732" s="105"/>
      <c r="E732" s="105"/>
    </row>
    <row r="733">
      <c r="A733" s="105"/>
      <c r="B733" s="105"/>
      <c r="C733" s="105"/>
      <c r="D733" s="105"/>
      <c r="E733" s="105"/>
    </row>
    <row r="734">
      <c r="A734" s="105"/>
      <c r="B734" s="105"/>
      <c r="C734" s="105"/>
      <c r="D734" s="105"/>
      <c r="E734" s="105"/>
    </row>
    <row r="735">
      <c r="A735" s="105"/>
      <c r="B735" s="105"/>
      <c r="C735" s="105"/>
      <c r="D735" s="105"/>
      <c r="E735" s="105"/>
    </row>
    <row r="736">
      <c r="A736" s="105"/>
      <c r="B736" s="105"/>
      <c r="C736" s="105"/>
      <c r="D736" s="105"/>
      <c r="E736" s="105"/>
    </row>
    <row r="737">
      <c r="A737" s="105"/>
      <c r="B737" s="105"/>
      <c r="C737" s="105"/>
      <c r="D737" s="105"/>
      <c r="E737" s="105"/>
    </row>
    <row r="738">
      <c r="A738" s="105"/>
      <c r="B738" s="105"/>
      <c r="C738" s="105"/>
      <c r="D738" s="105"/>
      <c r="E738" s="105"/>
    </row>
    <row r="739">
      <c r="A739" s="105"/>
      <c r="B739" s="105"/>
      <c r="C739" s="105"/>
      <c r="D739" s="105"/>
      <c r="E739" s="105"/>
    </row>
    <row r="740">
      <c r="A740" s="105"/>
      <c r="B740" s="105"/>
      <c r="C740" s="105"/>
      <c r="D740" s="105"/>
      <c r="E740" s="105"/>
    </row>
    <row r="741">
      <c r="A741" s="105"/>
      <c r="B741" s="105"/>
      <c r="C741" s="105"/>
      <c r="D741" s="105"/>
      <c r="E741" s="105"/>
    </row>
    <row r="742">
      <c r="A742" s="105"/>
      <c r="B742" s="105"/>
      <c r="C742" s="105"/>
      <c r="D742" s="105"/>
      <c r="E742" s="105"/>
    </row>
    <row r="743">
      <c r="A743" s="105"/>
      <c r="B743" s="105"/>
      <c r="C743" s="105"/>
      <c r="D743" s="105"/>
      <c r="E743" s="105"/>
    </row>
    <row r="744">
      <c r="A744" s="105"/>
      <c r="B744" s="105"/>
      <c r="C744" s="105"/>
      <c r="D744" s="105"/>
      <c r="E744" s="105"/>
    </row>
    <row r="745">
      <c r="A745" s="105"/>
      <c r="B745" s="105"/>
      <c r="C745" s="105"/>
      <c r="D745" s="105"/>
      <c r="E745" s="105"/>
    </row>
    <row r="746">
      <c r="A746" s="105"/>
      <c r="B746" s="105"/>
      <c r="C746" s="105"/>
      <c r="D746" s="105"/>
      <c r="E746" s="105"/>
    </row>
    <row r="747">
      <c r="A747" s="105"/>
      <c r="B747" s="105"/>
      <c r="C747" s="105"/>
      <c r="D747" s="105"/>
      <c r="E747" s="105"/>
    </row>
    <row r="748">
      <c r="A748" s="105"/>
      <c r="B748" s="105"/>
      <c r="C748" s="105"/>
      <c r="D748" s="105"/>
      <c r="E748" s="105"/>
    </row>
    <row r="749">
      <c r="A749" s="105"/>
      <c r="B749" s="105"/>
      <c r="C749" s="105"/>
      <c r="D749" s="105"/>
      <c r="E749" s="105"/>
    </row>
    <row r="750">
      <c r="A750" s="105"/>
      <c r="B750" s="105"/>
      <c r="C750" s="105"/>
      <c r="D750" s="105"/>
      <c r="E750" s="105"/>
    </row>
    <row r="751">
      <c r="A751" s="105"/>
      <c r="B751" s="105"/>
      <c r="C751" s="105"/>
      <c r="D751" s="105"/>
      <c r="E751" s="105"/>
    </row>
    <row r="752">
      <c r="A752" s="105"/>
      <c r="B752" s="105"/>
      <c r="C752" s="105"/>
      <c r="D752" s="105"/>
      <c r="E752" s="105"/>
    </row>
    <row r="753">
      <c r="A753" s="105"/>
      <c r="B753" s="105"/>
      <c r="C753" s="105"/>
      <c r="D753" s="105"/>
      <c r="E753" s="105"/>
    </row>
    <row r="754">
      <c r="A754" s="105"/>
      <c r="B754" s="105"/>
      <c r="C754" s="105"/>
      <c r="D754" s="105"/>
      <c r="E754" s="105"/>
    </row>
    <row r="755">
      <c r="A755" s="105"/>
      <c r="B755" s="105"/>
      <c r="C755" s="105"/>
      <c r="D755" s="105"/>
      <c r="E755" s="105"/>
    </row>
    <row r="756">
      <c r="A756" s="105"/>
      <c r="B756" s="105"/>
      <c r="C756" s="105"/>
      <c r="D756" s="105"/>
      <c r="E756" s="105"/>
    </row>
    <row r="757">
      <c r="A757" s="105"/>
      <c r="B757" s="105"/>
      <c r="C757" s="105"/>
      <c r="D757" s="105"/>
      <c r="E757" s="105"/>
    </row>
    <row r="758">
      <c r="A758" s="105"/>
      <c r="B758" s="105"/>
      <c r="C758" s="105"/>
      <c r="D758" s="105"/>
      <c r="E758" s="105"/>
    </row>
    <row r="759">
      <c r="A759" s="105"/>
      <c r="B759" s="105"/>
      <c r="C759" s="105"/>
      <c r="D759" s="105"/>
      <c r="E759" s="105"/>
    </row>
    <row r="760">
      <c r="A760" s="105"/>
      <c r="B760" s="105"/>
      <c r="C760" s="105"/>
      <c r="D760" s="105"/>
      <c r="E760" s="105"/>
    </row>
    <row r="761">
      <c r="A761" s="105"/>
      <c r="B761" s="105"/>
      <c r="C761" s="105"/>
      <c r="D761" s="105"/>
      <c r="E761" s="105"/>
    </row>
    <row r="762">
      <c r="A762" s="105"/>
      <c r="B762" s="105"/>
      <c r="C762" s="105"/>
      <c r="D762" s="105"/>
      <c r="E762" s="105"/>
    </row>
    <row r="763">
      <c r="A763" s="105"/>
      <c r="B763" s="105"/>
      <c r="C763" s="105"/>
      <c r="D763" s="105"/>
      <c r="E763" s="105"/>
    </row>
    <row r="764">
      <c r="A764" s="105"/>
      <c r="B764" s="105"/>
      <c r="C764" s="105"/>
      <c r="D764" s="105"/>
      <c r="E764" s="105"/>
    </row>
    <row r="765">
      <c r="A765" s="105"/>
      <c r="B765" s="105"/>
      <c r="C765" s="105"/>
      <c r="D765" s="105"/>
      <c r="E765" s="105"/>
    </row>
    <row r="766">
      <c r="A766" s="105"/>
      <c r="B766" s="105"/>
      <c r="C766" s="105"/>
      <c r="D766" s="105"/>
      <c r="E766" s="105"/>
    </row>
    <row r="767">
      <c r="A767" s="105"/>
      <c r="B767" s="105"/>
      <c r="C767" s="105"/>
      <c r="D767" s="105"/>
      <c r="E767" s="105"/>
    </row>
    <row r="768">
      <c r="A768" s="105"/>
      <c r="B768" s="105"/>
      <c r="C768" s="105"/>
      <c r="D768" s="105"/>
      <c r="E768" s="105"/>
    </row>
    <row r="769">
      <c r="A769" s="105"/>
      <c r="B769" s="105"/>
      <c r="C769" s="105"/>
      <c r="D769" s="105"/>
      <c r="E769" s="105"/>
    </row>
    <row r="770">
      <c r="A770" s="105"/>
      <c r="B770" s="105"/>
      <c r="C770" s="105"/>
      <c r="D770" s="105"/>
      <c r="E770" s="105"/>
    </row>
    <row r="771">
      <c r="A771" s="105"/>
      <c r="B771" s="105"/>
      <c r="C771" s="105"/>
      <c r="D771" s="105"/>
      <c r="E771" s="105"/>
    </row>
    <row r="772">
      <c r="A772" s="105"/>
      <c r="B772" s="105"/>
      <c r="C772" s="105"/>
      <c r="D772" s="105"/>
      <c r="E772" s="105"/>
    </row>
    <row r="773">
      <c r="A773" s="105"/>
      <c r="B773" s="105"/>
      <c r="C773" s="105"/>
      <c r="D773" s="105"/>
      <c r="E773" s="105"/>
    </row>
    <row r="774">
      <c r="A774" s="105"/>
      <c r="B774" s="105"/>
      <c r="C774" s="105"/>
      <c r="D774" s="105"/>
      <c r="E774" s="105"/>
    </row>
    <row r="775">
      <c r="A775" s="105"/>
      <c r="B775" s="105"/>
      <c r="C775" s="105"/>
      <c r="D775" s="105"/>
      <c r="E775" s="105"/>
    </row>
    <row r="776">
      <c r="A776" s="105"/>
      <c r="B776" s="105"/>
      <c r="C776" s="105"/>
      <c r="D776" s="105"/>
      <c r="E776" s="105"/>
    </row>
    <row r="777">
      <c r="A777" s="105"/>
      <c r="B777" s="105"/>
      <c r="C777" s="105"/>
      <c r="D777" s="105"/>
      <c r="E777" s="105"/>
    </row>
    <row r="778">
      <c r="A778" s="105"/>
      <c r="B778" s="105"/>
      <c r="C778" s="105"/>
      <c r="D778" s="105"/>
      <c r="E778" s="105"/>
    </row>
    <row r="779">
      <c r="A779" s="105"/>
      <c r="B779" s="105"/>
      <c r="C779" s="105"/>
      <c r="D779" s="105"/>
      <c r="E779" s="105"/>
    </row>
    <row r="780">
      <c r="A780" s="105"/>
      <c r="B780" s="105"/>
      <c r="C780" s="105"/>
      <c r="D780" s="105"/>
      <c r="E780" s="105"/>
    </row>
    <row r="781">
      <c r="A781" s="105"/>
      <c r="B781" s="105"/>
      <c r="C781" s="105"/>
      <c r="D781" s="105"/>
      <c r="E781" s="105"/>
    </row>
    <row r="782">
      <c r="A782" s="105"/>
      <c r="B782" s="105"/>
      <c r="C782" s="105"/>
      <c r="D782" s="105"/>
      <c r="E782" s="105"/>
    </row>
    <row r="783">
      <c r="A783" s="105"/>
      <c r="B783" s="105"/>
      <c r="C783" s="105"/>
      <c r="D783" s="105"/>
      <c r="E783" s="105"/>
    </row>
    <row r="784">
      <c r="A784" s="105"/>
      <c r="B784" s="105"/>
      <c r="C784" s="105"/>
      <c r="D784" s="105"/>
      <c r="E784" s="105"/>
    </row>
    <row r="785">
      <c r="A785" s="105"/>
      <c r="B785" s="105"/>
      <c r="C785" s="105"/>
      <c r="D785" s="105"/>
      <c r="E785" s="105"/>
    </row>
    <row r="786">
      <c r="A786" s="105"/>
      <c r="B786" s="105"/>
      <c r="C786" s="105"/>
      <c r="D786" s="105"/>
      <c r="E786" s="105"/>
    </row>
    <row r="787">
      <c r="A787" s="105"/>
      <c r="B787" s="105"/>
      <c r="C787" s="105"/>
      <c r="D787" s="105"/>
      <c r="E787" s="105"/>
    </row>
    <row r="788">
      <c r="A788" s="105"/>
      <c r="B788" s="105"/>
      <c r="C788" s="105"/>
      <c r="D788" s="105"/>
      <c r="E788" s="105"/>
    </row>
    <row r="789">
      <c r="A789" s="105"/>
      <c r="B789" s="105"/>
      <c r="C789" s="105"/>
      <c r="D789" s="105"/>
      <c r="E789" s="105"/>
    </row>
    <row r="790">
      <c r="A790" s="105"/>
      <c r="B790" s="105"/>
      <c r="C790" s="105"/>
      <c r="D790" s="105"/>
      <c r="E790" s="105"/>
    </row>
    <row r="791">
      <c r="A791" s="105"/>
      <c r="B791" s="105"/>
      <c r="C791" s="105"/>
      <c r="D791" s="105"/>
      <c r="E791" s="105"/>
    </row>
    <row r="792">
      <c r="A792" s="105"/>
      <c r="B792" s="105"/>
      <c r="C792" s="105"/>
      <c r="D792" s="105"/>
      <c r="E792" s="105"/>
    </row>
    <row r="793">
      <c r="A793" s="105"/>
      <c r="B793" s="105"/>
      <c r="C793" s="105"/>
      <c r="D793" s="105"/>
      <c r="E793" s="105"/>
    </row>
    <row r="794">
      <c r="A794" s="105"/>
      <c r="B794" s="105"/>
      <c r="C794" s="105"/>
      <c r="D794" s="105"/>
      <c r="E794" s="105"/>
    </row>
    <row r="795">
      <c r="A795" s="105"/>
      <c r="B795" s="105"/>
      <c r="C795" s="105"/>
      <c r="D795" s="105"/>
      <c r="E795" s="105"/>
    </row>
    <row r="796">
      <c r="A796" s="105"/>
      <c r="B796" s="105"/>
      <c r="C796" s="105"/>
      <c r="D796" s="105"/>
      <c r="E796" s="105"/>
    </row>
    <row r="797">
      <c r="A797" s="105"/>
      <c r="B797" s="105"/>
      <c r="C797" s="105"/>
      <c r="D797" s="105"/>
      <c r="E797" s="105"/>
    </row>
    <row r="798">
      <c r="A798" s="105"/>
      <c r="B798" s="105"/>
      <c r="C798" s="105"/>
      <c r="D798" s="105"/>
      <c r="E798" s="105"/>
    </row>
    <row r="799">
      <c r="A799" s="105"/>
      <c r="B799" s="105"/>
      <c r="C799" s="105"/>
      <c r="D799" s="105"/>
      <c r="E799" s="105"/>
    </row>
    <row r="800">
      <c r="A800" s="105"/>
      <c r="B800" s="105"/>
      <c r="C800" s="105"/>
      <c r="D800" s="105"/>
      <c r="E800" s="105"/>
    </row>
    <row r="801">
      <c r="A801" s="105"/>
      <c r="B801" s="105"/>
      <c r="C801" s="105"/>
      <c r="D801" s="105"/>
      <c r="E801" s="105"/>
    </row>
    <row r="802">
      <c r="A802" s="105"/>
      <c r="B802" s="105"/>
      <c r="C802" s="105"/>
      <c r="D802" s="105"/>
      <c r="E802" s="105"/>
    </row>
    <row r="803">
      <c r="A803" s="105"/>
      <c r="B803" s="105"/>
      <c r="C803" s="105"/>
      <c r="D803" s="105"/>
      <c r="E803" s="105"/>
    </row>
    <row r="804">
      <c r="A804" s="105"/>
      <c r="B804" s="105"/>
      <c r="C804" s="105"/>
      <c r="D804" s="105"/>
      <c r="E804" s="105"/>
    </row>
    <row r="805">
      <c r="A805" s="105"/>
      <c r="B805" s="105"/>
      <c r="C805" s="105"/>
      <c r="D805" s="105"/>
      <c r="E805" s="105"/>
    </row>
    <row r="806">
      <c r="A806" s="105"/>
      <c r="B806" s="105"/>
      <c r="C806" s="105"/>
      <c r="D806" s="105"/>
      <c r="E806" s="105"/>
    </row>
    <row r="807">
      <c r="A807" s="105"/>
      <c r="B807" s="105"/>
      <c r="C807" s="105"/>
      <c r="D807" s="105"/>
      <c r="E807" s="105"/>
    </row>
    <row r="808">
      <c r="A808" s="105"/>
      <c r="B808" s="105"/>
      <c r="C808" s="105"/>
      <c r="D808" s="105"/>
      <c r="E808" s="105"/>
    </row>
    <row r="809">
      <c r="A809" s="105"/>
      <c r="B809" s="105"/>
      <c r="C809" s="105"/>
      <c r="D809" s="105"/>
      <c r="E809" s="105"/>
    </row>
    <row r="810">
      <c r="A810" s="105"/>
      <c r="B810" s="105"/>
      <c r="C810" s="105"/>
      <c r="D810" s="105"/>
      <c r="E810" s="105"/>
    </row>
    <row r="811">
      <c r="A811" s="105"/>
      <c r="B811" s="105"/>
      <c r="C811" s="105"/>
      <c r="D811" s="105"/>
      <c r="E811" s="105"/>
    </row>
    <row r="812">
      <c r="A812" s="105"/>
      <c r="B812" s="105"/>
      <c r="C812" s="105"/>
      <c r="D812" s="105"/>
      <c r="E812" s="105"/>
    </row>
    <row r="813">
      <c r="A813" s="105"/>
      <c r="B813" s="105"/>
      <c r="C813" s="105"/>
      <c r="D813" s="105"/>
      <c r="E813" s="105"/>
    </row>
    <row r="814">
      <c r="A814" s="105"/>
      <c r="B814" s="105"/>
      <c r="C814" s="105"/>
      <c r="D814" s="105"/>
      <c r="E814" s="105"/>
    </row>
    <row r="815">
      <c r="A815" s="105"/>
      <c r="B815" s="105"/>
      <c r="C815" s="105"/>
      <c r="D815" s="105"/>
      <c r="E815" s="105"/>
    </row>
    <row r="816">
      <c r="A816" s="105"/>
      <c r="B816" s="105"/>
      <c r="C816" s="105"/>
      <c r="D816" s="105"/>
      <c r="E816" s="105"/>
    </row>
    <row r="817">
      <c r="A817" s="105"/>
      <c r="B817" s="105"/>
      <c r="C817" s="105"/>
      <c r="D817" s="105"/>
      <c r="E817" s="105"/>
    </row>
    <row r="818">
      <c r="A818" s="105"/>
      <c r="B818" s="105"/>
      <c r="C818" s="105"/>
      <c r="D818" s="105"/>
      <c r="E818" s="105"/>
    </row>
    <row r="819">
      <c r="A819" s="105"/>
      <c r="B819" s="105"/>
      <c r="C819" s="105"/>
      <c r="D819" s="105"/>
      <c r="E819" s="105"/>
    </row>
    <row r="820">
      <c r="A820" s="105"/>
      <c r="B820" s="105"/>
      <c r="C820" s="105"/>
      <c r="D820" s="105"/>
      <c r="E820" s="105"/>
    </row>
    <row r="821">
      <c r="A821" s="105"/>
      <c r="B821" s="105"/>
      <c r="C821" s="105"/>
      <c r="D821" s="105"/>
      <c r="E821" s="105"/>
    </row>
    <row r="822">
      <c r="A822" s="105"/>
      <c r="B822" s="105"/>
      <c r="C822" s="105"/>
      <c r="D822" s="105"/>
      <c r="E822" s="105"/>
    </row>
    <row r="823">
      <c r="A823" s="105"/>
      <c r="B823" s="105"/>
      <c r="C823" s="105"/>
      <c r="D823" s="105"/>
      <c r="E823" s="105"/>
    </row>
    <row r="824">
      <c r="A824" s="105"/>
      <c r="B824" s="105"/>
      <c r="C824" s="105"/>
      <c r="D824" s="105"/>
      <c r="E824" s="105"/>
    </row>
    <row r="825">
      <c r="A825" s="105"/>
      <c r="B825" s="105"/>
      <c r="C825" s="105"/>
      <c r="D825" s="105"/>
      <c r="E825" s="105"/>
    </row>
    <row r="826">
      <c r="A826" s="105"/>
      <c r="B826" s="105"/>
      <c r="C826" s="105"/>
      <c r="D826" s="105"/>
      <c r="E826" s="105"/>
    </row>
    <row r="827">
      <c r="A827" s="105"/>
      <c r="B827" s="105"/>
      <c r="C827" s="105"/>
      <c r="D827" s="105"/>
      <c r="E827" s="105"/>
    </row>
    <row r="828">
      <c r="A828" s="105"/>
      <c r="B828" s="105"/>
      <c r="C828" s="105"/>
      <c r="D828" s="105"/>
      <c r="E828" s="105"/>
    </row>
    <row r="829">
      <c r="A829" s="105"/>
      <c r="B829" s="105"/>
      <c r="C829" s="105"/>
      <c r="D829" s="105"/>
      <c r="E829" s="105"/>
    </row>
    <row r="830">
      <c r="A830" s="105"/>
      <c r="B830" s="105"/>
      <c r="C830" s="105"/>
      <c r="D830" s="105"/>
      <c r="E830" s="105"/>
    </row>
    <row r="831">
      <c r="A831" s="105"/>
      <c r="B831" s="105"/>
      <c r="C831" s="105"/>
      <c r="D831" s="105"/>
      <c r="E831" s="105"/>
    </row>
    <row r="832">
      <c r="A832" s="105"/>
      <c r="B832" s="105"/>
      <c r="C832" s="105"/>
      <c r="D832" s="105"/>
      <c r="E832" s="105"/>
    </row>
    <row r="833">
      <c r="A833" s="105"/>
      <c r="B833" s="105"/>
      <c r="C833" s="105"/>
      <c r="D833" s="105"/>
      <c r="E833" s="105"/>
    </row>
    <row r="834">
      <c r="A834" s="105"/>
      <c r="B834" s="105"/>
      <c r="C834" s="105"/>
      <c r="D834" s="105"/>
      <c r="E834" s="105"/>
    </row>
    <row r="835">
      <c r="A835" s="105"/>
      <c r="B835" s="105"/>
      <c r="C835" s="105"/>
      <c r="D835" s="105"/>
      <c r="E835" s="105"/>
    </row>
    <row r="836">
      <c r="A836" s="105"/>
      <c r="B836" s="105"/>
      <c r="C836" s="105"/>
      <c r="D836" s="105"/>
      <c r="E836" s="105"/>
    </row>
    <row r="837">
      <c r="A837" s="105"/>
      <c r="B837" s="105"/>
      <c r="C837" s="105"/>
      <c r="D837" s="105"/>
      <c r="E837" s="105"/>
    </row>
    <row r="838">
      <c r="A838" s="105"/>
      <c r="B838" s="105"/>
      <c r="C838" s="105"/>
      <c r="D838" s="105"/>
      <c r="E838" s="105"/>
    </row>
    <row r="839">
      <c r="A839" s="105"/>
      <c r="B839" s="105"/>
      <c r="C839" s="105"/>
      <c r="D839" s="105"/>
      <c r="E839" s="105"/>
    </row>
    <row r="840">
      <c r="A840" s="105"/>
      <c r="B840" s="105"/>
      <c r="C840" s="105"/>
      <c r="D840" s="105"/>
      <c r="E840" s="105"/>
    </row>
    <row r="841">
      <c r="A841" s="105"/>
      <c r="B841" s="105"/>
      <c r="C841" s="105"/>
      <c r="D841" s="105"/>
      <c r="E841" s="105"/>
    </row>
    <row r="842">
      <c r="A842" s="105"/>
      <c r="B842" s="105"/>
      <c r="C842" s="105"/>
      <c r="D842" s="105"/>
      <c r="E842" s="105"/>
    </row>
    <row r="843">
      <c r="A843" s="105"/>
      <c r="B843" s="105"/>
      <c r="C843" s="105"/>
      <c r="D843" s="105"/>
      <c r="E843" s="105"/>
    </row>
    <row r="844">
      <c r="A844" s="105"/>
      <c r="B844" s="105"/>
      <c r="C844" s="105"/>
      <c r="D844" s="105"/>
      <c r="E844" s="105"/>
    </row>
    <row r="845">
      <c r="A845" s="105"/>
      <c r="B845" s="105"/>
      <c r="C845" s="105"/>
      <c r="D845" s="105"/>
      <c r="E845" s="105"/>
    </row>
    <row r="846">
      <c r="A846" s="105"/>
      <c r="B846" s="105"/>
      <c r="C846" s="105"/>
      <c r="D846" s="105"/>
      <c r="E846" s="105"/>
    </row>
    <row r="847">
      <c r="A847" s="105"/>
      <c r="B847" s="105"/>
      <c r="C847" s="105"/>
      <c r="D847" s="105"/>
      <c r="E847" s="105"/>
    </row>
    <row r="848">
      <c r="A848" s="105"/>
      <c r="B848" s="105"/>
      <c r="C848" s="105"/>
      <c r="D848" s="105"/>
      <c r="E848" s="105"/>
    </row>
    <row r="849">
      <c r="A849" s="105"/>
      <c r="B849" s="105"/>
      <c r="C849" s="105"/>
      <c r="D849" s="105"/>
      <c r="E849" s="105"/>
    </row>
    <row r="850">
      <c r="A850" s="105"/>
      <c r="B850" s="105"/>
      <c r="C850" s="105"/>
      <c r="D850" s="105"/>
      <c r="E850" s="105"/>
    </row>
    <row r="851">
      <c r="A851" s="105"/>
      <c r="B851" s="105"/>
      <c r="C851" s="105"/>
      <c r="D851" s="105"/>
      <c r="E851" s="105"/>
    </row>
    <row r="852">
      <c r="A852" s="105"/>
      <c r="B852" s="105"/>
      <c r="C852" s="105"/>
      <c r="D852" s="105"/>
      <c r="E852" s="105"/>
    </row>
    <row r="853">
      <c r="A853" s="105"/>
      <c r="B853" s="105"/>
      <c r="C853" s="105"/>
      <c r="D853" s="105"/>
      <c r="E853" s="105"/>
    </row>
    <row r="854">
      <c r="A854" s="105"/>
      <c r="B854" s="105"/>
      <c r="C854" s="105"/>
      <c r="D854" s="105"/>
      <c r="E854" s="105"/>
    </row>
    <row r="855">
      <c r="A855" s="105"/>
      <c r="B855" s="105"/>
      <c r="C855" s="105"/>
      <c r="D855" s="105"/>
      <c r="E855" s="105"/>
    </row>
    <row r="856">
      <c r="A856" s="105"/>
      <c r="B856" s="105"/>
      <c r="C856" s="105"/>
      <c r="D856" s="105"/>
      <c r="E856" s="105"/>
    </row>
    <row r="857">
      <c r="A857" s="105"/>
      <c r="B857" s="105"/>
      <c r="C857" s="105"/>
      <c r="D857" s="105"/>
      <c r="E857" s="105"/>
    </row>
    <row r="858">
      <c r="A858" s="105"/>
      <c r="B858" s="105"/>
      <c r="C858" s="105"/>
      <c r="D858" s="105"/>
      <c r="E858" s="105"/>
    </row>
    <row r="859">
      <c r="A859" s="105"/>
      <c r="B859" s="105"/>
      <c r="C859" s="105"/>
      <c r="D859" s="105"/>
      <c r="E859" s="105"/>
    </row>
    <row r="860">
      <c r="A860" s="105"/>
      <c r="B860" s="105"/>
      <c r="C860" s="105"/>
      <c r="D860" s="105"/>
      <c r="E860" s="105"/>
    </row>
    <row r="861">
      <c r="A861" s="105"/>
      <c r="B861" s="105"/>
      <c r="C861" s="105"/>
      <c r="D861" s="105"/>
      <c r="E861" s="105"/>
    </row>
    <row r="862">
      <c r="A862" s="105"/>
      <c r="B862" s="105"/>
      <c r="C862" s="105"/>
      <c r="D862" s="105"/>
      <c r="E862" s="105"/>
    </row>
    <row r="863">
      <c r="A863" s="105"/>
      <c r="B863" s="105"/>
      <c r="C863" s="105"/>
      <c r="D863" s="105"/>
      <c r="E863" s="105"/>
    </row>
    <row r="864">
      <c r="A864" s="105"/>
      <c r="B864" s="105"/>
      <c r="C864" s="105"/>
      <c r="D864" s="105"/>
      <c r="E864" s="105"/>
    </row>
    <row r="865">
      <c r="A865" s="105"/>
      <c r="B865" s="105"/>
      <c r="C865" s="105"/>
      <c r="D865" s="105"/>
      <c r="E865" s="105"/>
    </row>
    <row r="866">
      <c r="A866" s="105"/>
      <c r="B866" s="105"/>
      <c r="C866" s="105"/>
      <c r="D866" s="105"/>
      <c r="E866" s="105"/>
    </row>
    <row r="867">
      <c r="A867" s="105"/>
      <c r="B867" s="105"/>
      <c r="C867" s="105"/>
      <c r="D867" s="105"/>
      <c r="E867" s="105"/>
    </row>
    <row r="868">
      <c r="A868" s="105"/>
      <c r="B868" s="105"/>
      <c r="C868" s="105"/>
      <c r="D868" s="105"/>
      <c r="E868" s="105"/>
    </row>
    <row r="869">
      <c r="A869" s="105"/>
      <c r="B869" s="105"/>
      <c r="C869" s="105"/>
      <c r="D869" s="105"/>
      <c r="E869" s="105"/>
    </row>
    <row r="870">
      <c r="A870" s="105"/>
      <c r="B870" s="105"/>
      <c r="C870" s="105"/>
      <c r="D870" s="105"/>
      <c r="E870" s="105"/>
    </row>
    <row r="871">
      <c r="A871" s="105"/>
      <c r="B871" s="105"/>
      <c r="C871" s="105"/>
      <c r="D871" s="105"/>
      <c r="E871" s="105"/>
    </row>
    <row r="872">
      <c r="A872" s="105"/>
      <c r="B872" s="105"/>
      <c r="C872" s="105"/>
      <c r="D872" s="105"/>
      <c r="E872" s="105"/>
    </row>
    <row r="873">
      <c r="A873" s="105"/>
      <c r="B873" s="105"/>
      <c r="C873" s="105"/>
      <c r="D873" s="105"/>
      <c r="E873" s="105"/>
    </row>
    <row r="874">
      <c r="A874" s="105"/>
      <c r="B874" s="105"/>
      <c r="C874" s="105"/>
      <c r="D874" s="105"/>
      <c r="E874" s="105"/>
    </row>
    <row r="875">
      <c r="A875" s="105"/>
      <c r="B875" s="105"/>
      <c r="C875" s="105"/>
      <c r="D875" s="105"/>
      <c r="E875" s="105"/>
    </row>
    <row r="876">
      <c r="A876" s="105"/>
      <c r="B876" s="105"/>
      <c r="C876" s="105"/>
      <c r="D876" s="105"/>
      <c r="E876" s="105"/>
    </row>
    <row r="877">
      <c r="A877" s="105"/>
      <c r="B877" s="105"/>
      <c r="C877" s="105"/>
      <c r="D877" s="105"/>
      <c r="E877" s="105"/>
    </row>
    <row r="878">
      <c r="A878" s="105"/>
      <c r="B878" s="105"/>
      <c r="C878" s="105"/>
      <c r="D878" s="105"/>
      <c r="E878" s="105"/>
    </row>
    <row r="879">
      <c r="A879" s="105"/>
      <c r="B879" s="105"/>
      <c r="C879" s="105"/>
      <c r="D879" s="105"/>
      <c r="E879" s="105"/>
    </row>
    <row r="880">
      <c r="A880" s="105"/>
      <c r="B880" s="105"/>
      <c r="C880" s="105"/>
      <c r="D880" s="105"/>
      <c r="E880" s="105"/>
    </row>
    <row r="881">
      <c r="A881" s="105"/>
      <c r="B881" s="105"/>
      <c r="C881" s="105"/>
      <c r="D881" s="105"/>
      <c r="E881" s="105"/>
    </row>
    <row r="882">
      <c r="A882" s="105"/>
      <c r="B882" s="105"/>
      <c r="C882" s="105"/>
      <c r="D882" s="105"/>
      <c r="E882" s="105"/>
    </row>
    <row r="883">
      <c r="A883" s="105"/>
      <c r="B883" s="105"/>
      <c r="C883" s="105"/>
      <c r="D883" s="105"/>
      <c r="E883" s="105"/>
    </row>
    <row r="884">
      <c r="A884" s="105"/>
      <c r="B884" s="105"/>
      <c r="C884" s="105"/>
      <c r="D884" s="105"/>
      <c r="E884" s="105"/>
    </row>
    <row r="885">
      <c r="A885" s="105"/>
      <c r="B885" s="105"/>
      <c r="C885" s="105"/>
      <c r="D885" s="105"/>
      <c r="E885" s="105"/>
    </row>
    <row r="886">
      <c r="A886" s="105"/>
      <c r="B886" s="105"/>
      <c r="C886" s="105"/>
      <c r="D886" s="105"/>
      <c r="E886" s="105"/>
    </row>
    <row r="887">
      <c r="A887" s="105"/>
      <c r="B887" s="105"/>
      <c r="C887" s="105"/>
      <c r="D887" s="105"/>
      <c r="E887" s="105"/>
    </row>
    <row r="888">
      <c r="A888" s="105"/>
      <c r="B888" s="105"/>
      <c r="C888" s="105"/>
      <c r="D888" s="105"/>
      <c r="E888" s="105"/>
    </row>
    <row r="889">
      <c r="A889" s="105"/>
      <c r="B889" s="105"/>
      <c r="C889" s="105"/>
      <c r="D889" s="105"/>
      <c r="E889" s="105"/>
    </row>
    <row r="890">
      <c r="A890" s="105"/>
      <c r="B890" s="105"/>
      <c r="C890" s="105"/>
      <c r="D890" s="105"/>
      <c r="E890" s="105"/>
    </row>
    <row r="891">
      <c r="A891" s="105"/>
      <c r="B891" s="105"/>
      <c r="C891" s="105"/>
      <c r="D891" s="105"/>
      <c r="E891" s="105"/>
    </row>
    <row r="892">
      <c r="A892" s="105"/>
      <c r="B892" s="105"/>
      <c r="C892" s="105"/>
      <c r="D892" s="105"/>
      <c r="E892" s="105"/>
    </row>
    <row r="893">
      <c r="A893" s="105"/>
      <c r="B893" s="105"/>
      <c r="C893" s="105"/>
      <c r="D893" s="105"/>
      <c r="E893" s="105"/>
    </row>
    <row r="894">
      <c r="A894" s="105"/>
      <c r="B894" s="105"/>
      <c r="C894" s="105"/>
      <c r="D894" s="105"/>
      <c r="E894" s="105"/>
    </row>
    <row r="895">
      <c r="A895" s="105"/>
      <c r="B895" s="105"/>
      <c r="C895" s="105"/>
      <c r="D895" s="105"/>
      <c r="E895" s="105"/>
    </row>
    <row r="896">
      <c r="A896" s="105"/>
      <c r="B896" s="105"/>
      <c r="C896" s="105"/>
      <c r="D896" s="105"/>
      <c r="E896" s="105"/>
    </row>
    <row r="897">
      <c r="A897" s="105"/>
      <c r="B897" s="105"/>
      <c r="C897" s="105"/>
      <c r="D897" s="105"/>
      <c r="E897" s="105"/>
    </row>
    <row r="898">
      <c r="A898" s="105"/>
      <c r="B898" s="105"/>
      <c r="C898" s="105"/>
      <c r="D898" s="105"/>
      <c r="E898" s="105"/>
    </row>
    <row r="899">
      <c r="A899" s="105"/>
      <c r="B899" s="105"/>
      <c r="C899" s="105"/>
      <c r="D899" s="105"/>
      <c r="E899" s="105"/>
    </row>
    <row r="900">
      <c r="A900" s="105"/>
      <c r="B900" s="105"/>
      <c r="C900" s="105"/>
      <c r="D900" s="105"/>
      <c r="E900" s="105"/>
    </row>
    <row r="901">
      <c r="A901" s="105"/>
      <c r="B901" s="105"/>
      <c r="C901" s="105"/>
      <c r="D901" s="105"/>
      <c r="E901" s="105"/>
    </row>
    <row r="902">
      <c r="A902" s="105"/>
      <c r="B902" s="105"/>
      <c r="C902" s="105"/>
      <c r="D902" s="105"/>
      <c r="E902" s="105"/>
    </row>
    <row r="903">
      <c r="A903" s="105"/>
      <c r="B903" s="105"/>
      <c r="C903" s="105"/>
      <c r="D903" s="105"/>
      <c r="E903" s="105"/>
    </row>
    <row r="904">
      <c r="A904" s="105"/>
      <c r="B904" s="105"/>
      <c r="C904" s="105"/>
      <c r="D904" s="105"/>
      <c r="E904" s="105"/>
    </row>
    <row r="905">
      <c r="A905" s="105"/>
      <c r="B905" s="105"/>
      <c r="C905" s="105"/>
      <c r="D905" s="105"/>
      <c r="E905" s="105"/>
    </row>
    <row r="906">
      <c r="A906" s="105"/>
      <c r="B906" s="105"/>
      <c r="C906" s="105"/>
      <c r="D906" s="105"/>
      <c r="E906" s="105"/>
    </row>
    <row r="907">
      <c r="A907" s="105"/>
      <c r="B907" s="105"/>
      <c r="C907" s="105"/>
      <c r="D907" s="105"/>
      <c r="E907" s="105"/>
    </row>
    <row r="908">
      <c r="A908" s="105"/>
      <c r="B908" s="105"/>
      <c r="C908" s="105"/>
      <c r="D908" s="105"/>
      <c r="E908" s="105"/>
    </row>
    <row r="909">
      <c r="A909" s="105"/>
      <c r="B909" s="105"/>
      <c r="C909" s="105"/>
      <c r="D909" s="105"/>
      <c r="E909" s="105"/>
    </row>
    <row r="910">
      <c r="A910" s="105"/>
      <c r="B910" s="105"/>
      <c r="C910" s="105"/>
      <c r="D910" s="105"/>
      <c r="E910" s="105"/>
    </row>
    <row r="911">
      <c r="A911" s="105"/>
      <c r="B911" s="105"/>
      <c r="C911" s="105"/>
      <c r="D911" s="105"/>
      <c r="E911" s="105"/>
    </row>
    <row r="912">
      <c r="A912" s="105"/>
      <c r="B912" s="105"/>
      <c r="C912" s="105"/>
      <c r="D912" s="105"/>
      <c r="E912" s="105"/>
    </row>
    <row r="913">
      <c r="A913" s="105"/>
      <c r="B913" s="105"/>
      <c r="C913" s="105"/>
      <c r="D913" s="105"/>
      <c r="E913" s="105"/>
    </row>
    <row r="914">
      <c r="A914" s="105"/>
      <c r="B914" s="105"/>
      <c r="C914" s="105"/>
      <c r="D914" s="105"/>
      <c r="E914" s="105"/>
    </row>
    <row r="915">
      <c r="A915" s="105"/>
      <c r="B915" s="105"/>
      <c r="C915" s="105"/>
      <c r="D915" s="105"/>
      <c r="E915" s="105"/>
    </row>
    <row r="916">
      <c r="A916" s="105"/>
      <c r="B916" s="105"/>
      <c r="C916" s="105"/>
      <c r="D916" s="105"/>
      <c r="E916" s="105"/>
    </row>
    <row r="917">
      <c r="A917" s="105"/>
      <c r="B917" s="105"/>
      <c r="C917" s="105"/>
      <c r="D917" s="105"/>
      <c r="E917" s="105"/>
    </row>
    <row r="918">
      <c r="A918" s="105"/>
      <c r="B918" s="105"/>
      <c r="C918" s="105"/>
      <c r="D918" s="105"/>
      <c r="E918" s="105"/>
    </row>
    <row r="919">
      <c r="A919" s="105"/>
      <c r="B919" s="105"/>
      <c r="C919" s="105"/>
      <c r="D919" s="105"/>
      <c r="E919" s="105"/>
    </row>
    <row r="920">
      <c r="A920" s="105"/>
      <c r="B920" s="105"/>
      <c r="C920" s="105"/>
      <c r="D920" s="105"/>
      <c r="E920" s="105"/>
    </row>
    <row r="921">
      <c r="A921" s="105"/>
      <c r="B921" s="105"/>
      <c r="C921" s="105"/>
      <c r="D921" s="105"/>
      <c r="E921" s="105"/>
    </row>
    <row r="922">
      <c r="A922" s="105"/>
      <c r="B922" s="105"/>
      <c r="C922" s="105"/>
      <c r="D922" s="105"/>
      <c r="E922" s="105"/>
    </row>
    <row r="923">
      <c r="A923" s="105"/>
      <c r="B923" s="105"/>
      <c r="C923" s="105"/>
      <c r="D923" s="105"/>
      <c r="E923" s="105"/>
    </row>
    <row r="924">
      <c r="A924" s="105"/>
      <c r="B924" s="105"/>
      <c r="C924" s="105"/>
      <c r="D924" s="105"/>
      <c r="E924" s="105"/>
    </row>
    <row r="925">
      <c r="A925" s="105"/>
      <c r="B925" s="105"/>
      <c r="C925" s="105"/>
      <c r="D925" s="105"/>
      <c r="E925" s="105"/>
    </row>
    <row r="926">
      <c r="A926" s="105"/>
      <c r="B926" s="105"/>
      <c r="C926" s="105"/>
      <c r="D926" s="105"/>
      <c r="E926" s="105"/>
    </row>
    <row r="927">
      <c r="A927" s="105"/>
      <c r="B927" s="105"/>
      <c r="C927" s="105"/>
      <c r="D927" s="105"/>
      <c r="E927" s="105"/>
    </row>
    <row r="928">
      <c r="A928" s="105"/>
      <c r="B928" s="105"/>
      <c r="C928" s="105"/>
      <c r="D928" s="105"/>
      <c r="E928" s="105"/>
    </row>
    <row r="929">
      <c r="A929" s="105"/>
      <c r="B929" s="105"/>
      <c r="C929" s="105"/>
      <c r="D929" s="105"/>
      <c r="E929" s="105"/>
    </row>
    <row r="930">
      <c r="A930" s="105"/>
      <c r="B930" s="105"/>
      <c r="C930" s="105"/>
      <c r="D930" s="105"/>
      <c r="E930" s="105"/>
    </row>
    <row r="931">
      <c r="A931" s="105"/>
      <c r="B931" s="105"/>
      <c r="C931" s="105"/>
      <c r="D931" s="105"/>
      <c r="E931" s="105"/>
    </row>
    <row r="932">
      <c r="A932" s="105"/>
      <c r="B932" s="105"/>
      <c r="C932" s="105"/>
      <c r="D932" s="105"/>
      <c r="E932" s="105"/>
    </row>
    <row r="933">
      <c r="A933" s="105"/>
      <c r="B933" s="105"/>
      <c r="C933" s="105"/>
      <c r="D933" s="105"/>
      <c r="E933" s="105"/>
    </row>
    <row r="934">
      <c r="A934" s="105"/>
      <c r="B934" s="105"/>
      <c r="C934" s="105"/>
      <c r="D934" s="105"/>
      <c r="E934" s="105"/>
    </row>
    <row r="935">
      <c r="A935" s="105"/>
      <c r="B935" s="105"/>
      <c r="C935" s="105"/>
      <c r="D935" s="105"/>
      <c r="E935" s="105"/>
    </row>
    <row r="936">
      <c r="A936" s="105"/>
      <c r="B936" s="105"/>
      <c r="C936" s="105"/>
      <c r="D936" s="105"/>
      <c r="E936" s="105"/>
    </row>
    <row r="937">
      <c r="A937" s="105"/>
      <c r="B937" s="105"/>
      <c r="C937" s="105"/>
      <c r="D937" s="105"/>
      <c r="E937" s="105"/>
    </row>
    <row r="938">
      <c r="A938" s="105"/>
      <c r="B938" s="105"/>
      <c r="C938" s="105"/>
      <c r="D938" s="105"/>
      <c r="E938" s="105"/>
    </row>
    <row r="939">
      <c r="A939" s="105"/>
      <c r="B939" s="105"/>
      <c r="C939" s="105"/>
      <c r="D939" s="105"/>
      <c r="E939" s="105"/>
    </row>
    <row r="940">
      <c r="A940" s="105"/>
      <c r="B940" s="105"/>
      <c r="C940" s="105"/>
      <c r="D940" s="105"/>
      <c r="E940" s="105"/>
    </row>
    <row r="941">
      <c r="A941" s="105"/>
      <c r="B941" s="105"/>
      <c r="C941" s="105"/>
      <c r="D941" s="105"/>
      <c r="E941" s="105"/>
    </row>
    <row r="942">
      <c r="A942" s="105"/>
      <c r="B942" s="105"/>
      <c r="C942" s="105"/>
      <c r="D942" s="105"/>
      <c r="E942" s="105"/>
    </row>
    <row r="943">
      <c r="A943" s="105"/>
      <c r="B943" s="105"/>
      <c r="C943" s="105"/>
      <c r="D943" s="105"/>
      <c r="E943" s="105"/>
    </row>
    <row r="944">
      <c r="A944" s="105"/>
      <c r="B944" s="105"/>
      <c r="C944" s="105"/>
      <c r="D944" s="105"/>
      <c r="E944" s="105"/>
    </row>
    <row r="945">
      <c r="A945" s="105"/>
      <c r="B945" s="105"/>
      <c r="C945" s="105"/>
      <c r="D945" s="105"/>
      <c r="E945" s="105"/>
    </row>
    <row r="946">
      <c r="A946" s="105"/>
      <c r="B946" s="105"/>
      <c r="C946" s="105"/>
      <c r="D946" s="105"/>
      <c r="E946" s="105"/>
    </row>
    <row r="947">
      <c r="A947" s="105"/>
      <c r="B947" s="105"/>
      <c r="C947" s="105"/>
      <c r="D947" s="105"/>
      <c r="E947" s="105"/>
    </row>
    <row r="948">
      <c r="A948" s="105"/>
      <c r="B948" s="105"/>
      <c r="C948" s="105"/>
      <c r="D948" s="105"/>
      <c r="E948" s="105"/>
    </row>
    <row r="949">
      <c r="A949" s="105"/>
      <c r="B949" s="105"/>
      <c r="C949" s="105"/>
      <c r="D949" s="105"/>
      <c r="E949" s="105"/>
    </row>
    <row r="950">
      <c r="A950" s="105"/>
      <c r="B950" s="105"/>
      <c r="C950" s="105"/>
      <c r="D950" s="105"/>
      <c r="E950" s="105"/>
    </row>
    <row r="951">
      <c r="A951" s="105"/>
      <c r="B951" s="105"/>
      <c r="C951" s="105"/>
      <c r="D951" s="105"/>
      <c r="E951" s="105"/>
    </row>
    <row r="952">
      <c r="A952" s="105"/>
      <c r="B952" s="105"/>
      <c r="C952" s="105"/>
      <c r="D952" s="105"/>
      <c r="E952" s="105"/>
    </row>
    <row r="953">
      <c r="A953" s="105"/>
      <c r="B953" s="105"/>
      <c r="C953" s="105"/>
      <c r="D953" s="105"/>
      <c r="E953" s="105"/>
    </row>
    <row r="954">
      <c r="A954" s="105"/>
      <c r="B954" s="105"/>
      <c r="C954" s="105"/>
      <c r="D954" s="105"/>
      <c r="E954" s="105"/>
    </row>
    <row r="955">
      <c r="A955" s="105"/>
      <c r="B955" s="105"/>
      <c r="C955" s="105"/>
      <c r="D955" s="105"/>
      <c r="E955" s="105"/>
    </row>
    <row r="956">
      <c r="A956" s="105"/>
      <c r="B956" s="105"/>
      <c r="C956" s="105"/>
      <c r="D956" s="105"/>
      <c r="E956" s="105"/>
    </row>
    <row r="957">
      <c r="A957" s="105"/>
      <c r="B957" s="105"/>
      <c r="C957" s="105"/>
      <c r="D957" s="105"/>
      <c r="E957" s="105"/>
    </row>
    <row r="958">
      <c r="A958" s="105"/>
      <c r="B958" s="105"/>
      <c r="C958" s="105"/>
      <c r="D958" s="105"/>
      <c r="E958" s="105"/>
    </row>
    <row r="959">
      <c r="A959" s="105"/>
      <c r="B959" s="105"/>
      <c r="C959" s="105"/>
      <c r="D959" s="105"/>
      <c r="E959" s="105"/>
    </row>
    <row r="960">
      <c r="A960" s="105"/>
      <c r="B960" s="105"/>
      <c r="C960" s="105"/>
      <c r="D960" s="105"/>
      <c r="E960" s="105"/>
    </row>
    <row r="961">
      <c r="A961" s="105"/>
      <c r="B961" s="105"/>
      <c r="C961" s="105"/>
      <c r="D961" s="105"/>
      <c r="E961" s="105"/>
    </row>
    <row r="962">
      <c r="A962" s="105"/>
      <c r="B962" s="105"/>
      <c r="C962" s="105"/>
      <c r="D962" s="105"/>
      <c r="E962" s="105"/>
    </row>
    <row r="963">
      <c r="A963" s="105"/>
      <c r="B963" s="105"/>
      <c r="C963" s="105"/>
      <c r="D963" s="105"/>
      <c r="E963" s="105"/>
    </row>
    <row r="964">
      <c r="A964" s="105"/>
      <c r="B964" s="105"/>
      <c r="C964" s="105"/>
      <c r="D964" s="105"/>
      <c r="E964" s="105"/>
    </row>
    <row r="965">
      <c r="A965" s="105"/>
      <c r="B965" s="105"/>
      <c r="C965" s="105"/>
      <c r="D965" s="105"/>
      <c r="E965" s="105"/>
    </row>
    <row r="966">
      <c r="A966" s="105"/>
      <c r="B966" s="105"/>
      <c r="C966" s="105"/>
      <c r="D966" s="105"/>
      <c r="E966" s="105"/>
    </row>
    <row r="967">
      <c r="A967" s="105"/>
      <c r="B967" s="105"/>
      <c r="C967" s="105"/>
      <c r="D967" s="105"/>
      <c r="E967" s="105"/>
    </row>
    <row r="968">
      <c r="A968" s="105"/>
      <c r="B968" s="105"/>
      <c r="C968" s="105"/>
      <c r="D968" s="105"/>
      <c r="E968" s="105"/>
    </row>
    <row r="969">
      <c r="A969" s="105"/>
      <c r="B969" s="105"/>
      <c r="C969" s="105"/>
      <c r="D969" s="105"/>
      <c r="E969" s="105"/>
    </row>
    <row r="970">
      <c r="A970" s="105"/>
      <c r="B970" s="105"/>
      <c r="C970" s="105"/>
      <c r="D970" s="105"/>
      <c r="E970" s="105"/>
    </row>
    <row r="971">
      <c r="A971" s="105"/>
      <c r="B971" s="105"/>
      <c r="C971" s="105"/>
      <c r="D971" s="105"/>
      <c r="E971" s="105"/>
    </row>
    <row r="972">
      <c r="A972" s="105"/>
      <c r="B972" s="105"/>
      <c r="C972" s="105"/>
      <c r="D972" s="105"/>
      <c r="E972" s="105"/>
    </row>
    <row r="973">
      <c r="A973" s="105"/>
      <c r="B973" s="105"/>
      <c r="C973" s="105"/>
      <c r="D973" s="105"/>
      <c r="E973" s="105"/>
    </row>
    <row r="974">
      <c r="A974" s="105"/>
      <c r="B974" s="105"/>
      <c r="C974" s="105"/>
      <c r="D974" s="105"/>
      <c r="E974" s="105"/>
    </row>
    <row r="975">
      <c r="A975" s="105"/>
      <c r="B975" s="105"/>
      <c r="C975" s="105"/>
      <c r="D975" s="105"/>
      <c r="E975" s="105"/>
    </row>
    <row r="976">
      <c r="A976" s="105"/>
      <c r="B976" s="105"/>
      <c r="C976" s="105"/>
      <c r="D976" s="105"/>
      <c r="E976" s="105"/>
    </row>
    <row r="977">
      <c r="A977" s="105"/>
      <c r="B977" s="105"/>
      <c r="C977" s="105"/>
      <c r="D977" s="105"/>
      <c r="E977" s="105"/>
    </row>
    <row r="978">
      <c r="A978" s="105"/>
      <c r="B978" s="105"/>
      <c r="C978" s="105"/>
      <c r="D978" s="105"/>
      <c r="E978" s="105"/>
    </row>
    <row r="979">
      <c r="A979" s="105"/>
      <c r="B979" s="105"/>
      <c r="C979" s="105"/>
      <c r="D979" s="105"/>
      <c r="E979" s="105"/>
    </row>
    <row r="980">
      <c r="A980" s="105"/>
      <c r="B980" s="105"/>
      <c r="C980" s="105"/>
      <c r="D980" s="105"/>
      <c r="E980" s="105"/>
    </row>
    <row r="981">
      <c r="A981" s="105"/>
      <c r="B981" s="105"/>
      <c r="C981" s="105"/>
      <c r="D981" s="105"/>
      <c r="E981" s="105"/>
    </row>
    <row r="982">
      <c r="A982" s="105"/>
      <c r="B982" s="105"/>
      <c r="C982" s="105"/>
      <c r="D982" s="105"/>
      <c r="E982" s="105"/>
    </row>
    <row r="983">
      <c r="A983" s="105"/>
      <c r="B983" s="105"/>
      <c r="C983" s="105"/>
      <c r="D983" s="105"/>
      <c r="E983" s="105"/>
    </row>
    <row r="984">
      <c r="A984" s="105"/>
      <c r="B984" s="105"/>
      <c r="C984" s="105"/>
      <c r="D984" s="105"/>
      <c r="E984" s="105"/>
    </row>
    <row r="985">
      <c r="A985" s="105"/>
      <c r="B985" s="105"/>
      <c r="C985" s="105"/>
      <c r="D985" s="105"/>
      <c r="E985" s="105"/>
    </row>
    <row r="986">
      <c r="A986" s="105"/>
      <c r="B986" s="105"/>
      <c r="C986" s="105"/>
      <c r="D986" s="105"/>
      <c r="E986" s="105"/>
    </row>
    <row r="987">
      <c r="A987" s="105"/>
      <c r="B987" s="105"/>
      <c r="C987" s="105"/>
      <c r="D987" s="105"/>
      <c r="E987" s="105"/>
    </row>
    <row r="988">
      <c r="A988" s="105"/>
      <c r="B988" s="105"/>
      <c r="C988" s="105"/>
      <c r="D988" s="105"/>
      <c r="E988" s="105"/>
    </row>
    <row r="989">
      <c r="A989" s="105"/>
      <c r="B989" s="105"/>
      <c r="C989" s="105"/>
      <c r="D989" s="105"/>
      <c r="E989" s="105"/>
    </row>
    <row r="990">
      <c r="A990" s="105"/>
      <c r="B990" s="105"/>
      <c r="C990" s="105"/>
      <c r="D990" s="105"/>
      <c r="E990" s="105"/>
    </row>
    <row r="991">
      <c r="A991" s="105"/>
      <c r="B991" s="105"/>
      <c r="C991" s="105"/>
      <c r="D991" s="105"/>
      <c r="E991" s="105"/>
    </row>
    <row r="992">
      <c r="A992" s="105"/>
      <c r="B992" s="105"/>
      <c r="C992" s="105"/>
      <c r="D992" s="105"/>
      <c r="E992" s="105"/>
    </row>
    <row r="993">
      <c r="A993" s="105"/>
      <c r="B993" s="105"/>
      <c r="C993" s="105"/>
      <c r="D993" s="105"/>
      <c r="E993" s="105"/>
    </row>
    <row r="994">
      <c r="A994" s="105"/>
      <c r="B994" s="105"/>
      <c r="C994" s="105"/>
      <c r="D994" s="105"/>
      <c r="E994" s="105"/>
    </row>
    <row r="995">
      <c r="A995" s="105"/>
      <c r="B995" s="105"/>
      <c r="C995" s="105"/>
      <c r="D995" s="105"/>
      <c r="E995" s="105"/>
    </row>
    <row r="996">
      <c r="A996" s="105"/>
      <c r="B996" s="105"/>
      <c r="C996" s="105"/>
      <c r="D996" s="105"/>
      <c r="E996" s="105"/>
    </row>
    <row r="997">
      <c r="A997" s="105"/>
      <c r="B997" s="105"/>
      <c r="C997" s="105"/>
      <c r="D997" s="105"/>
      <c r="E997" s="105"/>
    </row>
    <row r="998">
      <c r="A998" s="105"/>
      <c r="B998" s="105"/>
      <c r="C998" s="105"/>
      <c r="D998" s="105"/>
      <c r="E998" s="105"/>
    </row>
    <row r="999">
      <c r="A999" s="105"/>
      <c r="B999" s="105"/>
      <c r="C999" s="105"/>
      <c r="D999" s="105"/>
      <c r="E999" s="105"/>
    </row>
    <row r="1000">
      <c r="A1000" s="105"/>
      <c r="B1000" s="105"/>
      <c r="C1000" s="105"/>
      <c r="D1000" s="105"/>
      <c r="E1000" s="105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13"/>
    <col customWidth="1" min="3" max="3" width="15.5"/>
    <col customWidth="1" min="4" max="4" width="33.0"/>
  </cols>
  <sheetData>
    <row r="1" ht="22.5" customHeight="1">
      <c r="A1" s="126" t="s">
        <v>2976</v>
      </c>
      <c r="B1" s="126" t="s">
        <v>1</v>
      </c>
      <c r="C1" s="126" t="s">
        <v>3</v>
      </c>
      <c r="D1" s="126" t="s">
        <v>5</v>
      </c>
    </row>
    <row r="2" ht="22.5" customHeight="1">
      <c r="A2" s="127">
        <f>IFERROR(__xludf.DUMMYFUNCTION("FILTER({All_Members!A2:A3556, All_Members!B2:B3556, All_Members!D2:D3556, All_Members!F2:F3556}, All_Members!C2:C3556 = ""Finance"")"),2.2301325E7)</f>
        <v>22301325</v>
      </c>
      <c r="B2" s="127" t="str">
        <f>IFERROR(__xludf.DUMMYFUNCTION("""COMPUTED_VALUE"""),"Md. Dodi Al Fayed")</f>
        <v>Md. Dodi Al Fayed</v>
      </c>
      <c r="C2" s="128" t="str">
        <f>IFERROR(__xludf.DUMMYFUNCTION("""COMPUTED_VALUE"""),"Director")</f>
        <v>Director</v>
      </c>
      <c r="D2" s="128" t="str">
        <f>IFERROR(__xludf.DUMMYFUNCTION("""COMPUTED_VALUE"""),"dodi.al.fayed@g.bracu.ac.bd")</f>
        <v>dodi.al.fayed@g.bracu.ac.bd</v>
      </c>
    </row>
    <row r="3" ht="22.5" customHeight="1">
      <c r="A3" s="127">
        <f>IFERROR(__xludf.DUMMYFUNCTION("""COMPUTED_VALUE"""),2.3201509E7)</f>
        <v>23201509</v>
      </c>
      <c r="B3" s="127" t="str">
        <f>IFERROR(__xludf.DUMMYFUNCTION("""COMPUTED_VALUE"""),"Noor-E-Jannat")</f>
        <v>Noor-E-Jannat</v>
      </c>
      <c r="C3" s="128" t="str">
        <f>IFERROR(__xludf.DUMMYFUNCTION("""COMPUTED_VALUE"""),"Director")</f>
        <v>Director</v>
      </c>
      <c r="D3" s="128" t="str">
        <f>IFERROR(__xludf.DUMMYFUNCTION("""COMPUTED_VALUE"""),"noor.e.jannat3@g.bracu.ac.bd")</f>
        <v>noor.e.jannat3@g.bracu.ac.bd</v>
      </c>
    </row>
    <row r="4" ht="22.5" customHeight="1">
      <c r="A4" s="127">
        <f>IFERROR(__xludf.DUMMYFUNCTION("""COMPUTED_VALUE"""),2.3301591E7)</f>
        <v>23301591</v>
      </c>
      <c r="B4" s="127" t="str">
        <f>IFERROR(__xludf.DUMMYFUNCTION("""COMPUTED_VALUE"""),"Md. Rawnak Ahasan")</f>
        <v>Md. Rawnak Ahasan</v>
      </c>
      <c r="C4" s="128" t="str">
        <f>IFERROR(__xludf.DUMMYFUNCTION("""COMPUTED_VALUE"""),"Assistant Director")</f>
        <v>Assistant Director</v>
      </c>
      <c r="D4" s="128" t="str">
        <f>IFERROR(__xludf.DUMMYFUNCTION("""COMPUTED_VALUE"""),"md.rawnak.ahasan@g.bracu.ac.bd")</f>
        <v>md.rawnak.ahasan@g.bracu.ac.bd</v>
      </c>
    </row>
    <row r="5" ht="22.5" customHeight="1">
      <c r="A5" s="127">
        <f>IFERROR(__xludf.DUMMYFUNCTION("""COMPUTED_VALUE"""),2.3201058E7)</f>
        <v>23201058</v>
      </c>
      <c r="B5" s="127" t="str">
        <f>IFERROR(__xludf.DUMMYFUNCTION("""COMPUTED_VALUE"""),"Tasnim Zarin Jhilik")</f>
        <v>Tasnim Zarin Jhilik</v>
      </c>
      <c r="C5" s="128" t="str">
        <f>IFERROR(__xludf.DUMMYFUNCTION("""COMPUTED_VALUE"""),"Assistant Director")</f>
        <v>Assistant Director</v>
      </c>
      <c r="D5" s="128" t="str">
        <f>IFERROR(__xludf.DUMMYFUNCTION("""COMPUTED_VALUE"""),"tasnim.zarin.jhilik@g.bracu.ac.bd")</f>
        <v>tasnim.zarin.jhilik@g.bracu.ac.bd</v>
      </c>
    </row>
    <row r="6" ht="22.5" customHeight="1">
      <c r="A6" s="127">
        <f>IFERROR(__xludf.DUMMYFUNCTION("""COMPUTED_VALUE"""),2.4315004E7)</f>
        <v>24315004</v>
      </c>
      <c r="B6" s="127" t="str">
        <f>IFERROR(__xludf.DUMMYFUNCTION("""COMPUTED_VALUE"""),"Jannatul Afrin Tahima")</f>
        <v>Jannatul Afrin Tahima</v>
      </c>
      <c r="C6" s="128" t="str">
        <f>IFERROR(__xludf.DUMMYFUNCTION("""COMPUTED_VALUE"""),"Senior Executive")</f>
        <v>Senior Executive</v>
      </c>
      <c r="D6" s="128" t="str">
        <f>IFERROR(__xludf.DUMMYFUNCTION("""COMPUTED_VALUE"""),"jannatul.afrin.tahima@g.bracu.ac.bd")</f>
        <v>jannatul.afrin.tahima@g.bracu.ac.bd</v>
      </c>
    </row>
    <row r="7" ht="22.5" customHeight="1">
      <c r="A7" s="127">
        <f>IFERROR(__xludf.DUMMYFUNCTION("""COMPUTED_VALUE"""),2.4301366E7)</f>
        <v>24301366</v>
      </c>
      <c r="B7" s="127" t="str">
        <f>IFERROR(__xludf.DUMMYFUNCTION("""COMPUTED_VALUE"""),"Rafia Taimur Raisa")</f>
        <v>Rafia Taimur Raisa</v>
      </c>
      <c r="C7" s="128" t="str">
        <f>IFERROR(__xludf.DUMMYFUNCTION("""COMPUTED_VALUE"""),"Senior Executive")</f>
        <v>Senior Executive</v>
      </c>
      <c r="D7" s="128" t="str">
        <f>IFERROR(__xludf.DUMMYFUNCTION("""COMPUTED_VALUE"""),"rafia.taimur.raisa@g.bracu.ac.bd")</f>
        <v>rafia.taimur.raisa@g.bracu.ac.bd</v>
      </c>
    </row>
    <row r="8" ht="22.5" customHeight="1">
      <c r="A8" s="127">
        <f>IFERROR(__xludf.DUMMYFUNCTION("""COMPUTED_VALUE"""),2.4101055E7)</f>
        <v>24101055</v>
      </c>
      <c r="B8" s="127" t="str">
        <f>IFERROR(__xludf.DUMMYFUNCTION("""COMPUTED_VALUE"""),"Arnab Sen")</f>
        <v>Arnab Sen</v>
      </c>
      <c r="C8" s="128" t="str">
        <f>IFERROR(__xludf.DUMMYFUNCTION("""COMPUTED_VALUE"""),"Senior Executive")</f>
        <v>Senior Executive</v>
      </c>
      <c r="D8" s="128" t="str">
        <f>IFERROR(__xludf.DUMMYFUNCTION("""COMPUTED_VALUE"""),"arnab.sen@g.bracu.ac.bd")</f>
        <v>arnab.sen@g.bracu.ac.bd</v>
      </c>
    </row>
    <row r="9" ht="22.5" customHeight="1">
      <c r="A9" s="127">
        <f>IFERROR(__xludf.DUMMYFUNCTION("""COMPUTED_VALUE"""),2.2299544E7)</f>
        <v>22299544</v>
      </c>
      <c r="B9" s="127" t="str">
        <f>IFERROR(__xludf.DUMMYFUNCTION("""COMPUTED_VALUE"""),"Tamanna Hossain")</f>
        <v>Tamanna Hossain</v>
      </c>
      <c r="C9" s="128" t="str">
        <f>IFERROR(__xludf.DUMMYFUNCTION("""COMPUTED_VALUE"""),"Senior Executive")</f>
        <v>Senior Executive</v>
      </c>
      <c r="D9" s="128" t="str">
        <f>IFERROR(__xludf.DUMMYFUNCTION("""COMPUTED_VALUE"""),"tamanna.hossain2@g.bracu.ac.bd")</f>
        <v>tamanna.hossain2@g.bracu.ac.bd</v>
      </c>
    </row>
    <row r="10" ht="22.5" customHeight="1">
      <c r="A10" s="127">
        <f>IFERROR(__xludf.DUMMYFUNCTION("""COMPUTED_VALUE"""),2.3301634E7)</f>
        <v>23301634</v>
      </c>
      <c r="B10" s="127" t="str">
        <f>IFERROR(__xludf.DUMMYFUNCTION("""COMPUTED_VALUE"""),"Kazi Md Tanvirul Hasan Sadd")</f>
        <v>Kazi Md Tanvirul Hasan Sadd</v>
      </c>
      <c r="C10" s="128" t="str">
        <f>IFERROR(__xludf.DUMMYFUNCTION("""COMPUTED_VALUE"""),"Senior Executive")</f>
        <v>Senior Executive</v>
      </c>
      <c r="D10" s="128" t="str">
        <f>IFERROR(__xludf.DUMMYFUNCTION("""COMPUTED_VALUE"""),"tanvirul.hasan.sadd@g.bracu.ac.bd")</f>
        <v>tanvirul.hasan.sadd@g.bracu.ac.bd</v>
      </c>
    </row>
    <row r="11" ht="22.5" customHeight="1">
      <c r="A11" s="127">
        <f>IFERROR(__xludf.DUMMYFUNCTION("""COMPUTED_VALUE"""),2.3301388E7)</f>
        <v>23301388</v>
      </c>
      <c r="B11" s="127" t="str">
        <f>IFERROR(__xludf.DUMMYFUNCTION("""COMPUTED_VALUE"""),"Samin Safwan")</f>
        <v>Samin Safwan</v>
      </c>
      <c r="C11" s="128" t="str">
        <f>IFERROR(__xludf.DUMMYFUNCTION("""COMPUTED_VALUE"""),"Senior Executive")</f>
        <v>Senior Executive</v>
      </c>
      <c r="D11" s="128" t="str">
        <f>IFERROR(__xludf.DUMMYFUNCTION("""COMPUTED_VALUE"""),"samin.safwan@g.bracu.ac.bd")</f>
        <v>samin.safwan@g.bracu.ac.bd</v>
      </c>
    </row>
    <row r="12" ht="22.5" customHeight="1">
      <c r="A12" s="127">
        <f>IFERROR(__xludf.DUMMYFUNCTION("""COMPUTED_VALUE"""),2.2301188E7)</f>
        <v>22301188</v>
      </c>
      <c r="B12" s="127" t="str">
        <f>IFERROR(__xludf.DUMMYFUNCTION("""COMPUTED_VALUE"""),"Agradip Saha")</f>
        <v>Agradip Saha</v>
      </c>
      <c r="C12" s="128" t="str">
        <f>IFERROR(__xludf.DUMMYFUNCTION("""COMPUTED_VALUE"""),"Senior Executive")</f>
        <v>Senior Executive</v>
      </c>
      <c r="D12" s="128" t="str">
        <f>IFERROR(__xludf.DUMMYFUNCTION("""COMPUTED_VALUE"""),"agradip.saha@g.bracu.ac.bd")</f>
        <v>agradip.saha@g.bracu.ac.bd</v>
      </c>
    </row>
    <row r="13" ht="22.5" customHeight="1">
      <c r="A13" s="127">
        <f>IFERROR(__xludf.DUMMYFUNCTION("""COMPUTED_VALUE"""),2.2101475E7)</f>
        <v>22101475</v>
      </c>
      <c r="B13" s="127" t="str">
        <f>IFERROR(__xludf.DUMMYFUNCTION("""COMPUTED_VALUE"""),"Farsin Rahman Nahin")</f>
        <v>Farsin Rahman Nahin</v>
      </c>
      <c r="C13" s="128" t="str">
        <f>IFERROR(__xludf.DUMMYFUNCTION("""COMPUTED_VALUE"""),"Senior Executive")</f>
        <v>Senior Executive</v>
      </c>
      <c r="D13" s="128" t="str">
        <f>IFERROR(__xludf.DUMMYFUNCTION("""COMPUTED_VALUE"""),"farsin.rahman.nahin@g.bracu.ac.bd")</f>
        <v>farsin.rahman.nahin@g.bracu.ac.bd</v>
      </c>
    </row>
    <row r="14" ht="22.5" customHeight="1">
      <c r="A14" s="127">
        <f>IFERROR(__xludf.DUMMYFUNCTION("""COMPUTED_VALUE"""),2.414111E7)</f>
        <v>24141110</v>
      </c>
      <c r="B14" s="127" t="str">
        <f>IFERROR(__xludf.DUMMYFUNCTION("""COMPUTED_VALUE"""),"Samirah Alom Sarah")</f>
        <v>Samirah Alom Sarah</v>
      </c>
      <c r="C14" s="128" t="str">
        <f>IFERROR(__xludf.DUMMYFUNCTION("""COMPUTED_VALUE"""),"Senior Executive")</f>
        <v>Senior Executive</v>
      </c>
      <c r="D14" s="128" t="str">
        <f>IFERROR(__xludf.DUMMYFUNCTION("""COMPUTED_VALUE"""),"samirah.alom.sarah@g.bracu.ac.bd")</f>
        <v>samirah.alom.sarah@g.bracu.ac.bd</v>
      </c>
    </row>
    <row r="15" ht="22.5" customHeight="1">
      <c r="A15" s="127">
        <f>IFERROR(__xludf.DUMMYFUNCTION("""COMPUTED_VALUE"""),2.229928E7)</f>
        <v>22299280</v>
      </c>
      <c r="B15" s="127" t="str">
        <f>IFERROR(__xludf.DUMMYFUNCTION("""COMPUTED_VALUE"""),"Hamza Bin Islam")</f>
        <v>Hamza Bin Islam</v>
      </c>
      <c r="C15" s="128" t="str">
        <f>IFERROR(__xludf.DUMMYFUNCTION("""COMPUTED_VALUE"""),"Senior Executive")</f>
        <v>Senior Executive</v>
      </c>
      <c r="D15" s="128" t="str">
        <f>IFERROR(__xludf.DUMMYFUNCTION("""COMPUTED_VALUE"""),"hamza.bin.islam@g.bracu.ac.bd")</f>
        <v>hamza.bin.islam@g.bracu.ac.bd</v>
      </c>
    </row>
    <row r="16" ht="22.5" customHeight="1">
      <c r="A16" s="127">
        <f>IFERROR(__xludf.DUMMYFUNCTION("""COMPUTED_VALUE"""),2.2201898E7)</f>
        <v>22201898</v>
      </c>
      <c r="B16" s="127" t="str">
        <f>IFERROR(__xludf.DUMMYFUNCTION("""COMPUTED_VALUE"""),"Shahriar")</f>
        <v>Shahriar</v>
      </c>
      <c r="C16" s="128" t="str">
        <f>IFERROR(__xludf.DUMMYFUNCTION("""COMPUTED_VALUE"""),"Senior Executive")</f>
        <v>Senior Executive</v>
      </c>
      <c r="D16" s="128" t="str">
        <f>IFERROR(__xludf.DUMMYFUNCTION("""COMPUTED_VALUE"""),"shahriar@g.bracu.ac.bd")</f>
        <v>shahriar@g.bracu.ac.bd</v>
      </c>
    </row>
    <row r="17" ht="22.5" customHeight="1">
      <c r="A17" s="127">
        <f>IFERROR(__xludf.DUMMYFUNCTION("""COMPUTED_VALUE"""),2.2201299E7)</f>
        <v>22201299</v>
      </c>
      <c r="B17" s="127" t="str">
        <f>IFERROR(__xludf.DUMMYFUNCTION("""COMPUTED_VALUE"""),"Arnab Saha")</f>
        <v>Arnab Saha</v>
      </c>
      <c r="C17" s="128" t="str">
        <f>IFERROR(__xludf.DUMMYFUNCTION("""COMPUTED_VALUE"""),"Senior Executive")</f>
        <v>Senior Executive</v>
      </c>
      <c r="D17" s="128" t="str">
        <f>IFERROR(__xludf.DUMMYFUNCTION("""COMPUTED_VALUE"""),"arnab.saha1@g.bracu.ac.bd")</f>
        <v>arnab.saha1@g.bracu.ac.bd</v>
      </c>
    </row>
    <row r="18" ht="22.5" customHeight="1">
      <c r="A18" s="127">
        <f>IFERROR(__xludf.DUMMYFUNCTION("""COMPUTED_VALUE"""),2.3101467E7)</f>
        <v>23101467</v>
      </c>
      <c r="B18" s="127" t="str">
        <f>IFERROR(__xludf.DUMMYFUNCTION("""COMPUTED_VALUE"""),"Senan Sami")</f>
        <v>Senan Sami</v>
      </c>
      <c r="C18" s="128" t="str">
        <f>IFERROR(__xludf.DUMMYFUNCTION("""COMPUTED_VALUE"""),"Senior Executive")</f>
        <v>Senior Executive</v>
      </c>
      <c r="D18" s="128" t="str">
        <f>IFERROR(__xludf.DUMMYFUNCTION("""COMPUTED_VALUE"""),"senan.sami@g.bracu.ac.bd")</f>
        <v>senan.sami@g.bracu.ac.bd</v>
      </c>
    </row>
    <row r="19" ht="22.5" customHeight="1">
      <c r="A19" s="127">
        <f>IFERROR(__xludf.DUMMYFUNCTION("""COMPUTED_VALUE"""),2.2201955E7)</f>
        <v>22201955</v>
      </c>
      <c r="B19" s="127" t="str">
        <f>IFERROR(__xludf.DUMMYFUNCTION("""COMPUTED_VALUE"""),"Towfique Nishad")</f>
        <v>Towfique Nishad</v>
      </c>
      <c r="C19" s="128" t="str">
        <f>IFERROR(__xludf.DUMMYFUNCTION("""COMPUTED_VALUE"""),"Senior Executive")</f>
        <v>Senior Executive</v>
      </c>
      <c r="D19" s="128" t="str">
        <f>IFERROR(__xludf.DUMMYFUNCTION("""COMPUTED_VALUE"""),"towfique.nishad@g.bracu.ac.bd")</f>
        <v>towfique.nishad@g.bracu.ac.bd</v>
      </c>
    </row>
    <row r="20" ht="22.5" customHeight="1">
      <c r="A20" s="127">
        <f>IFERROR(__xludf.DUMMYFUNCTION("""COMPUTED_VALUE"""),2.2301669E7)</f>
        <v>22301669</v>
      </c>
      <c r="B20" s="127" t="str">
        <f>IFERROR(__xludf.DUMMYFUNCTION("""COMPUTED_VALUE"""),"Irfan Alam Rahi")</f>
        <v>Irfan Alam Rahi</v>
      </c>
      <c r="C20" s="128" t="str">
        <f>IFERROR(__xludf.DUMMYFUNCTION("""COMPUTED_VALUE"""),"Senior Executive")</f>
        <v>Senior Executive</v>
      </c>
      <c r="D20" s="128" t="str">
        <f>IFERROR(__xludf.DUMMYFUNCTION("""COMPUTED_VALUE"""),"irfan.alam.rahi@g.bracu.ac.bd")</f>
        <v>irfan.alam.rahi@g.bracu.ac.bd</v>
      </c>
    </row>
    <row r="21" ht="22.5" customHeight="1">
      <c r="A21" s="127">
        <f>IFERROR(__xludf.DUMMYFUNCTION("""COMPUTED_VALUE"""),2.2301331E7)</f>
        <v>22301331</v>
      </c>
      <c r="B21" s="127" t="str">
        <f>IFERROR(__xludf.DUMMYFUNCTION("""COMPUTED_VALUE"""),"Fariha yasmin")</f>
        <v>Fariha yasmin</v>
      </c>
      <c r="C21" s="128" t="str">
        <f>IFERROR(__xludf.DUMMYFUNCTION("""COMPUTED_VALUE"""),"Senior Executive")</f>
        <v>Senior Executive</v>
      </c>
      <c r="D21" s="128" t="str">
        <f>IFERROR(__xludf.DUMMYFUNCTION("""COMPUTED_VALUE"""),"fariha.yasmin@g.bracu.ac.bd")</f>
        <v>fariha.yasmin@g.bracu.ac.bd</v>
      </c>
    </row>
    <row r="22" ht="22.5" customHeight="1">
      <c r="A22" s="127">
        <f>IFERROR(__xludf.DUMMYFUNCTION("""COMPUTED_VALUE"""),2.2301531E7)</f>
        <v>22301531</v>
      </c>
      <c r="B22" s="127" t="str">
        <f>IFERROR(__xludf.DUMMYFUNCTION("""COMPUTED_VALUE"""),"Mahmudul Hassan Taseen")</f>
        <v>Mahmudul Hassan Taseen</v>
      </c>
      <c r="C22" s="128" t="str">
        <f>IFERROR(__xludf.DUMMYFUNCTION("""COMPUTED_VALUE"""),"Senior Executive")</f>
        <v>Senior Executive</v>
      </c>
      <c r="D22" s="128" t="str">
        <f>IFERROR(__xludf.DUMMYFUNCTION("""COMPUTED_VALUE"""),"mahmudul.hassan.taseen@g.bracu.ac.bd")</f>
        <v>mahmudul.hassan.taseen@g.bracu.ac.bd</v>
      </c>
    </row>
    <row r="23" ht="22.5" customHeight="1">
      <c r="A23" s="127">
        <f>IFERROR(__xludf.DUMMYFUNCTION("""COMPUTED_VALUE"""),2.3301425E7)</f>
        <v>23301425</v>
      </c>
      <c r="B23" s="127" t="str">
        <f>IFERROR(__xludf.DUMMYFUNCTION("""COMPUTED_VALUE"""),"Ishraq Ishat Khan")</f>
        <v>Ishraq Ishat Khan</v>
      </c>
      <c r="C23" s="128" t="str">
        <f>IFERROR(__xludf.DUMMYFUNCTION("""COMPUTED_VALUE"""),"Senior Executive")</f>
        <v>Senior Executive</v>
      </c>
      <c r="D23" s="128" t="str">
        <f>IFERROR(__xludf.DUMMYFUNCTION("""COMPUTED_VALUE"""),"ishraq.ishat.khan@g.bracu.ac.bd")</f>
        <v>ishraq.ishat.khan@g.bracu.ac.bd</v>
      </c>
    </row>
    <row r="24" ht="22.5" customHeight="1">
      <c r="A24" s="127">
        <f>IFERROR(__xludf.DUMMYFUNCTION("""COMPUTED_VALUE"""),1.000054988E9)</f>
        <v>1000054988</v>
      </c>
      <c r="B24" s="127" t="str">
        <f>IFERROR(__xludf.DUMMYFUNCTION("""COMPUTED_VALUE"""),"AFSHA IBNAT")</f>
        <v>AFSHA IBNAT</v>
      </c>
      <c r="C24" s="128" t="str">
        <f>IFERROR(__xludf.DUMMYFUNCTION("""COMPUTED_VALUE"""),"Executive")</f>
        <v>Executive</v>
      </c>
      <c r="D24" s="128" t="str">
        <f>IFERROR(__xludf.DUMMYFUNCTION("""COMPUTED_VALUE"""),"afsha.ibnat.jahin@g.bracu.ac.bd")</f>
        <v>afsha.ibnat.jahin@g.bracu.ac.bd</v>
      </c>
    </row>
    <row r="25" ht="22.5" customHeight="1">
      <c r="A25" s="127">
        <f>IFERROR(__xludf.DUMMYFUNCTION("""COMPUTED_VALUE"""),1.000055412E9)</f>
        <v>1000055412</v>
      </c>
      <c r="B25" s="127" t="str">
        <f>IFERROR(__xludf.DUMMYFUNCTION("""COMPUTED_VALUE"""),"Shraysee Shraya")</f>
        <v>Shraysee Shraya</v>
      </c>
      <c r="C25" s="128" t="str">
        <f>IFERROR(__xludf.DUMMYFUNCTION("""COMPUTED_VALUE"""),"Executive")</f>
        <v>Executive</v>
      </c>
      <c r="D25" s="128" t="str">
        <f>IFERROR(__xludf.DUMMYFUNCTION("""COMPUTED_VALUE"""),"shraysee.shraya@g.bracu.ac.bd")</f>
        <v>shraysee.shraya@g.bracu.ac.bd</v>
      </c>
    </row>
    <row r="26" ht="22.5" customHeight="1">
      <c r="A26" s="127">
        <f>IFERROR(__xludf.DUMMYFUNCTION("""COMPUTED_VALUE"""),1.000054125E9)</f>
        <v>1000054125</v>
      </c>
      <c r="B26" s="127" t="str">
        <f>IFERROR(__xludf.DUMMYFUNCTION("""COMPUTED_VALUE"""),"Bandhu Bilas Saha")</f>
        <v>Bandhu Bilas Saha</v>
      </c>
      <c r="C26" s="128" t="str">
        <f>IFERROR(__xludf.DUMMYFUNCTION("""COMPUTED_VALUE"""),"Executive")</f>
        <v>Executive</v>
      </c>
      <c r="D26" s="128" t="str">
        <f>IFERROR(__xludf.DUMMYFUNCTION("""COMPUTED_VALUE"""),"bandhu.bilas.saha@g.bracu.ac.bd")</f>
        <v>bandhu.bilas.saha@g.bracu.ac.bd</v>
      </c>
    </row>
    <row r="27" ht="22.5" customHeight="1">
      <c r="A27" s="127">
        <f>IFERROR(__xludf.DUMMYFUNCTION("""COMPUTED_VALUE"""),2.4121288E7)</f>
        <v>24121288</v>
      </c>
      <c r="B27" s="127" t="str">
        <f>IFERROR(__xludf.DUMMYFUNCTION("""COMPUTED_VALUE"""),"Aayan Anwar")</f>
        <v>Aayan Anwar</v>
      </c>
      <c r="C27" s="128" t="str">
        <f>IFERROR(__xludf.DUMMYFUNCTION("""COMPUTED_VALUE"""),"Executive")</f>
        <v>Executive</v>
      </c>
      <c r="D27" s="128" t="str">
        <f>IFERROR(__xludf.DUMMYFUNCTION("""COMPUTED_VALUE"""),"aayan.anwar@g.bracu.ac.bd")</f>
        <v>aayan.anwar@g.bracu.ac.bd</v>
      </c>
    </row>
    <row r="28" ht="22.5" customHeight="1">
      <c r="A28" s="127">
        <f>IFERROR(__xludf.DUMMYFUNCTION("""COMPUTED_VALUE"""),2.4321354E7)</f>
        <v>24321354</v>
      </c>
      <c r="B28" s="127" t="str">
        <f>IFERROR(__xludf.DUMMYFUNCTION("""COMPUTED_VALUE"""),"Atik Shahriar")</f>
        <v>Atik Shahriar</v>
      </c>
      <c r="C28" s="128" t="str">
        <f>IFERROR(__xludf.DUMMYFUNCTION("""COMPUTED_VALUE"""),"Executive")</f>
        <v>Executive</v>
      </c>
      <c r="D28" s="128" t="str">
        <f>IFERROR(__xludf.DUMMYFUNCTION("""COMPUTED_VALUE"""),"atik.shahriar@g.bracu.ac.bd")</f>
        <v>atik.shahriar@g.bracu.ac.bd</v>
      </c>
    </row>
    <row r="29" ht="22.5" customHeight="1">
      <c r="A29" s="127">
        <f>IFERROR(__xludf.DUMMYFUNCTION("""COMPUTED_VALUE"""),2.3101033E7)</f>
        <v>23101033</v>
      </c>
      <c r="B29" s="127" t="str">
        <f>IFERROR(__xludf.DUMMYFUNCTION("""COMPUTED_VALUE"""),"Tithi Bhattacharjee")</f>
        <v>Tithi Bhattacharjee</v>
      </c>
      <c r="C29" s="128" t="str">
        <f>IFERROR(__xludf.DUMMYFUNCTION("""COMPUTED_VALUE"""),"Executive")</f>
        <v>Executive</v>
      </c>
      <c r="D29" s="128" t="str">
        <f>IFERROR(__xludf.DUMMYFUNCTION("""COMPUTED_VALUE"""),"tithi.bhattacharjee@g.bracu.ac.bd")</f>
        <v>tithi.bhattacharjee@g.bracu.ac.bd</v>
      </c>
    </row>
    <row r="30" ht="22.5" customHeight="1">
      <c r="A30" s="127">
        <f>IFERROR(__xludf.DUMMYFUNCTION("""COMPUTED_VALUE"""),2.2101429E7)</f>
        <v>22101429</v>
      </c>
      <c r="B30" s="127" t="str">
        <f>IFERROR(__xludf.DUMMYFUNCTION("""COMPUTED_VALUE"""),"Sharif Mohammad Omar Faruq")</f>
        <v>Sharif Mohammad Omar Faruq</v>
      </c>
      <c r="C30" s="128" t="str">
        <f>IFERROR(__xludf.DUMMYFUNCTION("""COMPUTED_VALUE"""),"Executive")</f>
        <v>Executive</v>
      </c>
      <c r="D30" s="128" t="str">
        <f>IFERROR(__xludf.DUMMYFUNCTION("""COMPUTED_VALUE"""),"mohammad.omar.faruq@g.bracu.ac.bd")</f>
        <v>mohammad.omar.faruq@g.bracu.ac.bd</v>
      </c>
    </row>
    <row r="31" ht="22.5" customHeight="1">
      <c r="A31" s="127">
        <f>IFERROR(__xludf.DUMMYFUNCTION("""COMPUTED_VALUE"""),2.3301187E7)</f>
        <v>23301187</v>
      </c>
      <c r="B31" s="127" t="str">
        <f>IFERROR(__xludf.DUMMYFUNCTION("""COMPUTED_VALUE"""),"Yash Hammam")</f>
        <v>Yash Hammam</v>
      </c>
      <c r="C31" s="128" t="str">
        <f>IFERROR(__xludf.DUMMYFUNCTION("""COMPUTED_VALUE"""),"Executive")</f>
        <v>Executive</v>
      </c>
      <c r="D31" s="128" t="str">
        <f>IFERROR(__xludf.DUMMYFUNCTION("""COMPUTED_VALUE"""),"yash.hammam@g.bracu.ac.bd")</f>
        <v>yash.hammam@g.bracu.ac.bd</v>
      </c>
    </row>
    <row r="32" ht="22.5" customHeight="1">
      <c r="A32" s="127">
        <f>IFERROR(__xludf.DUMMYFUNCTION("""COMPUTED_VALUE"""),2.2299417E7)</f>
        <v>22299417</v>
      </c>
      <c r="B32" s="127" t="str">
        <f>IFERROR(__xludf.DUMMYFUNCTION("""COMPUTED_VALUE"""),"A.A.M Miad Islam")</f>
        <v>A.A.M Miad Islam</v>
      </c>
      <c r="C32" s="128" t="str">
        <f>IFERROR(__xludf.DUMMYFUNCTION("""COMPUTED_VALUE"""),"Executive")</f>
        <v>Executive</v>
      </c>
      <c r="D32" s="128" t="str">
        <f>IFERROR(__xludf.DUMMYFUNCTION("""COMPUTED_VALUE"""),"aam.miad.islam@g.bracu.ac.bd")</f>
        <v>aam.miad.islam@g.bracu.ac.bd</v>
      </c>
    </row>
    <row r="33" ht="22.5" customHeight="1">
      <c r="A33" s="127">
        <f>IFERROR(__xludf.DUMMYFUNCTION("""COMPUTED_VALUE"""),2.2201225E7)</f>
        <v>22201225</v>
      </c>
      <c r="B33" s="127" t="str">
        <f>IFERROR(__xludf.DUMMYFUNCTION("""COMPUTED_VALUE"""),"Sahela Khan Retu")</f>
        <v>Sahela Khan Retu</v>
      </c>
      <c r="C33" s="128" t="str">
        <f>IFERROR(__xludf.DUMMYFUNCTION("""COMPUTED_VALUE"""),"Executive")</f>
        <v>Executive</v>
      </c>
      <c r="D33" s="128" t="str">
        <f>IFERROR(__xludf.DUMMYFUNCTION("""COMPUTED_VALUE"""),"sahela.khan.retu@g.bracu.ac.bd")</f>
        <v>sahela.khan.retu@g.bracu.ac.bd</v>
      </c>
    </row>
    <row r="34" ht="22.5" customHeight="1">
      <c r="A34" s="127">
        <f>IFERROR(__xludf.DUMMYFUNCTION("""COMPUTED_VALUE"""),2.3201602E7)</f>
        <v>23201602</v>
      </c>
      <c r="B34" s="127" t="str">
        <f>IFERROR(__xludf.DUMMYFUNCTION("""COMPUTED_VALUE"""),"Taskia Ferdous Jhumu")</f>
        <v>Taskia Ferdous Jhumu</v>
      </c>
      <c r="C34" s="128" t="str">
        <f>IFERROR(__xludf.DUMMYFUNCTION("""COMPUTED_VALUE"""),"Executive")</f>
        <v>Executive</v>
      </c>
      <c r="D34" s="128" t="str">
        <f>IFERROR(__xludf.DUMMYFUNCTION("""COMPUTED_VALUE"""),"taskia.ferdous.jhumu@g.bracu.ac.bd")</f>
        <v>taskia.ferdous.jhumu@g.bracu.ac.bd</v>
      </c>
    </row>
    <row r="35" ht="22.5" customHeight="1">
      <c r="A35" s="127">
        <f>IFERROR(__xludf.DUMMYFUNCTION("""COMPUTED_VALUE"""),2.4301304E7)</f>
        <v>24301304</v>
      </c>
      <c r="B35" s="127" t="str">
        <f>IFERROR(__xludf.DUMMYFUNCTION("""COMPUTED_VALUE"""),"Mohammed Abtahi Intesir")</f>
        <v>Mohammed Abtahi Intesir</v>
      </c>
      <c r="C35" s="128" t="str">
        <f>IFERROR(__xludf.DUMMYFUNCTION("""COMPUTED_VALUE"""),"Executive")</f>
        <v>Executive</v>
      </c>
      <c r="D35" s="128" t="str">
        <f>IFERROR(__xludf.DUMMYFUNCTION("""COMPUTED_VALUE"""),"mohammed.abtahi.intesir@g.bracu.ac.bd")</f>
        <v>mohammed.abtahi.intesir@g.bracu.ac.bd</v>
      </c>
    </row>
    <row r="36" ht="22.5" customHeight="1">
      <c r="A36" s="127">
        <f>IFERROR(__xludf.DUMMYFUNCTION("""COMPUTED_VALUE"""),2.2241053E7)</f>
        <v>22241053</v>
      </c>
      <c r="B36" s="127" t="str">
        <f>IFERROR(__xludf.DUMMYFUNCTION("""COMPUTED_VALUE"""),"Moriam Akter")</f>
        <v>Moriam Akter</v>
      </c>
      <c r="C36" s="128" t="str">
        <f>IFERROR(__xludf.DUMMYFUNCTION("""COMPUTED_VALUE"""),"Executive")</f>
        <v>Executive</v>
      </c>
      <c r="D36" s="128" t="str">
        <f>IFERROR(__xludf.DUMMYFUNCTION("""COMPUTED_VALUE"""),"moriam.akter1@g.bracu.ac.bd")</f>
        <v>moriam.akter1@g.bracu.ac.bd</v>
      </c>
    </row>
    <row r="37" ht="22.5" customHeight="1">
      <c r="A37" s="127">
        <f>IFERROR(__xludf.DUMMYFUNCTION("""COMPUTED_VALUE"""),2.3301144E7)</f>
        <v>23301144</v>
      </c>
      <c r="B37" s="127" t="str">
        <f>IFERROR(__xludf.DUMMYFUNCTION("""COMPUTED_VALUE"""),"Md.Rifat Abdullah Sarker")</f>
        <v>Md.Rifat Abdullah Sarker</v>
      </c>
      <c r="C37" s="128" t="str">
        <f>IFERROR(__xludf.DUMMYFUNCTION("""COMPUTED_VALUE"""),"Executive")</f>
        <v>Executive</v>
      </c>
      <c r="D37" s="128" t="str">
        <f>IFERROR(__xludf.DUMMYFUNCTION("""COMPUTED_VALUE"""),"rifat.abdullah.sarkar@g.bracu.ac.bd")</f>
        <v>rifat.abdullah.sarkar@g.bracu.ac.bd</v>
      </c>
    </row>
    <row r="38" ht="22.5" customHeight="1">
      <c r="A38" s="127">
        <f>IFERROR(__xludf.DUMMYFUNCTION("""COMPUTED_VALUE"""),2.3201579E7)</f>
        <v>23201579</v>
      </c>
      <c r="B38" s="127" t="str">
        <f>IFERROR(__xludf.DUMMYFUNCTION("""COMPUTED_VALUE"""),"Md. Rafid Bin Hassan")</f>
        <v>Md. Rafid Bin Hassan</v>
      </c>
      <c r="C38" s="128" t="str">
        <f>IFERROR(__xludf.DUMMYFUNCTION("""COMPUTED_VALUE"""),"Executive")</f>
        <v>Executive</v>
      </c>
      <c r="D38" s="128" t="str">
        <f>IFERROR(__xludf.DUMMYFUNCTION("""COMPUTED_VALUE"""),"rafid.bin.hassan@g.bracu.ac.bd")</f>
        <v>rafid.bin.hassan@g.bracu.ac.bd</v>
      </c>
    </row>
    <row r="39" ht="22.5" customHeight="1">
      <c r="A39" s="127">
        <f>IFERROR(__xludf.DUMMYFUNCTION("""COMPUTED_VALUE"""),2.3101105E7)</f>
        <v>23101105</v>
      </c>
      <c r="B39" s="127" t="str">
        <f>IFERROR(__xludf.DUMMYFUNCTION("""COMPUTED_VALUE"""),"Mahir Faysal Metul")</f>
        <v>Mahir Faysal Metul</v>
      </c>
      <c r="C39" s="128" t="str">
        <f>IFERROR(__xludf.DUMMYFUNCTION("""COMPUTED_VALUE"""),"Executive")</f>
        <v>Executive</v>
      </c>
      <c r="D39" s="128" t="str">
        <f>IFERROR(__xludf.DUMMYFUNCTION("""COMPUTED_VALUE"""),"mahir.faysal.metul@g.bracu.ac.bd")</f>
        <v>mahir.faysal.metul@g.bracu.ac.bd</v>
      </c>
    </row>
    <row r="40" ht="22.5" customHeight="1">
      <c r="A40" s="127">
        <f>IFERROR(__xludf.DUMMYFUNCTION("""COMPUTED_VALUE"""),2.4101285E7)</f>
        <v>24101285</v>
      </c>
      <c r="B40" s="127" t="str">
        <f>IFERROR(__xludf.DUMMYFUNCTION("""COMPUTED_VALUE"""),"Afif Aktab Zaman Audry")</f>
        <v>Afif Aktab Zaman Audry</v>
      </c>
      <c r="C40" s="128" t="str">
        <f>IFERROR(__xludf.DUMMYFUNCTION("""COMPUTED_VALUE"""),"Executive")</f>
        <v>Executive</v>
      </c>
      <c r="D40" s="128" t="str">
        <f>IFERROR(__xludf.DUMMYFUNCTION("""COMPUTED_VALUE"""),"afif.aktab.zaman@g.bracu.ac.bd")</f>
        <v>afif.aktab.zaman@g.bracu.ac.bd</v>
      </c>
    </row>
    <row r="41" ht="22.5" customHeight="1">
      <c r="A41" s="127">
        <f>IFERROR(__xludf.DUMMYFUNCTION("""COMPUTED_VALUE"""),2.2299378E7)</f>
        <v>22299378</v>
      </c>
      <c r="B41" s="127" t="str">
        <f>IFERROR(__xludf.DUMMYFUNCTION("""COMPUTED_VALUE"""),"Abdullah Al Mamun")</f>
        <v>Abdullah Al Mamun</v>
      </c>
      <c r="C41" s="128" t="str">
        <f>IFERROR(__xludf.DUMMYFUNCTION("""COMPUTED_VALUE"""),"Executive")</f>
        <v>Executive</v>
      </c>
      <c r="D41" s="128" t="str">
        <f>IFERROR(__xludf.DUMMYFUNCTION("""COMPUTED_VALUE"""),"abdullah.al.mamun15@g.bracu.ac.bd")</f>
        <v>abdullah.al.mamun15@g.bracu.ac.bd</v>
      </c>
    </row>
    <row r="42" ht="22.5" customHeight="1">
      <c r="A42" s="127">
        <f>IFERROR(__xludf.DUMMYFUNCTION("""COMPUTED_VALUE"""),2.4315011E7)</f>
        <v>24315011</v>
      </c>
      <c r="B42" s="127" t="str">
        <f>IFERROR(__xludf.DUMMYFUNCTION("""COMPUTED_VALUE"""),"Myesha Zaman Ridika")</f>
        <v>Myesha Zaman Ridika</v>
      </c>
      <c r="C42" s="128" t="str">
        <f>IFERROR(__xludf.DUMMYFUNCTION("""COMPUTED_VALUE"""),"Executive")</f>
        <v>Executive</v>
      </c>
      <c r="D42" s="128" t="str">
        <f>IFERROR(__xludf.DUMMYFUNCTION("""COMPUTED_VALUE"""),"myesha.zaman.ridika@g.bracu.ac.bd")</f>
        <v>myesha.zaman.ridika@g.bracu.ac.bd</v>
      </c>
    </row>
    <row r="43" ht="22.5" customHeight="1">
      <c r="A43" s="127">
        <f>IFERROR(__xludf.DUMMYFUNCTION("""COMPUTED_VALUE"""),2.420106E7)</f>
        <v>24201060</v>
      </c>
      <c r="B43" s="127" t="str">
        <f>IFERROR(__xludf.DUMMYFUNCTION("""COMPUTED_VALUE"""),"Nadim Tanvir")</f>
        <v>Nadim Tanvir</v>
      </c>
      <c r="C43" s="128" t="str">
        <f>IFERROR(__xludf.DUMMYFUNCTION("""COMPUTED_VALUE"""),"Executive")</f>
        <v>Executive</v>
      </c>
      <c r="D43" s="128" t="str">
        <f>IFERROR(__xludf.DUMMYFUNCTION("""COMPUTED_VALUE"""),"nadim.tanvir@g.bracu.ac.bd")</f>
        <v>nadim.tanvir@g.bracu.ac.bd</v>
      </c>
    </row>
    <row r="44" ht="22.5" customHeight="1">
      <c r="A44" s="127">
        <f>IFERROR(__xludf.DUMMYFUNCTION("""COMPUTED_VALUE"""),2.4101555E7)</f>
        <v>24101555</v>
      </c>
      <c r="B44" s="127" t="str">
        <f>IFERROR(__xludf.DUMMYFUNCTION("""COMPUTED_VALUE"""),"Zinnia Nahid")</f>
        <v>Zinnia Nahid</v>
      </c>
      <c r="C44" s="128" t="str">
        <f>IFERROR(__xludf.DUMMYFUNCTION("""COMPUTED_VALUE"""),"Executive")</f>
        <v>Executive</v>
      </c>
      <c r="D44" s="128" t="str">
        <f>IFERROR(__xludf.DUMMYFUNCTION("""COMPUTED_VALUE"""),"zinnia.nahid@g.bracu.ac.bd")</f>
        <v>zinnia.nahid@g.bracu.ac.bd</v>
      </c>
    </row>
    <row r="45" ht="22.5" customHeight="1">
      <c r="A45" s="127">
        <f>IFERROR(__xludf.DUMMYFUNCTION("""COMPUTED_VALUE"""),2.4121292E7)</f>
        <v>24121292</v>
      </c>
      <c r="B45" s="127" t="str">
        <f>IFERROR(__xludf.DUMMYFUNCTION("""COMPUTED_VALUE"""),"Abdur Rahman Khalid")</f>
        <v>Abdur Rahman Khalid</v>
      </c>
      <c r="C45" s="128" t="str">
        <f>IFERROR(__xludf.DUMMYFUNCTION("""COMPUTED_VALUE"""),"Executive")</f>
        <v>Executive</v>
      </c>
      <c r="D45" s="128" t="str">
        <f>IFERROR(__xludf.DUMMYFUNCTION("""COMPUTED_VALUE"""),"abdur.rahman.khalid@g.bracu.ac.bd")</f>
        <v>abdur.rahman.khalid@g.bracu.ac.bd</v>
      </c>
    </row>
    <row r="46" ht="22.5" customHeight="1">
      <c r="A46" s="127">
        <f>IFERROR(__xludf.DUMMYFUNCTION("""COMPUTED_VALUE"""),2.4201303E7)</f>
        <v>24201303</v>
      </c>
      <c r="B46" s="127" t="str">
        <f>IFERROR(__xludf.DUMMYFUNCTION("""COMPUTED_VALUE"""),"Abrar Srabon")</f>
        <v>Abrar Srabon</v>
      </c>
      <c r="C46" s="128" t="str">
        <f>IFERROR(__xludf.DUMMYFUNCTION("""COMPUTED_VALUE"""),"Executive")</f>
        <v>Executive</v>
      </c>
      <c r="D46" s="128" t="str">
        <f>IFERROR(__xludf.DUMMYFUNCTION("""COMPUTED_VALUE"""),"abrar.srabon@g.bracu.ac.bd")</f>
        <v>abrar.srabon@g.bracu.ac.bd</v>
      </c>
    </row>
    <row r="47" ht="22.5" customHeight="1">
      <c r="A47" s="127">
        <f>IFERROR(__xludf.DUMMYFUNCTION("""COMPUTED_VALUE"""),1.000054039E9)</f>
        <v>1000054039</v>
      </c>
      <c r="B47" s="127" t="str">
        <f>IFERROR(__xludf.DUMMYFUNCTION("""COMPUTED_VALUE"""),"Aditya Banik")</f>
        <v>Aditya Banik</v>
      </c>
      <c r="C47" s="128" t="str">
        <f>IFERROR(__xludf.DUMMYFUNCTION("""COMPUTED_VALUE"""),"Executive")</f>
        <v>Executive</v>
      </c>
      <c r="D47" s="128" t="str">
        <f>IFERROR(__xludf.DUMMYFUNCTION("""COMPUTED_VALUE"""),"aditya.banik1@g.bracu.ac.bd")</f>
        <v>aditya.banik1@g.bracu.ac.bd</v>
      </c>
    </row>
    <row r="48" ht="22.5" customHeight="1">
      <c r="A48" s="127">
        <f>IFERROR(__xludf.DUMMYFUNCTION("""COMPUTED_VALUE"""),2.330152E7)</f>
        <v>23301520</v>
      </c>
      <c r="B48" s="127" t="str">
        <f>IFERROR(__xludf.DUMMYFUNCTION("""COMPUTED_VALUE"""),"Asif Iqbal")</f>
        <v>Asif Iqbal</v>
      </c>
      <c r="C48" s="128" t="str">
        <f>IFERROR(__xludf.DUMMYFUNCTION("""COMPUTED_VALUE"""),"Executive")</f>
        <v>Executive</v>
      </c>
      <c r="D48" s="128" t="str">
        <f>IFERROR(__xludf.DUMMYFUNCTION("""COMPUTED_VALUE"""),"asif.iqbal3@g.bracu.ac.bd")</f>
        <v>asif.iqbal3@g.bracu.ac.bd</v>
      </c>
    </row>
    <row r="49" ht="22.5" customHeight="1">
      <c r="A49" s="127">
        <f>IFERROR(__xludf.DUMMYFUNCTION("""COMPUTED_VALUE"""),2.330114E7)</f>
        <v>23301140</v>
      </c>
      <c r="B49" s="127" t="str">
        <f>IFERROR(__xludf.DUMMYFUNCTION("""COMPUTED_VALUE"""),"Raiyan Rahman")</f>
        <v>Raiyan Rahman</v>
      </c>
      <c r="C49" s="128" t="str">
        <f>IFERROR(__xludf.DUMMYFUNCTION("""COMPUTED_VALUE"""),"General Member")</f>
        <v>General Member</v>
      </c>
      <c r="D49" s="128" t="str">
        <f>IFERROR(__xludf.DUMMYFUNCTION("""COMPUTED_VALUE"""),"raiyan.rahman3@g.bracu.ac.bd")</f>
        <v>raiyan.rahman3@g.bracu.ac.bd</v>
      </c>
    </row>
    <row r="50" ht="22.5" customHeight="1">
      <c r="A50" s="127">
        <f>IFERROR(__xludf.DUMMYFUNCTION("""COMPUTED_VALUE"""),2.3301017E7)</f>
        <v>23301017</v>
      </c>
      <c r="B50" s="127" t="str">
        <f>IFERROR(__xludf.DUMMYFUNCTION("""COMPUTED_VALUE"""),"Md.Sanzid Rahman Sadik")</f>
        <v>Md.Sanzid Rahman Sadik</v>
      </c>
      <c r="C50" s="128" t="str">
        <f>IFERROR(__xludf.DUMMYFUNCTION("""COMPUTED_VALUE"""),"General Member")</f>
        <v>General Member</v>
      </c>
      <c r="D50" s="128" t="str">
        <f>IFERROR(__xludf.DUMMYFUNCTION("""COMPUTED_VALUE"""),"sanzid.rahman.sadik@g.bracu.ac.bd")</f>
        <v>sanzid.rahman.sadik@g.bracu.ac.bd</v>
      </c>
    </row>
    <row r="51" ht="22.5" customHeight="1">
      <c r="A51" s="127">
        <f>IFERROR(__xludf.DUMMYFUNCTION("""COMPUTED_VALUE"""),2.3241021E7)</f>
        <v>23241021</v>
      </c>
      <c r="B51" s="127" t="str">
        <f>IFERROR(__xludf.DUMMYFUNCTION("""COMPUTED_VALUE"""),"Ahmed Mahbub-E-Sadic")</f>
        <v>Ahmed Mahbub-E-Sadic</v>
      </c>
      <c r="C51" s="128" t="str">
        <f>IFERROR(__xludf.DUMMYFUNCTION("""COMPUTED_VALUE"""),"General Member")</f>
        <v>General Member</v>
      </c>
      <c r="D51" s="128" t="str">
        <f>IFERROR(__xludf.DUMMYFUNCTION("""COMPUTED_VALUE"""),"ahmedmahbub.e.sadic@g.bracu.ac.bd")</f>
        <v>ahmedmahbub.e.sadic@g.bracu.ac.bd</v>
      </c>
    </row>
    <row r="52" ht="22.5" customHeight="1">
      <c r="A52" s="127">
        <f>IFERROR(__xludf.DUMMYFUNCTION("""COMPUTED_VALUE"""),2.324102E7)</f>
        <v>23241020</v>
      </c>
      <c r="B52" s="127" t="str">
        <f>IFERROR(__xludf.DUMMYFUNCTION("""COMPUTED_VALUE"""),"Mahmudul Hasan Mahi")</f>
        <v>Mahmudul Hasan Mahi</v>
      </c>
      <c r="C52" s="128" t="str">
        <f>IFERROR(__xludf.DUMMYFUNCTION("""COMPUTED_VALUE"""),"General Member")</f>
        <v>General Member</v>
      </c>
      <c r="D52" s="128" t="str">
        <f>IFERROR(__xludf.DUMMYFUNCTION("""COMPUTED_VALUE"""),"mahmudul.hasan.mahi@g.bracu.ac.bd")</f>
        <v>mahmudul.hasan.mahi@g.bracu.ac.bd</v>
      </c>
    </row>
    <row r="53" ht="22.5" customHeight="1">
      <c r="A53" s="127">
        <f>IFERROR(__xludf.DUMMYFUNCTION("""COMPUTED_VALUE"""),2.3241015E7)</f>
        <v>23241015</v>
      </c>
      <c r="B53" s="127" t="str">
        <f>IFERROR(__xludf.DUMMYFUNCTION("""COMPUTED_VALUE"""),"Zawwad Ali Shah Ha-Mim")</f>
        <v>Zawwad Ali Shah Ha-Mim</v>
      </c>
      <c r="C53" s="128" t="str">
        <f>IFERROR(__xludf.DUMMYFUNCTION("""COMPUTED_VALUE"""),"General Member")</f>
        <v>General Member</v>
      </c>
      <c r="D53" s="128" t="str">
        <f>IFERROR(__xludf.DUMMYFUNCTION("""COMPUTED_VALUE"""),"zawwad.alishah.hamim@g.bracu.ac.bd")</f>
        <v>zawwad.alishah.hamim@g.bracu.ac.bd</v>
      </c>
    </row>
    <row r="54" ht="22.5" customHeight="1">
      <c r="A54" s="127">
        <f>IFERROR(__xludf.DUMMYFUNCTION("""COMPUTED_VALUE"""),2.3241002E7)</f>
        <v>23241002</v>
      </c>
      <c r="B54" s="127" t="str">
        <f>IFERROR(__xludf.DUMMYFUNCTION("""COMPUTED_VALUE"""),"Yasar Mostafa")</f>
        <v>Yasar Mostafa</v>
      </c>
      <c r="C54" s="128" t="str">
        <f>IFERROR(__xludf.DUMMYFUNCTION("""COMPUTED_VALUE"""),"General Member")</f>
        <v>General Member</v>
      </c>
      <c r="D54" s="128" t="str">
        <f>IFERROR(__xludf.DUMMYFUNCTION("""COMPUTED_VALUE"""),"yasar.mostafa.prionto@g.bracu.ac.bd")</f>
        <v>yasar.mostafa.prionto@g.bracu.ac.bd</v>
      </c>
    </row>
    <row r="55" ht="22.5" customHeight="1">
      <c r="A55" s="127">
        <f>IFERROR(__xludf.DUMMYFUNCTION("""COMPUTED_VALUE"""),2.3210005E7)</f>
        <v>23210005</v>
      </c>
      <c r="B55" s="127" t="str">
        <f>IFERROR(__xludf.DUMMYFUNCTION("""COMPUTED_VALUE"""),"Rufaida Tasneem Nuha")</f>
        <v>Rufaida Tasneem Nuha</v>
      </c>
      <c r="C55" s="128" t="str">
        <f>IFERROR(__xludf.DUMMYFUNCTION("""COMPUTED_VALUE"""),"General Member")</f>
        <v>General Member</v>
      </c>
      <c r="D55" s="128" t="str">
        <f>IFERROR(__xludf.DUMMYFUNCTION("""COMPUTED_VALUE"""),"rufaida.tasneem.nuha@g.bracu.ac.bd")</f>
        <v>rufaida.tasneem.nuha@g.bracu.ac.bd</v>
      </c>
    </row>
    <row r="56" ht="22.5" customHeight="1">
      <c r="A56" s="127">
        <f>IFERROR(__xludf.DUMMYFUNCTION("""COMPUTED_VALUE"""),2.3201572E7)</f>
        <v>23201572</v>
      </c>
      <c r="B56" s="127" t="str">
        <f>IFERROR(__xludf.DUMMYFUNCTION("""COMPUTED_VALUE"""),"Mohammad Tohsin Mridha")</f>
        <v>Mohammad Tohsin Mridha</v>
      </c>
      <c r="C56" s="128" t="str">
        <f>IFERROR(__xludf.DUMMYFUNCTION("""COMPUTED_VALUE"""),"General Member")</f>
        <v>General Member</v>
      </c>
      <c r="D56" s="128" t="str">
        <f>IFERROR(__xludf.DUMMYFUNCTION("""COMPUTED_VALUE"""),"mohammad.tohsin.mridha@g.bracu.ac.bd")</f>
        <v>mohammad.tohsin.mridha@g.bracu.ac.bd</v>
      </c>
    </row>
    <row r="57" ht="22.5" customHeight="1">
      <c r="A57" s="127">
        <f>IFERROR(__xludf.DUMMYFUNCTION("""COMPUTED_VALUE"""),2.3201488E7)</f>
        <v>23201488</v>
      </c>
      <c r="B57" s="127" t="str">
        <f>IFERROR(__xludf.DUMMYFUNCTION("""COMPUTED_VALUE"""),"Sadia Siddiqa")</f>
        <v>Sadia Siddiqa</v>
      </c>
      <c r="C57" s="128" t="str">
        <f>IFERROR(__xludf.DUMMYFUNCTION("""COMPUTED_VALUE"""),"General Member")</f>
        <v>General Member</v>
      </c>
      <c r="D57" s="128" t="str">
        <f>IFERROR(__xludf.DUMMYFUNCTION("""COMPUTED_VALUE"""),"sadia.siddiqa@g.bracu.ac.bd")</f>
        <v>sadia.siddiqa@g.bracu.ac.bd</v>
      </c>
    </row>
    <row r="58" ht="22.5" customHeight="1">
      <c r="A58" s="127">
        <f>IFERROR(__xludf.DUMMYFUNCTION("""COMPUTED_VALUE"""),2.3201434E7)</f>
        <v>23201434</v>
      </c>
      <c r="B58" s="127" t="str">
        <f>IFERROR(__xludf.DUMMYFUNCTION("""COMPUTED_VALUE"""),"A R M Shadman Suham Khan")</f>
        <v>A R M Shadman Suham Khan</v>
      </c>
      <c r="C58" s="128" t="str">
        <f>IFERROR(__xludf.DUMMYFUNCTION("""COMPUTED_VALUE"""),"General Member")</f>
        <v>General Member</v>
      </c>
      <c r="D58" s="128" t="str">
        <f>IFERROR(__xludf.DUMMYFUNCTION("""COMPUTED_VALUE"""),"shadman.suham.khan@g.bracu.ac.bd")</f>
        <v>shadman.suham.khan@g.bracu.ac.bd</v>
      </c>
    </row>
    <row r="59" ht="22.5" customHeight="1">
      <c r="A59" s="127">
        <f>IFERROR(__xludf.DUMMYFUNCTION("""COMPUTED_VALUE"""),2.3201294E7)</f>
        <v>23201294</v>
      </c>
      <c r="B59" s="127" t="str">
        <f>IFERROR(__xludf.DUMMYFUNCTION("""COMPUTED_VALUE"""),"Tanvir Hasan")</f>
        <v>Tanvir Hasan</v>
      </c>
      <c r="C59" s="128" t="str">
        <f>IFERROR(__xludf.DUMMYFUNCTION("""COMPUTED_VALUE"""),"General Member")</f>
        <v>General Member</v>
      </c>
      <c r="D59" s="128" t="str">
        <f>IFERROR(__xludf.DUMMYFUNCTION("""COMPUTED_VALUE"""),"tanvir.hasan1@g.bracu.ac.bd")</f>
        <v>tanvir.hasan1@g.bracu.ac.bd</v>
      </c>
    </row>
    <row r="60" ht="22.5" customHeight="1">
      <c r="A60" s="127">
        <f>IFERROR(__xludf.DUMMYFUNCTION("""COMPUTED_VALUE"""),2.3101456E7)</f>
        <v>23101456</v>
      </c>
      <c r="B60" s="127" t="str">
        <f>IFERROR(__xludf.DUMMYFUNCTION("""COMPUTED_VALUE"""),"Syed Sadab Bin Noor")</f>
        <v>Syed Sadab Bin Noor</v>
      </c>
      <c r="C60" s="128" t="str">
        <f>IFERROR(__xludf.DUMMYFUNCTION("""COMPUTED_VALUE"""),"General Member")</f>
        <v>General Member</v>
      </c>
      <c r="D60" s="128" t="str">
        <f>IFERROR(__xludf.DUMMYFUNCTION("""COMPUTED_VALUE"""),"sadab.bin.noor@g.bracu.ac.bd")</f>
        <v>sadab.bin.noor@g.bracu.ac.bd</v>
      </c>
    </row>
    <row r="61" ht="22.5" customHeight="1">
      <c r="A61" s="127">
        <f>IFERROR(__xludf.DUMMYFUNCTION("""COMPUTED_VALUE"""),2.3101452E7)</f>
        <v>23101452</v>
      </c>
      <c r="B61" s="127" t="str">
        <f>IFERROR(__xludf.DUMMYFUNCTION("""COMPUTED_VALUE"""),"A.S.M. Asif Islam")</f>
        <v>A.S.M. Asif Islam</v>
      </c>
      <c r="C61" s="128" t="str">
        <f>IFERROR(__xludf.DUMMYFUNCTION("""COMPUTED_VALUE"""),"General Member")</f>
        <v>General Member</v>
      </c>
      <c r="D61" s="128" t="str">
        <f>IFERROR(__xludf.DUMMYFUNCTION("""COMPUTED_VALUE"""),"asm.asif.islam@g.bracu.ac.bd")</f>
        <v>asm.asif.islam@g.bracu.ac.bd</v>
      </c>
    </row>
    <row r="62" ht="22.5" customHeight="1">
      <c r="A62" s="127">
        <f>IFERROR(__xludf.DUMMYFUNCTION("""COMPUTED_VALUE"""),2.3101387E7)</f>
        <v>23101387</v>
      </c>
      <c r="B62" s="127" t="str">
        <f>IFERROR(__xludf.DUMMYFUNCTION("""COMPUTED_VALUE"""),"Md Ashique Anjam Rupom")</f>
        <v>Md Ashique Anjam Rupom</v>
      </c>
      <c r="C62" s="128" t="str">
        <f>IFERROR(__xludf.DUMMYFUNCTION("""COMPUTED_VALUE"""),"General Member")</f>
        <v>General Member</v>
      </c>
      <c r="D62" s="128" t="str">
        <f>IFERROR(__xludf.DUMMYFUNCTION("""COMPUTED_VALUE"""),"ashique.anjam.rupom@g.bracu.ac.bd")</f>
        <v>ashique.anjam.rupom@g.bracu.ac.bd</v>
      </c>
    </row>
    <row r="63" ht="22.5" customHeight="1">
      <c r="A63" s="127">
        <f>IFERROR(__xludf.DUMMYFUNCTION("""COMPUTED_VALUE"""),2.3101343E7)</f>
        <v>23101343</v>
      </c>
      <c r="B63" s="127" t="str">
        <f>IFERROR(__xludf.DUMMYFUNCTION("""COMPUTED_VALUE"""),"Jawad Ibtahaj")</f>
        <v>Jawad Ibtahaj</v>
      </c>
      <c r="C63" s="128" t="str">
        <f>IFERROR(__xludf.DUMMYFUNCTION("""COMPUTED_VALUE"""),"General Member")</f>
        <v>General Member</v>
      </c>
      <c r="D63" s="128" t="str">
        <f>IFERROR(__xludf.DUMMYFUNCTION("""COMPUTED_VALUE"""),"jawadibtahaj.bin.sattar@g.bracu.ac.bd")</f>
        <v>jawadibtahaj.bin.sattar@g.bracu.ac.bd</v>
      </c>
    </row>
    <row r="64" ht="22.5" customHeight="1">
      <c r="A64" s="127">
        <f>IFERROR(__xludf.DUMMYFUNCTION("""COMPUTED_VALUE"""),2.3101326E7)</f>
        <v>23101326</v>
      </c>
      <c r="B64" s="127" t="str">
        <f>IFERROR(__xludf.DUMMYFUNCTION("""COMPUTED_VALUE"""),"Soumen Purkayastha")</f>
        <v>Soumen Purkayastha</v>
      </c>
      <c r="C64" s="128" t="str">
        <f>IFERROR(__xludf.DUMMYFUNCTION("""COMPUTED_VALUE"""),"General Member")</f>
        <v>General Member</v>
      </c>
      <c r="D64" s="128" t="str">
        <f>IFERROR(__xludf.DUMMYFUNCTION("""COMPUTED_VALUE"""),"Soumen.purkayastha@g.bracu.ac.bd")</f>
        <v>Soumen.purkayastha@g.bracu.ac.bd</v>
      </c>
    </row>
    <row r="65" ht="22.5" customHeight="1">
      <c r="A65" s="127">
        <f>IFERROR(__xludf.DUMMYFUNCTION("""COMPUTED_VALUE"""),2.3101277E7)</f>
        <v>23101277</v>
      </c>
      <c r="B65" s="127" t="str">
        <f>IFERROR(__xludf.DUMMYFUNCTION("""COMPUTED_VALUE"""),"Jh Wasi")</f>
        <v>Jh Wasi</v>
      </c>
      <c r="C65" s="128" t="str">
        <f>IFERROR(__xludf.DUMMYFUNCTION("""COMPUTED_VALUE"""),"General Member")</f>
        <v>General Member</v>
      </c>
      <c r="D65" s="128" t="str">
        <f>IFERROR(__xludf.DUMMYFUNCTION("""COMPUTED_VALUE"""),"julkifl.hasan.wasi@g.bracu.ac.bd")</f>
        <v>julkifl.hasan.wasi@g.bracu.ac.bd</v>
      </c>
    </row>
    <row r="66" ht="22.5" customHeight="1">
      <c r="A66" s="127">
        <f>IFERROR(__xludf.DUMMYFUNCTION("""COMPUTED_VALUE"""),2.3101268E7)</f>
        <v>23101268</v>
      </c>
      <c r="B66" s="127" t="str">
        <f>IFERROR(__xludf.DUMMYFUNCTION("""COMPUTED_VALUE"""),"Mehjabin Iqbal Efa")</f>
        <v>Mehjabin Iqbal Efa</v>
      </c>
      <c r="C66" s="128" t="str">
        <f>IFERROR(__xludf.DUMMYFUNCTION("""COMPUTED_VALUE"""),"General Member")</f>
        <v>General Member</v>
      </c>
      <c r="D66" s="128" t="str">
        <f>IFERROR(__xludf.DUMMYFUNCTION("""COMPUTED_VALUE"""),"mehjabin.iqbal.efa @g.bracu.ac.bd")</f>
        <v>mehjabin.iqbal.efa @g.bracu.ac.bd</v>
      </c>
    </row>
    <row r="67" ht="22.5" customHeight="1">
      <c r="A67" s="127">
        <f>IFERROR(__xludf.DUMMYFUNCTION("""COMPUTED_VALUE"""),2.3101261E7)</f>
        <v>23101261</v>
      </c>
      <c r="B67" s="127" t="str">
        <f>IFERROR(__xludf.DUMMYFUNCTION("""COMPUTED_VALUE"""),"Jarin Tasnim Dia")</f>
        <v>Jarin Tasnim Dia</v>
      </c>
      <c r="C67" s="128" t="str">
        <f>IFERROR(__xludf.DUMMYFUNCTION("""COMPUTED_VALUE"""),"General Member")</f>
        <v>General Member</v>
      </c>
      <c r="D67" s="128" t="str">
        <f>IFERROR(__xludf.DUMMYFUNCTION("""COMPUTED_VALUE"""),"jarin.tasnim.dia@g.bracu.ac.bd")</f>
        <v>jarin.tasnim.dia@g.bracu.ac.bd</v>
      </c>
    </row>
    <row r="68" ht="22.5" customHeight="1">
      <c r="A68" s="127">
        <f>IFERROR(__xludf.DUMMYFUNCTION("""COMPUTED_VALUE"""),2.3101196E7)</f>
        <v>23101196</v>
      </c>
      <c r="B68" s="127" t="str">
        <f>IFERROR(__xludf.DUMMYFUNCTION("""COMPUTED_VALUE"""),"Nandini Das Jhumu")</f>
        <v>Nandini Das Jhumu</v>
      </c>
      <c r="C68" s="128" t="str">
        <f>IFERROR(__xludf.DUMMYFUNCTION("""COMPUTED_VALUE"""),"General Member")</f>
        <v>General Member</v>
      </c>
      <c r="D68" s="128" t="str">
        <f>IFERROR(__xludf.DUMMYFUNCTION("""COMPUTED_VALUE"""),"nandini.das.jhumu@g.bracu.ac.bd")</f>
        <v>nandini.das.jhumu@g.bracu.ac.bd</v>
      </c>
    </row>
    <row r="69" ht="22.5" customHeight="1">
      <c r="A69" s="127">
        <f>IFERROR(__xludf.DUMMYFUNCTION("""COMPUTED_VALUE"""),2.3101119E7)</f>
        <v>23101119</v>
      </c>
      <c r="B69" s="127" t="str">
        <f>IFERROR(__xludf.DUMMYFUNCTION("""COMPUTED_VALUE"""),"Manjur Kader Shuvo")</f>
        <v>Manjur Kader Shuvo</v>
      </c>
      <c r="C69" s="128" t="str">
        <f>IFERROR(__xludf.DUMMYFUNCTION("""COMPUTED_VALUE"""),"General Member")</f>
        <v>General Member</v>
      </c>
      <c r="D69" s="128" t="str">
        <f>IFERROR(__xludf.DUMMYFUNCTION("""COMPUTED_VALUE"""),"manjur.kader.shuvo@g.bracu.ac.bd")</f>
        <v>manjur.kader.shuvo@g.bracu.ac.bd</v>
      </c>
    </row>
    <row r="70" ht="22.5" customHeight="1">
      <c r="A70" s="127">
        <f>IFERROR(__xludf.DUMMYFUNCTION("""COMPUTED_VALUE"""),2.3101089E7)</f>
        <v>23101089</v>
      </c>
      <c r="B70" s="127" t="str">
        <f>IFERROR(__xludf.DUMMYFUNCTION("""COMPUTED_VALUE"""),"Mohammad Taysir Chowdhury")</f>
        <v>Mohammad Taysir Chowdhury</v>
      </c>
      <c r="C70" s="128" t="str">
        <f>IFERROR(__xludf.DUMMYFUNCTION("""COMPUTED_VALUE"""),"General Member")</f>
        <v>General Member</v>
      </c>
      <c r="D70" s="128" t="str">
        <f>IFERROR(__xludf.DUMMYFUNCTION("""COMPUTED_VALUE"""),"mohammad.taysir.chowdhury@g.bracu.ac.bd")</f>
        <v>mohammad.taysir.chowdhury@g.bracu.ac.bd</v>
      </c>
    </row>
    <row r="71" ht="22.5" customHeight="1">
      <c r="A71" s="127">
        <f>IFERROR(__xludf.DUMMYFUNCTION("""COMPUTED_VALUE"""),2.3101087E7)</f>
        <v>23101087</v>
      </c>
      <c r="B71" s="127" t="str">
        <f>IFERROR(__xludf.DUMMYFUNCTION("""COMPUTED_VALUE"""),"Suppreo Sen Suvro")</f>
        <v>Suppreo Sen Suvro</v>
      </c>
      <c r="C71" s="128" t="str">
        <f>IFERROR(__xludf.DUMMYFUNCTION("""COMPUTED_VALUE"""),"General Member")</f>
        <v>General Member</v>
      </c>
      <c r="D71" s="128" t="str">
        <f>IFERROR(__xludf.DUMMYFUNCTION("""COMPUTED_VALUE"""),"suppreo.sen.suvro@g.bracu.ac.bd")</f>
        <v>suppreo.sen.suvro@g.bracu.ac.bd</v>
      </c>
    </row>
    <row r="72" ht="22.5" customHeight="1">
      <c r="A72" s="127">
        <f>IFERROR(__xludf.DUMMYFUNCTION("""COMPUTED_VALUE"""),2.2341028E7)</f>
        <v>22341028</v>
      </c>
      <c r="B72" s="127" t="str">
        <f>IFERROR(__xludf.DUMMYFUNCTION("""COMPUTED_VALUE"""),"Md. Murad Al Hasan")</f>
        <v>Md. Murad Al Hasan</v>
      </c>
      <c r="C72" s="128" t="str">
        <f>IFERROR(__xludf.DUMMYFUNCTION("""COMPUTED_VALUE"""),"General Member")</f>
        <v>General Member</v>
      </c>
      <c r="D72" s="128" t="str">
        <f>IFERROR(__xludf.DUMMYFUNCTION("""COMPUTED_VALUE"""),"md.murad.al.hasan@g.bracu.ac.bd")</f>
        <v>md.murad.al.hasan@g.bracu.ac.bd</v>
      </c>
    </row>
    <row r="73" ht="22.5" customHeight="1">
      <c r="A73" s="127">
        <f>IFERROR(__xludf.DUMMYFUNCTION("""COMPUTED_VALUE"""),2.234102E7)</f>
        <v>22341020</v>
      </c>
      <c r="B73" s="127" t="str">
        <f>IFERROR(__xludf.DUMMYFUNCTION("""COMPUTED_VALUE"""),"Saniyat Firoz Khan")</f>
        <v>Saniyat Firoz Khan</v>
      </c>
      <c r="C73" s="128" t="str">
        <f>IFERROR(__xludf.DUMMYFUNCTION("""COMPUTED_VALUE"""),"General Member")</f>
        <v>General Member</v>
      </c>
      <c r="D73" s="128" t="str">
        <f>IFERROR(__xludf.DUMMYFUNCTION("""COMPUTED_VALUE"""),"saniyat.firoz.khan@g.bracu.ac.bd")</f>
        <v>saniyat.firoz.khan@g.bracu.ac.bd</v>
      </c>
    </row>
    <row r="74" ht="22.5" customHeight="1">
      <c r="A74" s="127">
        <f>IFERROR(__xludf.DUMMYFUNCTION("""COMPUTED_VALUE"""),2.2301651E7)</f>
        <v>22301651</v>
      </c>
      <c r="B74" s="127" t="str">
        <f>IFERROR(__xludf.DUMMYFUNCTION("""COMPUTED_VALUE"""),"Md.Nabil Thahamid Chowdhury")</f>
        <v>Md.Nabil Thahamid Chowdhury</v>
      </c>
      <c r="C74" s="128" t="str">
        <f>IFERROR(__xludf.DUMMYFUNCTION("""COMPUTED_VALUE"""),"General Member")</f>
        <v>General Member</v>
      </c>
      <c r="D74" s="128" t="str">
        <f>IFERROR(__xludf.DUMMYFUNCTION("""COMPUTED_VALUE"""),"nabil.thahamid.chowdhury@g.bracu.ac.bd")</f>
        <v>nabil.thahamid.chowdhury@g.bracu.ac.bd</v>
      </c>
    </row>
    <row r="75" ht="22.5" customHeight="1">
      <c r="A75" s="127">
        <f>IFERROR(__xludf.DUMMYFUNCTION("""COMPUTED_VALUE"""),2.230153E7)</f>
        <v>22301530</v>
      </c>
      <c r="B75" s="127" t="str">
        <f>IFERROR(__xludf.DUMMYFUNCTION("""COMPUTED_VALUE"""),"Fateha-E-Noor")</f>
        <v>Fateha-E-Noor</v>
      </c>
      <c r="C75" s="128" t="str">
        <f>IFERROR(__xludf.DUMMYFUNCTION("""COMPUTED_VALUE"""),"General Member")</f>
        <v>General Member</v>
      </c>
      <c r="D75" s="128" t="str">
        <f>IFERROR(__xludf.DUMMYFUNCTION("""COMPUTED_VALUE"""),"fateha.e.noor@g.bracu.ac.bd")</f>
        <v>fateha.e.noor@g.bracu.ac.bd</v>
      </c>
    </row>
    <row r="76" ht="22.5" customHeight="1">
      <c r="A76" s="127">
        <f>IFERROR(__xludf.DUMMYFUNCTION("""COMPUTED_VALUE"""),2.2301481E7)</f>
        <v>22301481</v>
      </c>
      <c r="B76" s="127" t="str">
        <f>IFERROR(__xludf.DUMMYFUNCTION("""COMPUTED_VALUE"""),"Rafiul Bari Chowdhury")</f>
        <v>Rafiul Bari Chowdhury</v>
      </c>
      <c r="C76" s="128" t="str">
        <f>IFERROR(__xludf.DUMMYFUNCTION("""COMPUTED_VALUE"""),"General Member")</f>
        <v>General Member</v>
      </c>
      <c r="D76" s="128" t="str">
        <f>IFERROR(__xludf.DUMMYFUNCTION("""COMPUTED_VALUE"""),"rafiul.bari.chowdhury@g.bracu.ac.bd")</f>
        <v>rafiul.bari.chowdhury@g.bracu.ac.bd</v>
      </c>
    </row>
    <row r="77" ht="22.5" customHeight="1">
      <c r="A77" s="127">
        <f>IFERROR(__xludf.DUMMYFUNCTION("""COMPUTED_VALUE"""),2.2301354E7)</f>
        <v>22301354</v>
      </c>
      <c r="B77" s="127" t="str">
        <f>IFERROR(__xludf.DUMMYFUNCTION("""COMPUTED_VALUE"""),"Zannaty Aziza")</f>
        <v>Zannaty Aziza</v>
      </c>
      <c r="C77" s="128" t="str">
        <f>IFERROR(__xludf.DUMMYFUNCTION("""COMPUTED_VALUE"""),"General Member")</f>
        <v>General Member</v>
      </c>
      <c r="D77" s="128" t="str">
        <f>IFERROR(__xludf.DUMMYFUNCTION("""COMPUTED_VALUE"""),"zannaty.aziza@g.bracu.ac.bd")</f>
        <v>zannaty.aziza@g.bracu.ac.bd</v>
      </c>
    </row>
    <row r="78" ht="22.5" customHeight="1">
      <c r="A78" s="127">
        <f>IFERROR(__xludf.DUMMYFUNCTION("""COMPUTED_VALUE"""),2.2301291E7)</f>
        <v>22301291</v>
      </c>
      <c r="B78" s="127" t="str">
        <f>IFERROR(__xludf.DUMMYFUNCTION("""COMPUTED_VALUE"""),"Faiyaz Hossain")</f>
        <v>Faiyaz Hossain</v>
      </c>
      <c r="C78" s="128" t="str">
        <f>IFERROR(__xludf.DUMMYFUNCTION("""COMPUTED_VALUE"""),"General Member")</f>
        <v>General Member</v>
      </c>
      <c r="D78" s="128" t="str">
        <f>IFERROR(__xludf.DUMMYFUNCTION("""COMPUTED_VALUE"""),"faiyaz.hossain@g.bracu.ac.bd")</f>
        <v>faiyaz.hossain@g.bracu.ac.bd</v>
      </c>
    </row>
    <row r="79" ht="22.5" customHeight="1">
      <c r="A79" s="127">
        <f>IFERROR(__xludf.DUMMYFUNCTION("""COMPUTED_VALUE"""),2.2301097E7)</f>
        <v>22301097</v>
      </c>
      <c r="B79" s="127" t="str">
        <f>IFERROR(__xludf.DUMMYFUNCTION("""COMPUTED_VALUE"""),"Sabbir Mahmud")</f>
        <v>Sabbir Mahmud</v>
      </c>
      <c r="C79" s="128" t="str">
        <f>IFERROR(__xludf.DUMMYFUNCTION("""COMPUTED_VALUE"""),"General Member")</f>
        <v>General Member</v>
      </c>
      <c r="D79" s="128" t="str">
        <f>IFERROR(__xludf.DUMMYFUNCTION("""COMPUTED_VALUE"""),"sabbir.mahmud.rifat@g.bracu.ac.bd")</f>
        <v>sabbir.mahmud.rifat@g.bracu.ac.bd</v>
      </c>
    </row>
    <row r="80" ht="22.5" customHeight="1">
      <c r="A80" s="127">
        <f>IFERROR(__xludf.DUMMYFUNCTION("""COMPUTED_VALUE"""),2.2301096E7)</f>
        <v>22301096</v>
      </c>
      <c r="B80" s="127" t="str">
        <f>IFERROR(__xludf.DUMMYFUNCTION("""COMPUTED_VALUE"""),"Meraj Mahamud")</f>
        <v>Meraj Mahamud</v>
      </c>
      <c r="C80" s="128" t="str">
        <f>IFERROR(__xludf.DUMMYFUNCTION("""COMPUTED_VALUE"""),"General Member")</f>
        <v>General Member</v>
      </c>
      <c r="D80" s="128" t="str">
        <f>IFERROR(__xludf.DUMMYFUNCTION("""COMPUTED_VALUE"""),"md.meraj.mahamud@g.bracu.ac.bd")</f>
        <v>md.meraj.mahamud@g.bracu.ac.bd</v>
      </c>
    </row>
    <row r="81" ht="22.5" customHeight="1">
      <c r="A81" s="127">
        <f>IFERROR(__xludf.DUMMYFUNCTION("""COMPUTED_VALUE"""),2.2299505E7)</f>
        <v>22299505</v>
      </c>
      <c r="B81" s="127" t="str">
        <f>IFERROR(__xludf.DUMMYFUNCTION("""COMPUTED_VALUE"""),"Md. Abid Ali")</f>
        <v>Md. Abid Ali</v>
      </c>
      <c r="C81" s="128" t="str">
        <f>IFERROR(__xludf.DUMMYFUNCTION("""COMPUTED_VALUE"""),"General Member")</f>
        <v>General Member</v>
      </c>
      <c r="D81" s="128" t="str">
        <f>IFERROR(__xludf.DUMMYFUNCTION("""COMPUTED_VALUE"""),"md.abid.ali1@g.bracu.ac.bd")</f>
        <v>md.abid.ali1@g.bracu.ac.bd</v>
      </c>
    </row>
    <row r="82" ht="22.5" customHeight="1">
      <c r="A82" s="127">
        <f>IFERROR(__xludf.DUMMYFUNCTION("""COMPUTED_VALUE"""),2.2299439E7)</f>
        <v>22299439</v>
      </c>
      <c r="B82" s="127" t="str">
        <f>IFERROR(__xludf.DUMMYFUNCTION("""COMPUTED_VALUE"""),"Kaoushik Debnath Joy")</f>
        <v>Kaoushik Debnath Joy</v>
      </c>
      <c r="C82" s="128" t="str">
        <f>IFERROR(__xludf.DUMMYFUNCTION("""COMPUTED_VALUE"""),"General Member")</f>
        <v>General Member</v>
      </c>
      <c r="D82" s="128" t="str">
        <f>IFERROR(__xludf.DUMMYFUNCTION("""COMPUTED_VALUE"""),"kaoushik.debnath.joy@g.bracu.ac.bd")</f>
        <v>kaoushik.debnath.joy@g.bracu.ac.bd</v>
      </c>
    </row>
    <row r="83" ht="22.5" customHeight="1">
      <c r="A83" s="127">
        <f>IFERROR(__xludf.DUMMYFUNCTION("""COMPUTED_VALUE"""),2.2299333E7)</f>
        <v>22299333</v>
      </c>
      <c r="B83" s="127" t="str">
        <f>IFERROR(__xludf.DUMMYFUNCTION("""COMPUTED_VALUE"""),"Nabila Islam")</f>
        <v>Nabila Islam</v>
      </c>
      <c r="C83" s="128" t="str">
        <f>IFERROR(__xludf.DUMMYFUNCTION("""COMPUTED_VALUE"""),"General Member")</f>
        <v>General Member</v>
      </c>
      <c r="D83" s="128" t="str">
        <f>IFERROR(__xludf.DUMMYFUNCTION("""COMPUTED_VALUE"""),"Nabela.islam@g.bracu.ac.bd")</f>
        <v>Nabela.islam@g.bracu.ac.bd</v>
      </c>
    </row>
    <row r="84" ht="22.5" customHeight="1">
      <c r="A84" s="127">
        <f>IFERROR(__xludf.DUMMYFUNCTION("""COMPUTED_VALUE"""),2.2299262E7)</f>
        <v>22299262</v>
      </c>
      <c r="B84" s="127" t="str">
        <f>IFERROR(__xludf.DUMMYFUNCTION("""COMPUTED_VALUE"""),"Md Al Farabi")</f>
        <v>Md Al Farabi</v>
      </c>
      <c r="C84" s="128" t="str">
        <f>IFERROR(__xludf.DUMMYFUNCTION("""COMPUTED_VALUE"""),"General Member")</f>
        <v>General Member</v>
      </c>
      <c r="D84" s="128" t="str">
        <f>IFERROR(__xludf.DUMMYFUNCTION("""COMPUTED_VALUE"""),"md.al.farabi1@g.bracu.ac.bd")</f>
        <v>md.al.farabi1@g.bracu.ac.bd</v>
      </c>
    </row>
    <row r="85" ht="22.5" customHeight="1">
      <c r="A85" s="127">
        <f>IFERROR(__xludf.DUMMYFUNCTION("""COMPUTED_VALUE"""),2.2299122E7)</f>
        <v>22299122</v>
      </c>
      <c r="B85" s="127" t="str">
        <f>IFERROR(__xludf.DUMMYFUNCTION("""COMPUTED_VALUE"""),"A K.M Sazidur Rahman")</f>
        <v>A K.M Sazidur Rahman</v>
      </c>
      <c r="C85" s="128" t="str">
        <f>IFERROR(__xludf.DUMMYFUNCTION("""COMPUTED_VALUE"""),"General Member")</f>
        <v>General Member</v>
      </c>
      <c r="D85" s="128" t="str">
        <f>IFERROR(__xludf.DUMMYFUNCTION("""COMPUTED_VALUE"""),"akm.sazidur.rahman@g.bracu.ac.bd")</f>
        <v>akm.sazidur.rahman@g.bracu.ac.bd</v>
      </c>
    </row>
    <row r="86" ht="22.5" customHeight="1">
      <c r="A86" s="127">
        <f>IFERROR(__xludf.DUMMYFUNCTION("""COMPUTED_VALUE"""),2.2201866E7)</f>
        <v>22201866</v>
      </c>
      <c r="B86" s="127" t="str">
        <f>IFERROR(__xludf.DUMMYFUNCTION("""COMPUTED_VALUE"""),"Md. Sadat Sakib")</f>
        <v>Md. Sadat Sakib</v>
      </c>
      <c r="C86" s="128" t="str">
        <f>IFERROR(__xludf.DUMMYFUNCTION("""COMPUTED_VALUE"""),"General Member")</f>
        <v>General Member</v>
      </c>
      <c r="D86" s="128" t="str">
        <f>IFERROR(__xludf.DUMMYFUNCTION("""COMPUTED_VALUE"""),"md.sadat.sakib@g.bracu.ac.bd")</f>
        <v>md.sadat.sakib@g.bracu.ac.bd</v>
      </c>
    </row>
    <row r="87" ht="22.5" customHeight="1">
      <c r="A87" s="127">
        <f>IFERROR(__xludf.DUMMYFUNCTION("""COMPUTED_VALUE"""),2.2201748E7)</f>
        <v>22201748</v>
      </c>
      <c r="B87" s="127" t="str">
        <f>IFERROR(__xludf.DUMMYFUNCTION("""COMPUTED_VALUE"""),"Farhan Sadiq Rhythm")</f>
        <v>Farhan Sadiq Rhythm</v>
      </c>
      <c r="C87" s="128" t="str">
        <f>IFERROR(__xludf.DUMMYFUNCTION("""COMPUTED_VALUE"""),"General Member")</f>
        <v>General Member</v>
      </c>
      <c r="D87" s="128" t="str">
        <f>IFERROR(__xludf.DUMMYFUNCTION("""COMPUTED_VALUE"""),"farhan.sadiq.rhythm@g.bracu.ac.bd")</f>
        <v>farhan.sadiq.rhythm@g.bracu.ac.bd</v>
      </c>
    </row>
    <row r="88" ht="22.5" customHeight="1">
      <c r="A88" s="127">
        <f>IFERROR(__xludf.DUMMYFUNCTION("""COMPUTED_VALUE"""),2.2201738E7)</f>
        <v>22201738</v>
      </c>
      <c r="B88" s="127" t="str">
        <f>IFERROR(__xludf.DUMMYFUNCTION("""COMPUTED_VALUE"""),"Soumen Barua")</f>
        <v>Soumen Barua</v>
      </c>
      <c r="C88" s="128" t="str">
        <f>IFERROR(__xludf.DUMMYFUNCTION("""COMPUTED_VALUE"""),"General Member")</f>
        <v>General Member</v>
      </c>
      <c r="D88" s="128" t="str">
        <f>IFERROR(__xludf.DUMMYFUNCTION("""COMPUTED_VALUE"""),"soumen.barua@g.bracu.ac.bd")</f>
        <v>soumen.barua@g.bracu.ac.bd</v>
      </c>
    </row>
    <row r="89" ht="22.5" customHeight="1">
      <c r="A89" s="127">
        <f>IFERROR(__xludf.DUMMYFUNCTION("""COMPUTED_VALUE"""),2.2201684E7)</f>
        <v>22201684</v>
      </c>
      <c r="B89" s="127" t="str">
        <f>IFERROR(__xludf.DUMMYFUNCTION("""COMPUTED_VALUE"""),"Ayan Sarkar")</f>
        <v>Ayan Sarkar</v>
      </c>
      <c r="C89" s="128" t="str">
        <f>IFERROR(__xludf.DUMMYFUNCTION("""COMPUTED_VALUE"""),"General Member")</f>
        <v>General Member</v>
      </c>
      <c r="D89" s="128" t="str">
        <f>IFERROR(__xludf.DUMMYFUNCTION("""COMPUTED_VALUE"""),"ayan.sarkar@g.bracu.ac.bd")</f>
        <v>ayan.sarkar@g.bracu.ac.bd</v>
      </c>
    </row>
    <row r="90" ht="22.5" customHeight="1">
      <c r="A90" s="127">
        <f>IFERROR(__xludf.DUMMYFUNCTION("""COMPUTED_VALUE"""),2.2201561E7)</f>
        <v>22201561</v>
      </c>
      <c r="B90" s="127" t="str">
        <f>IFERROR(__xludf.DUMMYFUNCTION("""COMPUTED_VALUE"""),"Simantha Saha")</f>
        <v>Simantha Saha</v>
      </c>
      <c r="C90" s="128" t="str">
        <f>IFERROR(__xludf.DUMMYFUNCTION("""COMPUTED_VALUE"""),"General Member")</f>
        <v>General Member</v>
      </c>
      <c r="D90" s="128" t="str">
        <f>IFERROR(__xludf.DUMMYFUNCTION("""COMPUTED_VALUE"""),"simantha.saha@g.bracu.ac.bd")</f>
        <v>simantha.saha@g.bracu.ac.bd</v>
      </c>
    </row>
    <row r="91" ht="22.5" customHeight="1">
      <c r="A91" s="127">
        <f>IFERROR(__xludf.DUMMYFUNCTION("""COMPUTED_VALUE"""),2.2201485E7)</f>
        <v>22201485</v>
      </c>
      <c r="B91" s="127" t="str">
        <f>IFERROR(__xludf.DUMMYFUNCTION("""COMPUTED_VALUE"""),"Md Fardin Alam")</f>
        <v>Md Fardin Alam</v>
      </c>
      <c r="C91" s="128" t="str">
        <f>IFERROR(__xludf.DUMMYFUNCTION("""COMPUTED_VALUE"""),"General Member")</f>
        <v>General Member</v>
      </c>
      <c r="D91" s="128" t="str">
        <f>IFERROR(__xludf.DUMMYFUNCTION("""COMPUTED_VALUE"""),"md.fardin.alam@g.bracu.ac.bd")</f>
        <v>md.fardin.alam@g.bracu.ac.bd</v>
      </c>
    </row>
    <row r="92" ht="22.5" customHeight="1">
      <c r="A92" s="127">
        <f>IFERROR(__xludf.DUMMYFUNCTION("""COMPUTED_VALUE"""),2.2201301E7)</f>
        <v>22201301</v>
      </c>
      <c r="B92" s="127" t="str">
        <f>IFERROR(__xludf.DUMMYFUNCTION("""COMPUTED_VALUE"""),"Syed Izdian Siraji")</f>
        <v>Syed Izdian Siraji</v>
      </c>
      <c r="C92" s="128" t="str">
        <f>IFERROR(__xludf.DUMMYFUNCTION("""COMPUTED_VALUE"""),"General Member")</f>
        <v>General Member</v>
      </c>
      <c r="D92" s="128" t="str">
        <f>IFERROR(__xludf.DUMMYFUNCTION("""COMPUTED_VALUE"""),"syed.izdian.siraji@g.bracu.ac.bd")</f>
        <v>syed.izdian.siraji@g.bracu.ac.bd</v>
      </c>
    </row>
    <row r="93" ht="22.5" customHeight="1">
      <c r="A93" s="127">
        <f>IFERROR(__xludf.DUMMYFUNCTION("""COMPUTED_VALUE"""),2.2201159E7)</f>
        <v>22201159</v>
      </c>
      <c r="B93" s="127" t="str">
        <f>IFERROR(__xludf.DUMMYFUNCTION("""COMPUTED_VALUE"""),"Md Mizanur Rahman")</f>
        <v>Md Mizanur Rahman</v>
      </c>
      <c r="C93" s="128" t="str">
        <f>IFERROR(__xludf.DUMMYFUNCTION("""COMPUTED_VALUE"""),"General Member")</f>
        <v>General Member</v>
      </c>
      <c r="D93" s="128" t="str">
        <f>IFERROR(__xludf.DUMMYFUNCTION("""COMPUTED_VALUE"""),"md.mizanur.rahman3@g.bracu.ac.bd")</f>
        <v>md.mizanur.rahman3@g.bracu.ac.bd</v>
      </c>
    </row>
    <row r="94" ht="22.5" customHeight="1">
      <c r="A94" s="127">
        <f>IFERROR(__xludf.DUMMYFUNCTION("""COMPUTED_VALUE"""),2.2201028E7)</f>
        <v>22201028</v>
      </c>
      <c r="B94" s="127" t="str">
        <f>IFERROR(__xludf.DUMMYFUNCTION("""COMPUTED_VALUE"""),"Tasbir Ahmed")</f>
        <v>Tasbir Ahmed</v>
      </c>
      <c r="C94" s="128" t="str">
        <f>IFERROR(__xludf.DUMMYFUNCTION("""COMPUTED_VALUE"""),"General Member")</f>
        <v>General Member</v>
      </c>
      <c r="D94" s="128" t="str">
        <f>IFERROR(__xludf.DUMMYFUNCTION("""COMPUTED_VALUE"""),"tasbir.ahmed@g.bracu.ac.bd")</f>
        <v>tasbir.ahmed@g.bracu.ac.bd</v>
      </c>
    </row>
    <row r="95" ht="22.5" customHeight="1">
      <c r="A95" s="127">
        <f>IFERROR(__xludf.DUMMYFUNCTION("""COMPUTED_VALUE"""),2.2101874E7)</f>
        <v>22101874</v>
      </c>
      <c r="B95" s="127" t="str">
        <f>IFERROR(__xludf.DUMMYFUNCTION("""COMPUTED_VALUE"""),"Fariha Mohammed Al Zahir")</f>
        <v>Fariha Mohammed Al Zahir</v>
      </c>
      <c r="C95" s="128" t="str">
        <f>IFERROR(__xludf.DUMMYFUNCTION("""COMPUTED_VALUE"""),"General Member")</f>
        <v>General Member</v>
      </c>
      <c r="D95" s="128" t="str">
        <f>IFERROR(__xludf.DUMMYFUNCTION("""COMPUTED_VALUE"""),"fariha.mohammed.alzahir@g.bracu.ac.bd")</f>
        <v>fariha.mohammed.alzahir@g.bracu.ac.bd</v>
      </c>
    </row>
    <row r="96" ht="22.5" customHeight="1">
      <c r="A96" s="127">
        <f>IFERROR(__xludf.DUMMYFUNCTION("""COMPUTED_VALUE"""),2.2101855E7)</f>
        <v>22101855</v>
      </c>
      <c r="B96" s="127" t="str">
        <f>IFERROR(__xludf.DUMMYFUNCTION("""COMPUTED_VALUE"""),"Aumio Rahman")</f>
        <v>Aumio Rahman</v>
      </c>
      <c r="C96" s="128" t="str">
        <f>IFERROR(__xludf.DUMMYFUNCTION("""COMPUTED_VALUE"""),"General Member")</f>
        <v>General Member</v>
      </c>
      <c r="D96" s="128" t="str">
        <f>IFERROR(__xludf.DUMMYFUNCTION("""COMPUTED_VALUE"""),"aumio.rahman@g.bracu.ac.bd")</f>
        <v>aumio.rahman@g.bracu.ac.bd</v>
      </c>
    </row>
    <row r="97" ht="22.5" customHeight="1">
      <c r="A97" s="127">
        <f>IFERROR(__xludf.DUMMYFUNCTION("""COMPUTED_VALUE"""),2.210114E7)</f>
        <v>22101140</v>
      </c>
      <c r="B97" s="127" t="str">
        <f>IFERROR(__xludf.DUMMYFUNCTION("""COMPUTED_VALUE"""),"Md.Ashraful Alam")</f>
        <v>Md.Ashraful Alam</v>
      </c>
      <c r="C97" s="128" t="str">
        <f>IFERROR(__xludf.DUMMYFUNCTION("""COMPUTED_VALUE"""),"General Member")</f>
        <v>General Member</v>
      </c>
      <c r="D97" s="128" t="str">
        <f>IFERROR(__xludf.DUMMYFUNCTION("""COMPUTED_VALUE"""),"md.ashraful.alam@g.bracu.ac.bd")</f>
        <v>md.ashraful.alam@g.bracu.ac.bd</v>
      </c>
    </row>
    <row r="98" ht="22.5" customHeight="1">
      <c r="A98" s="127">
        <f>IFERROR(__xludf.DUMMYFUNCTION("""COMPUTED_VALUE"""),2.2101133E7)</f>
        <v>22101133</v>
      </c>
      <c r="B98" s="127" t="str">
        <f>IFERROR(__xludf.DUMMYFUNCTION("""COMPUTED_VALUE"""),"Istiak Ahmed")</f>
        <v>Istiak Ahmed</v>
      </c>
      <c r="C98" s="128" t="str">
        <f>IFERROR(__xludf.DUMMYFUNCTION("""COMPUTED_VALUE"""),"General Member")</f>
        <v>General Member</v>
      </c>
      <c r="D98" s="128" t="str">
        <f>IFERROR(__xludf.DUMMYFUNCTION("""COMPUTED_VALUE"""),"istiak.ahmed3@g.bracu.ac.bd")</f>
        <v>istiak.ahmed3@g.bracu.ac.bd</v>
      </c>
    </row>
    <row r="99" ht="22.5" customHeight="1">
      <c r="A99" s="127">
        <f>IFERROR(__xludf.DUMMYFUNCTION("""COMPUTED_VALUE"""),2.2201651E7)</f>
        <v>22201651</v>
      </c>
      <c r="B99" s="127" t="str">
        <f>IFERROR(__xludf.DUMMYFUNCTION("""COMPUTED_VALUE"""),"Nur-A-Alam Rubait Shihab")</f>
        <v>Nur-A-Alam Rubait Shihab</v>
      </c>
      <c r="C99" s="128" t="str">
        <f>IFERROR(__xludf.DUMMYFUNCTION("""COMPUTED_VALUE"""),"General Member")</f>
        <v>General Member</v>
      </c>
      <c r="D99" s="128" t="str">
        <f>IFERROR(__xludf.DUMMYFUNCTION("""COMPUTED_VALUE"""),"alam.rubait.shihab@g.bracu.ac.bd")</f>
        <v>alam.rubait.shihab@g.bracu.ac.bd</v>
      </c>
    </row>
    <row r="100" ht="22.5" customHeight="1">
      <c r="A100" s="127">
        <f>IFERROR(__xludf.DUMMYFUNCTION("""COMPUTED_VALUE"""),2.4101544E7)</f>
        <v>24101544</v>
      </c>
      <c r="B100" s="127" t="str">
        <f>IFERROR(__xludf.DUMMYFUNCTION("""COMPUTED_VALUE"""),"Enan Mahmud")</f>
        <v>Enan Mahmud</v>
      </c>
      <c r="C100" s="128" t="str">
        <f>IFERROR(__xludf.DUMMYFUNCTION("""COMPUTED_VALUE"""),"General Member")</f>
        <v>General Member</v>
      </c>
      <c r="D100" s="128" t="str">
        <f>IFERROR(__xludf.DUMMYFUNCTION("""COMPUTED_VALUE"""),"enan.mahmud@g.bracu.ac.bd")</f>
        <v>enan.mahmud@g.bracu.ac.bd</v>
      </c>
    </row>
    <row r="101" ht="22.5" customHeight="1">
      <c r="A101" s="127">
        <f>IFERROR(__xludf.DUMMYFUNCTION("""COMPUTED_VALUE"""),2.4101645E7)</f>
        <v>24101645</v>
      </c>
      <c r="B101" s="127" t="str">
        <f>IFERROR(__xludf.DUMMYFUNCTION("""COMPUTED_VALUE"""),"MD Sajid Hossain")</f>
        <v>MD Sajid Hossain</v>
      </c>
      <c r="C101" s="128" t="str">
        <f>IFERROR(__xludf.DUMMYFUNCTION("""COMPUTED_VALUE"""),"General Member")</f>
        <v>General Member</v>
      </c>
      <c r="D101" s="128" t="str">
        <f>IFERROR(__xludf.DUMMYFUNCTION("""COMPUTED_VALUE"""),"md.sajid.hossain2@g.bracu.ac.bd")</f>
        <v>md.sajid.hossain2@g.bracu.ac.bd</v>
      </c>
    </row>
    <row r="102" ht="22.5" customHeight="1">
      <c r="A102" s="127">
        <f>IFERROR(__xludf.DUMMYFUNCTION("""COMPUTED_VALUE"""),2.2201839E7)</f>
        <v>22201839</v>
      </c>
      <c r="B102" s="127" t="str">
        <f>IFERROR(__xludf.DUMMYFUNCTION("""COMPUTED_VALUE"""),"Md. Mahee Adnan Rafi")</f>
        <v>Md. Mahee Adnan Rafi</v>
      </c>
      <c r="C102" s="128" t="str">
        <f>IFERROR(__xludf.DUMMYFUNCTION("""COMPUTED_VALUE"""),"General Member")</f>
        <v>General Member</v>
      </c>
      <c r="D102" s="128" t="str">
        <f>IFERROR(__xludf.DUMMYFUNCTION("""COMPUTED_VALUE"""),"mahee.adnan.rafi@g.bracu.ac.bd")</f>
        <v>mahee.adnan.rafi@g.bracu.ac.bd</v>
      </c>
    </row>
    <row r="103" ht="22.5" customHeight="1">
      <c r="A103" s="127">
        <f>IFERROR(__xludf.DUMMYFUNCTION("""COMPUTED_VALUE"""),2.4101436E7)</f>
        <v>24101436</v>
      </c>
      <c r="B103" s="127" t="str">
        <f>IFERROR(__xludf.DUMMYFUNCTION("""COMPUTED_VALUE"""),"Alif Elham")</f>
        <v>Alif Elham</v>
      </c>
      <c r="C103" s="128" t="str">
        <f>IFERROR(__xludf.DUMMYFUNCTION("""COMPUTED_VALUE"""),"General Member")</f>
        <v>General Member</v>
      </c>
      <c r="D103" s="128" t="str">
        <f>IFERROR(__xludf.DUMMYFUNCTION("""COMPUTED_VALUE"""),"alif.elham@g.bracu.ac.bd")</f>
        <v>alif.elham@g.bracu.ac.bd</v>
      </c>
    </row>
    <row r="104" ht="22.5" customHeight="1">
      <c r="A104" s="127">
        <f>IFERROR(__xludf.DUMMYFUNCTION("""COMPUTED_VALUE"""),2.2301747E7)</f>
        <v>22301747</v>
      </c>
      <c r="B104" s="127" t="str">
        <f>IFERROR(__xludf.DUMMYFUNCTION("""COMPUTED_VALUE"""),"Sidrat Moon Taher")</f>
        <v>Sidrat Moon Taher</v>
      </c>
      <c r="C104" s="128" t="str">
        <f>IFERROR(__xludf.DUMMYFUNCTION("""COMPUTED_VALUE"""),"General Member")</f>
        <v>General Member</v>
      </c>
      <c r="D104" s="128" t="str">
        <f>IFERROR(__xludf.DUMMYFUNCTION("""COMPUTED_VALUE"""),"sidrat.moon.taher@g.bracu.ac.bd")</f>
        <v>sidrat.moon.taher@g.bracu.ac.bd</v>
      </c>
    </row>
    <row r="105" ht="22.5" customHeight="1">
      <c r="A105" s="127">
        <f>IFERROR(__xludf.DUMMYFUNCTION("""COMPUTED_VALUE"""),2.229927E7)</f>
        <v>22299270</v>
      </c>
      <c r="B105" s="127" t="str">
        <f>IFERROR(__xludf.DUMMYFUNCTION("""COMPUTED_VALUE"""),"Navil Hossain Chowdhury")</f>
        <v>Navil Hossain Chowdhury</v>
      </c>
      <c r="C105" s="128" t="str">
        <f>IFERROR(__xludf.DUMMYFUNCTION("""COMPUTED_VALUE"""),"General Member")</f>
        <v>General Member</v>
      </c>
      <c r="D105" s="128" t="str">
        <f>IFERROR(__xludf.DUMMYFUNCTION("""COMPUTED_VALUE"""),"navil.hossain.chowdhury@g.bracu.ac.bd")</f>
        <v>navil.hossain.chowdhury@g.bracu.ac.bd</v>
      </c>
    </row>
    <row r="106" ht="22.5" customHeight="1">
      <c r="A106" s="127">
        <f>IFERROR(__xludf.DUMMYFUNCTION("""COMPUTED_VALUE"""),2.3201519E7)</f>
        <v>23201519</v>
      </c>
      <c r="B106" s="127" t="str">
        <f>IFERROR(__xludf.DUMMYFUNCTION("""COMPUTED_VALUE"""),"Md Zahidun Muntaqa khan")</f>
        <v>Md Zahidun Muntaqa khan</v>
      </c>
      <c r="C106" s="128" t="str">
        <f>IFERROR(__xludf.DUMMYFUNCTION("""COMPUTED_VALUE"""),"General Member")</f>
        <v>General Member</v>
      </c>
      <c r="D106" s="128" t="str">
        <f>IFERROR(__xludf.DUMMYFUNCTION("""COMPUTED_VALUE"""),"zahidun.muntaqa.khan@g.bracu.ac.bd")</f>
        <v>zahidun.muntaqa.khan@g.bracu.ac.bd</v>
      </c>
    </row>
    <row r="107" ht="22.5" customHeight="1">
      <c r="A107" s="127">
        <f>IFERROR(__xludf.DUMMYFUNCTION("""COMPUTED_VALUE"""),2.2301561E7)</f>
        <v>22301561</v>
      </c>
      <c r="B107" s="127" t="str">
        <f>IFERROR(__xludf.DUMMYFUNCTION("""COMPUTED_VALUE"""),"Nusrat Jahan")</f>
        <v>Nusrat Jahan</v>
      </c>
      <c r="C107" s="128" t="str">
        <f>IFERROR(__xludf.DUMMYFUNCTION("""COMPUTED_VALUE"""),"General Member")</f>
        <v>General Member</v>
      </c>
      <c r="D107" s="128" t="str">
        <f>IFERROR(__xludf.DUMMYFUNCTION("""COMPUTED_VALUE"""),"nusrat.jahan25@g.bracu.ac.bd")</f>
        <v>nusrat.jahan25@g.bracu.ac.bd</v>
      </c>
    </row>
    <row r="108" ht="22.5" customHeight="1">
      <c r="A108" s="127">
        <f>IFERROR(__xludf.DUMMYFUNCTION("""COMPUTED_VALUE"""),2.4110031E7)</f>
        <v>24110031</v>
      </c>
      <c r="B108" s="127" t="str">
        <f>IFERROR(__xludf.DUMMYFUNCTION("""COMPUTED_VALUE"""),"Mostofa Morshed Sayeem")</f>
        <v>Mostofa Morshed Sayeem</v>
      </c>
      <c r="C108" s="128" t="str">
        <f>IFERROR(__xludf.DUMMYFUNCTION("""COMPUTED_VALUE"""),"General Member")</f>
        <v>General Member</v>
      </c>
      <c r="D108" s="128" t="str">
        <f>IFERROR(__xludf.DUMMYFUNCTION("""COMPUTED_VALUE"""),"Mostofa.morshed.sayeem@g.bracu.ac.bd")</f>
        <v>Mostofa.morshed.sayeem@g.bracu.ac.bd</v>
      </c>
    </row>
    <row r="109" ht="22.5" customHeight="1">
      <c r="A109" s="127">
        <f>IFERROR(__xludf.DUMMYFUNCTION("""COMPUTED_VALUE"""),2.4321223E7)</f>
        <v>24321223</v>
      </c>
      <c r="B109" s="127" t="str">
        <f>IFERROR(__xludf.DUMMYFUNCTION("""COMPUTED_VALUE"""),"Shadman Labib Eram")</f>
        <v>Shadman Labib Eram</v>
      </c>
      <c r="C109" s="128" t="str">
        <f>IFERROR(__xludf.DUMMYFUNCTION("""COMPUTED_VALUE"""),"General Member")</f>
        <v>General Member</v>
      </c>
      <c r="D109" s="128" t="str">
        <f>IFERROR(__xludf.DUMMYFUNCTION("""COMPUTED_VALUE"""),"shadman.labib.eram@g.bracu.ac.bd")</f>
        <v>shadman.labib.eram@g.bracu.ac.bd</v>
      </c>
    </row>
    <row r="110" ht="22.5" customHeight="1">
      <c r="A110" s="127">
        <f>IFERROR(__xludf.DUMMYFUNCTION("""COMPUTED_VALUE"""),2.430157E7)</f>
        <v>24301570</v>
      </c>
      <c r="B110" s="127" t="str">
        <f>IFERROR(__xludf.DUMMYFUNCTION("""COMPUTED_VALUE"""),"Saqlaine Noor")</f>
        <v>Saqlaine Noor</v>
      </c>
      <c r="C110" s="128" t="str">
        <f>IFERROR(__xludf.DUMMYFUNCTION("""COMPUTED_VALUE"""),"General Member")</f>
        <v>General Member</v>
      </c>
      <c r="D110" s="128" t="str">
        <f>IFERROR(__xludf.DUMMYFUNCTION("""COMPUTED_VALUE"""),"saqlaine.noor@g.bracu.ac.bd")</f>
        <v>saqlaine.noor@g.bracu.ac.bd</v>
      </c>
    </row>
    <row r="111" ht="22.5" customHeight="1">
      <c r="A111" s="127">
        <f>IFERROR(__xludf.DUMMYFUNCTION("""COMPUTED_VALUE"""),2.4321218E7)</f>
        <v>24321218</v>
      </c>
      <c r="B111" s="127" t="str">
        <f>IFERROR(__xludf.DUMMYFUNCTION("""COMPUTED_VALUE"""),"Md. Mahidul Islam")</f>
        <v>Md. Mahidul Islam</v>
      </c>
      <c r="C111" s="128" t="str">
        <f>IFERROR(__xludf.DUMMYFUNCTION("""COMPUTED_VALUE"""),"General Member")</f>
        <v>General Member</v>
      </c>
      <c r="D111" s="128" t="str">
        <f>IFERROR(__xludf.DUMMYFUNCTION("""COMPUTED_VALUE"""),"md.mahidul.islam@g.bracu.ac.bd")</f>
        <v>md.mahidul.islam@g.bracu.ac.bd</v>
      </c>
    </row>
    <row r="112" ht="22.5" customHeight="1">
      <c r="A112" s="127">
        <f>IFERROR(__xludf.DUMMYFUNCTION("""COMPUTED_VALUE"""),2.430121E7)</f>
        <v>24301210</v>
      </c>
      <c r="B112" s="127" t="str">
        <f>IFERROR(__xludf.DUMMYFUNCTION("""COMPUTED_VALUE"""),"Md Haseeb Afeef")</f>
        <v>Md Haseeb Afeef</v>
      </c>
      <c r="C112" s="128" t="str">
        <f>IFERROR(__xludf.DUMMYFUNCTION("""COMPUTED_VALUE"""),"General Member")</f>
        <v>General Member</v>
      </c>
      <c r="D112" s="128" t="str">
        <f>IFERROR(__xludf.DUMMYFUNCTION("""COMPUTED_VALUE"""),"md.haseeb.afeef@g.bracu.ac.bd")</f>
        <v>md.haseeb.afeef@g.bracu.ac.bd</v>
      </c>
    </row>
    <row r="113" ht="22.5" customHeight="1">
      <c r="A113" s="127">
        <f>IFERROR(__xludf.DUMMYFUNCTION("""COMPUTED_VALUE"""),2.330138E7)</f>
        <v>23301380</v>
      </c>
      <c r="B113" s="127" t="str">
        <f>IFERROR(__xludf.DUMMYFUNCTION("""COMPUTED_VALUE"""),"Khalid Hasan")</f>
        <v>Khalid Hasan</v>
      </c>
      <c r="C113" s="128" t="str">
        <f>IFERROR(__xludf.DUMMYFUNCTION("""COMPUTED_VALUE"""),"General Member")</f>
        <v>General Member</v>
      </c>
      <c r="D113" s="128" t="str">
        <f>IFERROR(__xludf.DUMMYFUNCTION("""COMPUTED_VALUE"""),"khalid@g.bracu.ac.bd")</f>
        <v>khalid@g.bracu.ac.bd</v>
      </c>
    </row>
    <row r="114" ht="22.5" customHeight="1">
      <c r="A114" s="127">
        <f>IFERROR(__xludf.DUMMYFUNCTION("""COMPUTED_VALUE"""),2.3301235E7)</f>
        <v>23301235</v>
      </c>
      <c r="B114" s="127" t="str">
        <f>IFERROR(__xludf.DUMMYFUNCTION("""COMPUTED_VALUE"""),"KM Emmanuel Rinoy")</f>
        <v>KM Emmanuel Rinoy</v>
      </c>
      <c r="C114" s="128" t="str">
        <f>IFERROR(__xludf.DUMMYFUNCTION("""COMPUTED_VALUE"""),"General Member")</f>
        <v>General Member</v>
      </c>
      <c r="D114" s="128" t="str">
        <f>IFERROR(__xludf.DUMMYFUNCTION("""COMPUTED_VALUE"""),"km.emmanuel.rinoy@g.bracu.ac.bd")</f>
        <v>km.emmanuel.rinoy@g.bracu.ac.bd</v>
      </c>
    </row>
    <row r="115" ht="22.5" customHeight="1">
      <c r="A115" s="127">
        <f>IFERROR(__xludf.DUMMYFUNCTION("""COMPUTED_VALUE"""),2.4201144E7)</f>
        <v>24201144</v>
      </c>
      <c r="B115" s="127" t="str">
        <f>IFERROR(__xludf.DUMMYFUNCTION("""COMPUTED_VALUE"""),"Shafiul Bashar Prodhan")</f>
        <v>Shafiul Bashar Prodhan</v>
      </c>
      <c r="C115" s="128" t="str">
        <f>IFERROR(__xludf.DUMMYFUNCTION("""COMPUTED_VALUE"""),"General Member")</f>
        <v>General Member</v>
      </c>
      <c r="D115" s="128" t="str">
        <f>IFERROR(__xludf.DUMMYFUNCTION("""COMPUTED_VALUE"""),"shafiul.bashar.prodhan@g.bracu.ac.bd")</f>
        <v>shafiul.bashar.prodhan@g.bracu.ac.bd</v>
      </c>
    </row>
    <row r="116" ht="22.5" customHeight="1">
      <c r="A116" s="127">
        <f>IFERROR(__xludf.DUMMYFUNCTION("""COMPUTED_VALUE"""),2.4315008E7)</f>
        <v>24315008</v>
      </c>
      <c r="B116" s="127" t="str">
        <f>IFERROR(__xludf.DUMMYFUNCTION("""COMPUTED_VALUE"""),"Sanjida Tasnim")</f>
        <v>Sanjida Tasnim</v>
      </c>
      <c r="C116" s="128" t="str">
        <f>IFERROR(__xludf.DUMMYFUNCTION("""COMPUTED_VALUE"""),"General Member")</f>
        <v>General Member</v>
      </c>
      <c r="D116" s="128" t="str">
        <f>IFERROR(__xludf.DUMMYFUNCTION("""COMPUTED_VALUE"""),"sanjida.tasnim1@g.bracu.ac.bd")</f>
        <v>sanjida.tasnim1@g.bracu.ac.bd</v>
      </c>
    </row>
    <row r="117" ht="22.5" customHeight="1">
      <c r="A117" s="127">
        <f>IFERROR(__xludf.DUMMYFUNCTION("""COMPUTED_VALUE"""),2.4201049E7)</f>
        <v>24201049</v>
      </c>
      <c r="B117" s="127" t="str">
        <f>IFERROR(__xludf.DUMMYFUNCTION("""COMPUTED_VALUE"""),"Jannatul Ferdous Piya")</f>
        <v>Jannatul Ferdous Piya</v>
      </c>
      <c r="C117" s="128" t="str">
        <f>IFERROR(__xludf.DUMMYFUNCTION("""COMPUTED_VALUE"""),"General Member")</f>
        <v>General Member</v>
      </c>
      <c r="D117" s="128" t="str">
        <f>IFERROR(__xludf.DUMMYFUNCTION("""COMPUTED_VALUE"""),"jannatul.ferdous.piya@g.bracu.ac.bd")</f>
        <v>jannatul.ferdous.piya@g.bracu.ac.bd</v>
      </c>
    </row>
    <row r="118" ht="22.5" customHeight="1">
      <c r="A118" s="127">
        <f>IFERROR(__xludf.DUMMYFUNCTION("""COMPUTED_VALUE"""),2.3101055E7)</f>
        <v>23101055</v>
      </c>
      <c r="B118" s="127" t="str">
        <f>IFERROR(__xludf.DUMMYFUNCTION("""COMPUTED_VALUE"""),"Soumitra Das")</f>
        <v>Soumitra Das</v>
      </c>
      <c r="C118" s="128" t="str">
        <f>IFERROR(__xludf.DUMMYFUNCTION("""COMPUTED_VALUE"""),"General Member")</f>
        <v>General Member</v>
      </c>
      <c r="D118" s="128" t="str">
        <f>IFERROR(__xludf.DUMMYFUNCTION("""COMPUTED_VALUE"""),"soumitra.das1@g.bracu.ac.bd")</f>
        <v>soumitra.das1@g.bracu.ac.bd</v>
      </c>
    </row>
    <row r="119" ht="22.5" customHeight="1">
      <c r="A119" s="127">
        <f>IFERROR(__xludf.DUMMYFUNCTION("""COMPUTED_VALUE"""),2.3101115E7)</f>
        <v>23101115</v>
      </c>
      <c r="B119" s="127" t="str">
        <f>IFERROR(__xludf.DUMMYFUNCTION("""COMPUTED_VALUE"""),"Avisheek Pal Joy")</f>
        <v>Avisheek Pal Joy</v>
      </c>
      <c r="C119" s="128" t="str">
        <f>IFERROR(__xludf.DUMMYFUNCTION("""COMPUTED_VALUE"""),"General Member")</f>
        <v>General Member</v>
      </c>
      <c r="D119" s="128" t="str">
        <f>IFERROR(__xludf.DUMMYFUNCTION("""COMPUTED_VALUE"""),"avisheek.pal.joy@g.bracu.ac.bd")</f>
        <v>avisheek.pal.joy@g.bracu.ac.bd</v>
      </c>
    </row>
    <row r="120" ht="22.5" customHeight="1">
      <c r="A120" s="127">
        <f>IFERROR(__xludf.DUMMYFUNCTION("""COMPUTED_VALUE"""),2.3201128E7)</f>
        <v>23201128</v>
      </c>
      <c r="B120" s="127" t="str">
        <f>IFERROR(__xludf.DUMMYFUNCTION("""COMPUTED_VALUE"""),"Shahid Al Xian")</f>
        <v>Shahid Al Xian</v>
      </c>
      <c r="C120" s="128" t="str">
        <f>IFERROR(__xludf.DUMMYFUNCTION("""COMPUTED_VALUE"""),"General Member")</f>
        <v>General Member</v>
      </c>
      <c r="D120" s="128" t="str">
        <f>IFERROR(__xludf.DUMMYFUNCTION("""COMPUTED_VALUE"""),"shahid.al.xian@g.bracu.ac.bd")</f>
        <v>shahid.al.xian@g.bracu.ac.bd</v>
      </c>
    </row>
    <row r="121" ht="22.5" customHeight="1">
      <c r="A121" s="127">
        <f>IFERROR(__xludf.DUMMYFUNCTION("""COMPUTED_VALUE"""),2.4121223E7)</f>
        <v>24121223</v>
      </c>
      <c r="B121" s="127" t="str">
        <f>IFERROR(__xludf.DUMMYFUNCTION("""COMPUTED_VALUE"""),"Aynul islam Ayon")</f>
        <v>Aynul islam Ayon</v>
      </c>
      <c r="C121" s="128" t="str">
        <f>IFERROR(__xludf.DUMMYFUNCTION("""COMPUTED_VALUE"""),"General Member")</f>
        <v>General Member</v>
      </c>
      <c r="D121" s="128" t="str">
        <f>IFERROR(__xludf.DUMMYFUNCTION("""COMPUTED_VALUE"""),"aynulislamayon@g.bracu.ac.bd")</f>
        <v>aynulislamayon@g.bracu.ac.bd</v>
      </c>
    </row>
    <row r="122" ht="22.5" customHeight="1">
      <c r="A122" s="127">
        <f>IFERROR(__xludf.DUMMYFUNCTION("""COMPUTED_VALUE"""),2.4321228E7)</f>
        <v>24321228</v>
      </c>
      <c r="B122" s="127" t="str">
        <f>IFERROR(__xludf.DUMMYFUNCTION("""COMPUTED_VALUE"""),"Sidratul Moontaha")</f>
        <v>Sidratul Moontaha</v>
      </c>
      <c r="C122" s="128" t="str">
        <f>IFERROR(__xludf.DUMMYFUNCTION("""COMPUTED_VALUE"""),"General Member")</f>
        <v>General Member</v>
      </c>
      <c r="D122" s="128" t="str">
        <f>IFERROR(__xludf.DUMMYFUNCTION("""COMPUTED_VALUE"""),"sidratul.moontaha1@g.bracu.ac.bd")</f>
        <v>sidratul.moontaha1@g.bracu.ac.bd</v>
      </c>
    </row>
    <row r="123" ht="22.5" customHeight="1">
      <c r="A123" s="127">
        <f>IFERROR(__xludf.DUMMYFUNCTION("""COMPUTED_VALUE"""),1.000054073E9)</f>
        <v>1000054073</v>
      </c>
      <c r="B123" s="127" t="str">
        <f>IFERROR(__xludf.DUMMYFUNCTION("""COMPUTED_VALUE"""),"Joy Das")</f>
        <v>Joy Das</v>
      </c>
      <c r="C123" s="128" t="str">
        <f>IFERROR(__xludf.DUMMYFUNCTION("""COMPUTED_VALUE"""),"General Member")</f>
        <v>General Member</v>
      </c>
      <c r="D123" s="128" t="str">
        <f>IFERROR(__xludf.DUMMYFUNCTION("""COMPUTED_VALUE"""),"joy.das@g.bracu.ac.bd")</f>
        <v>joy.das@g.bracu.ac.bd</v>
      </c>
    </row>
    <row r="124">
      <c r="A124" s="130">
        <f>IFERROR(__xludf.DUMMYFUNCTION("""COMPUTED_VALUE"""),1.00005526E9)</f>
        <v>1000055260</v>
      </c>
      <c r="B124" s="130" t="str">
        <f>IFERROR(__xludf.DUMMYFUNCTION("""COMPUTED_VALUE"""),"Tasfia Jalal Meghla")</f>
        <v>Tasfia Jalal Meghla</v>
      </c>
      <c r="C124" s="131" t="str">
        <f>IFERROR(__xludf.DUMMYFUNCTION("""COMPUTED_VALUE"""),"General Member")</f>
        <v>General Member</v>
      </c>
      <c r="D124" s="131" t="str">
        <f>IFERROR(__xludf.DUMMYFUNCTION("""COMPUTED_VALUE"""),"tasfia.jalal.meghla@g.bracu.ac.bd")</f>
        <v>tasfia.jalal.meghla@g.bracu.ac.bd</v>
      </c>
    </row>
    <row r="125">
      <c r="A125" s="130">
        <f>IFERROR(__xludf.DUMMYFUNCTION("""COMPUTED_VALUE"""),1.000055485E9)</f>
        <v>1000055485</v>
      </c>
      <c r="B125" s="130" t="str">
        <f>IFERROR(__xludf.DUMMYFUNCTION("""COMPUTED_VALUE"""),"Mohammad Sarafat Sadik Sajeeb")</f>
        <v>Mohammad Sarafat Sadik Sajeeb</v>
      </c>
      <c r="C125" s="131" t="str">
        <f>IFERROR(__xludf.DUMMYFUNCTION("""COMPUTED_VALUE"""),"General Member")</f>
        <v>General Member</v>
      </c>
      <c r="D125" s="131" t="str">
        <f>IFERROR(__xludf.DUMMYFUNCTION("""COMPUTED_VALUE"""),"sarafat.sadik.sajeeb@g.bracu.ac.bd")</f>
        <v>sarafat.sadik.sajeeb@g.bracu.ac.bd</v>
      </c>
    </row>
    <row r="126">
      <c r="A126" s="130">
        <f>IFERROR(__xludf.DUMMYFUNCTION("""COMPUTED_VALUE"""),2.420143E7)</f>
        <v>24201430</v>
      </c>
      <c r="B126" s="130" t="str">
        <f>IFERROR(__xludf.DUMMYFUNCTION("""COMPUTED_VALUE"""),"Elaika Alam")</f>
        <v>Elaika Alam</v>
      </c>
      <c r="C126" s="131" t="str">
        <f>IFERROR(__xludf.DUMMYFUNCTION("""COMPUTED_VALUE"""),"General Member")</f>
        <v>General Member</v>
      </c>
      <c r="D126" s="131" t="str">
        <f>IFERROR(__xludf.DUMMYFUNCTION("""COMPUTED_VALUE"""),"elaika.alam@g.bracu.ac.bd")</f>
        <v>elaika.alam@g.bracu.ac.bd</v>
      </c>
    </row>
    <row r="127">
      <c r="A127" s="130">
        <f>IFERROR(__xludf.DUMMYFUNCTION("""COMPUTED_VALUE"""),1.00005516E9)</f>
        <v>1000055160</v>
      </c>
      <c r="B127" s="130" t="str">
        <f>IFERROR(__xludf.DUMMYFUNCTION("""COMPUTED_VALUE"""),"Syed Fahmid Arefeen")</f>
        <v>Syed Fahmid Arefeen</v>
      </c>
      <c r="C127" s="131" t="str">
        <f>IFERROR(__xludf.DUMMYFUNCTION("""COMPUTED_VALUE"""),"General Member")</f>
        <v>General Member</v>
      </c>
      <c r="D127" s="131" t="str">
        <f>IFERROR(__xludf.DUMMYFUNCTION("""COMPUTED_VALUE"""),"syed.fahmid.arefeen@g.bracu.ac.bd")</f>
        <v>syed.fahmid.arefeen@g.bracu.ac.bd</v>
      </c>
    </row>
    <row r="128">
      <c r="A128" s="130">
        <f>IFERROR(__xludf.DUMMYFUNCTION("""COMPUTED_VALUE"""),2.4201349E7)</f>
        <v>24201349</v>
      </c>
      <c r="B128" s="130" t="str">
        <f>IFERROR(__xludf.DUMMYFUNCTION("""COMPUTED_VALUE"""),"Safwan Zahid Saion")</f>
        <v>Safwan Zahid Saion</v>
      </c>
      <c r="C128" s="131" t="str">
        <f>IFERROR(__xludf.DUMMYFUNCTION("""COMPUTED_VALUE"""),"General Member")</f>
        <v>General Member</v>
      </c>
      <c r="D128" s="131" t="str">
        <f>IFERROR(__xludf.DUMMYFUNCTION("""COMPUTED_VALUE"""),"safwan.zahid.saion@g.bracu.ac.bd")</f>
        <v>safwan.zahid.saion@g.bracu.ac.bd</v>
      </c>
    </row>
    <row r="129">
      <c r="A129" s="130">
        <f>IFERROR(__xludf.DUMMYFUNCTION("""COMPUTED_VALUE"""),1.000057486E9)</f>
        <v>1000057486</v>
      </c>
      <c r="B129" s="130" t="str">
        <f>IFERROR(__xludf.DUMMYFUNCTION("""COMPUTED_VALUE"""),"Tasnia Afrin")</f>
        <v>Tasnia Afrin</v>
      </c>
      <c r="C129" s="131" t="str">
        <f>IFERROR(__xludf.DUMMYFUNCTION("""COMPUTED_VALUE"""),"General Member")</f>
        <v>General Member</v>
      </c>
      <c r="D129" s="131" t="str">
        <f>IFERROR(__xludf.DUMMYFUNCTION("""COMPUTED_VALUE"""),"tasnia.afrin@g.bracu.ac.bd")</f>
        <v>tasnia.afrin@g.bracu.ac.bd</v>
      </c>
    </row>
    <row r="130">
      <c r="A130" s="130">
        <f>IFERROR(__xludf.DUMMYFUNCTION("""COMPUTED_VALUE"""),1.000056038E9)</f>
        <v>1000056038</v>
      </c>
      <c r="B130" s="130" t="str">
        <f>IFERROR(__xludf.DUMMYFUNCTION("""COMPUTED_VALUE"""),"Snigdha Kumar Saha")</f>
        <v>Snigdha Kumar Saha</v>
      </c>
      <c r="C130" s="131" t="str">
        <f>IFERROR(__xludf.DUMMYFUNCTION("""COMPUTED_VALUE"""),"General Member")</f>
        <v>General Member</v>
      </c>
      <c r="D130" s="131" t="str">
        <f>IFERROR(__xludf.DUMMYFUNCTION("""COMPUTED_VALUE"""),"snigdha.kumar.saha@g.bracu.ac.bd")</f>
        <v>snigdha.kumar.saha@g.bracu.ac.bd</v>
      </c>
    </row>
    <row r="131">
      <c r="A131" s="130">
        <f>IFERROR(__xludf.DUMMYFUNCTION("""COMPUTED_VALUE"""),1.000056836E9)</f>
        <v>1000056836</v>
      </c>
      <c r="B131" s="130" t="str">
        <f>IFERROR(__xludf.DUMMYFUNCTION("""COMPUTED_VALUE"""),"NUSRAT JAHAN")</f>
        <v>NUSRAT JAHAN</v>
      </c>
      <c r="C131" s="131" t="str">
        <f>IFERROR(__xludf.DUMMYFUNCTION("""COMPUTED_VALUE"""),"General Member")</f>
        <v>General Member</v>
      </c>
      <c r="D131" s="131" t="str">
        <f>IFERROR(__xludf.DUMMYFUNCTION("""COMPUTED_VALUE"""),"nusrat.jahan40@g.bracu.ac.bd")</f>
        <v>nusrat.jahan40@g.bracu.ac.bd</v>
      </c>
    </row>
    <row r="132">
      <c r="A132" s="130">
        <f>IFERROR(__xludf.DUMMYFUNCTION("""COMPUTED_VALUE"""),1.000057528E9)</f>
        <v>1000057528</v>
      </c>
      <c r="B132" s="130" t="str">
        <f>IFERROR(__xludf.DUMMYFUNCTION("""COMPUTED_VALUE"""),"Jannatul Ferdousi Seion")</f>
        <v>Jannatul Ferdousi Seion</v>
      </c>
      <c r="C132" s="131" t="str">
        <f>IFERROR(__xludf.DUMMYFUNCTION("""COMPUTED_VALUE"""),"General Member")</f>
        <v>General Member</v>
      </c>
      <c r="D132" s="131" t="str">
        <f>IFERROR(__xludf.DUMMYFUNCTION("""COMPUTED_VALUE"""),"jannatul.ferdousi.seion@g.bracu.ac.bd")</f>
        <v>jannatul.ferdousi.seion@g.bracu.ac.bd</v>
      </c>
    </row>
    <row r="133">
      <c r="A133" s="130">
        <f>IFERROR(__xludf.DUMMYFUNCTION("""COMPUTED_VALUE"""),1.000060519E9)</f>
        <v>1000060519</v>
      </c>
      <c r="B133" s="130" t="str">
        <f>IFERROR(__xludf.DUMMYFUNCTION("""COMPUTED_VALUE"""),"Hossain Mahmud")</f>
        <v>Hossain Mahmud</v>
      </c>
      <c r="C133" s="131" t="str">
        <f>IFERROR(__xludf.DUMMYFUNCTION("""COMPUTED_VALUE"""),"General Member")</f>
        <v>General Member</v>
      </c>
      <c r="D133" s="131" t="str">
        <f>IFERROR(__xludf.DUMMYFUNCTION("""COMPUTED_VALUE"""),"hossain.mahmud@g.bracu.ac.bd")</f>
        <v>hossain.mahmud@g.bracu.ac.bd</v>
      </c>
    </row>
    <row r="134">
      <c r="A134" s="130">
        <f>IFERROR(__xludf.DUMMYFUNCTION("""COMPUTED_VALUE"""),1.000054148E9)</f>
        <v>1000054148</v>
      </c>
      <c r="B134" s="130" t="str">
        <f>IFERROR(__xludf.DUMMYFUNCTION("""COMPUTED_VALUE"""),"MD. Mushfiqur Naim")</f>
        <v>MD. Mushfiqur Naim</v>
      </c>
      <c r="C134" s="131" t="str">
        <f>IFERROR(__xludf.DUMMYFUNCTION("""COMPUTED_VALUE"""),"General Member")</f>
        <v>General Member</v>
      </c>
      <c r="D134" s="131" t="str">
        <f>IFERROR(__xludf.DUMMYFUNCTION("""COMPUTED_VALUE"""),"md.mushfiqur.naim@g.bracu.ac.bd")</f>
        <v>md.mushfiqur.naim@g.bracu.ac.bd</v>
      </c>
    </row>
    <row r="135">
      <c r="A135" s="130">
        <f>IFERROR(__xludf.DUMMYFUNCTION("""COMPUTED_VALUE"""),1.000059674E9)</f>
        <v>1000059674</v>
      </c>
      <c r="B135" s="130" t="str">
        <f>IFERROR(__xludf.DUMMYFUNCTION("""COMPUTED_VALUE"""),"Tamzid Hasan Anan")</f>
        <v>Tamzid Hasan Anan</v>
      </c>
      <c r="C135" s="131" t="str">
        <f>IFERROR(__xludf.DUMMYFUNCTION("""COMPUTED_VALUE"""),"General Member")</f>
        <v>General Member</v>
      </c>
      <c r="D135" s="131" t="str">
        <f>IFERROR(__xludf.DUMMYFUNCTION("""COMPUTED_VALUE"""),"tamzid.hasan.anan@g.bracu.ac.bd")</f>
        <v>tamzid.hasan.anan@g.bracu.ac.bd</v>
      </c>
    </row>
    <row r="136">
      <c r="A136" s="130">
        <f>IFERROR(__xludf.DUMMYFUNCTION("""COMPUTED_VALUE"""),1.00005709E9)</f>
        <v>1000057090</v>
      </c>
      <c r="B136" s="130" t="str">
        <f>IFERROR(__xludf.DUMMYFUNCTION("""COMPUTED_VALUE"""),"MD. Monjurul Islam")</f>
        <v>MD. Monjurul Islam</v>
      </c>
      <c r="C136" s="131" t="str">
        <f>IFERROR(__xludf.DUMMYFUNCTION("""COMPUTED_VALUE"""),"General Member")</f>
        <v>General Member</v>
      </c>
      <c r="D136" s="131" t="str">
        <f>IFERROR(__xludf.DUMMYFUNCTION("""COMPUTED_VALUE"""),"md.monjurul.islam2@g.bracu.ac.bd")</f>
        <v>md.monjurul.islam2@g.bracu.ac.bd</v>
      </c>
    </row>
    <row r="137">
      <c r="A137" s="130">
        <f>IFERROR(__xludf.DUMMYFUNCTION("""COMPUTED_VALUE"""),2.410116E7)</f>
        <v>24101160</v>
      </c>
      <c r="B137" s="130" t="str">
        <f>IFERROR(__xludf.DUMMYFUNCTION("""COMPUTED_VALUE"""),"Zawad Ibne Shams")</f>
        <v>Zawad Ibne Shams</v>
      </c>
      <c r="C137" s="131" t="str">
        <f>IFERROR(__xludf.DUMMYFUNCTION("""COMPUTED_VALUE"""),"General Member")</f>
        <v>General Member</v>
      </c>
      <c r="D137" s="131" t="str">
        <f>IFERROR(__xludf.DUMMYFUNCTION("""COMPUTED_VALUE"""),"zawad.ibne.shams@g.bracu.ac.bd")</f>
        <v>zawad.ibne.shams@g.bracu.ac.bd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75"/>
    <col customWidth="1" min="3" max="3" width="15.5"/>
    <col customWidth="1" min="4" max="4" width="36.38"/>
  </cols>
  <sheetData>
    <row r="1" ht="22.5" customHeight="1">
      <c r="A1" s="136" t="s">
        <v>2976</v>
      </c>
      <c r="B1" s="126" t="s">
        <v>1</v>
      </c>
      <c r="C1" s="126" t="s">
        <v>3</v>
      </c>
      <c r="D1" s="126" t="s">
        <v>5</v>
      </c>
    </row>
    <row r="2" ht="22.5" hidden="1" customHeight="1">
      <c r="A2" s="127">
        <f>IFERROR(__xludf.DUMMYFUNCTION("FILTER({All_Members!A2:A3556, All_Members!B2:B3556, All_Members!D2:D3556, All_Members!F2:F3556}, All_Members!C2:C3556 = ""Human Resources"")"),2.3201315E7)</f>
        <v>23201315</v>
      </c>
      <c r="B2" s="127" t="str">
        <f>IFERROR(__xludf.DUMMYFUNCTION("""COMPUTED_VALUE"""),"Kabya Hassan")</f>
        <v>Kabya Hassan</v>
      </c>
      <c r="C2" s="127" t="str">
        <f>IFERROR(__xludf.DUMMYFUNCTION("""COMPUTED_VALUE"""),"Director")</f>
        <v>Director</v>
      </c>
      <c r="D2" s="127" t="str">
        <f>IFERROR(__xludf.DUMMYFUNCTION("""COMPUTED_VALUE"""),"kabya.hassan@g.bracu.ac.bd")</f>
        <v>kabya.hassan@g.bracu.ac.bd</v>
      </c>
    </row>
    <row r="3" ht="22.5" hidden="1" customHeight="1">
      <c r="A3" s="127">
        <f>IFERROR(__xludf.DUMMYFUNCTION("""COMPUTED_VALUE"""),2.2201884E7)</f>
        <v>22201884</v>
      </c>
      <c r="B3" s="127" t="str">
        <f>IFERROR(__xludf.DUMMYFUNCTION("""COMPUTED_VALUE"""),"M. A. Zubaer")</f>
        <v>M. A. Zubaer</v>
      </c>
      <c r="C3" s="127" t="str">
        <f>IFERROR(__xludf.DUMMYFUNCTION("""COMPUTED_VALUE"""),"Director")</f>
        <v>Director</v>
      </c>
      <c r="D3" s="127" t="str">
        <f>IFERROR(__xludf.DUMMYFUNCTION("""COMPUTED_VALUE"""),"m.a.zubaer@g.bracu.ac.bd")</f>
        <v>m.a.zubaer@g.bracu.ac.bd</v>
      </c>
    </row>
    <row r="4" ht="22.5" hidden="1" customHeight="1">
      <c r="A4" s="127">
        <f>IFERROR(__xludf.DUMMYFUNCTION("""COMPUTED_VALUE"""),2.2201676E7)</f>
        <v>22201676</v>
      </c>
      <c r="B4" s="127" t="str">
        <f>IFERROR(__xludf.DUMMYFUNCTION("""COMPUTED_VALUE"""),"Md Enayet Ali Labib")</f>
        <v>Md Enayet Ali Labib</v>
      </c>
      <c r="C4" s="127" t="str">
        <f>IFERROR(__xludf.DUMMYFUNCTION("""COMPUTED_VALUE"""),"Assistant Director")</f>
        <v>Assistant Director</v>
      </c>
      <c r="D4" s="127" t="str">
        <f>IFERROR(__xludf.DUMMYFUNCTION("""COMPUTED_VALUE"""),"enayet.ali.labib@g.bracu.ac.bd")</f>
        <v>enayet.ali.labib@g.bracu.ac.bd</v>
      </c>
    </row>
    <row r="5" ht="22.5" hidden="1" customHeight="1">
      <c r="A5" s="127">
        <f>IFERROR(__xludf.DUMMYFUNCTION("""COMPUTED_VALUE"""),2.3301334E7)</f>
        <v>23301334</v>
      </c>
      <c r="B5" s="127" t="str">
        <f>IFERROR(__xludf.DUMMYFUNCTION("""COMPUTED_VALUE"""),"Shakeel")</f>
        <v>Shakeel</v>
      </c>
      <c r="C5" s="127" t="str">
        <f>IFERROR(__xludf.DUMMYFUNCTION("""COMPUTED_VALUE"""),"Assistant Director")</f>
        <v>Assistant Director</v>
      </c>
      <c r="D5" s="127" t="str">
        <f>IFERROR(__xludf.DUMMYFUNCTION("""COMPUTED_VALUE"""),"shakeel@g.bracu.ac.bd")</f>
        <v>shakeel@g.bracu.ac.bd</v>
      </c>
    </row>
    <row r="6" ht="22.5" customHeight="1">
      <c r="A6" s="127">
        <f>IFERROR(__xludf.DUMMYFUNCTION("""COMPUTED_VALUE"""),2.3201171E7)</f>
        <v>23201171</v>
      </c>
      <c r="B6" s="127" t="str">
        <f>IFERROR(__xludf.DUMMYFUNCTION("""COMPUTED_VALUE"""),"Zarrafuzzaman Choudhury")</f>
        <v>Zarrafuzzaman Choudhury</v>
      </c>
      <c r="C6" s="127" t="str">
        <f>IFERROR(__xludf.DUMMYFUNCTION("""COMPUTED_VALUE"""),"Senior Executive")</f>
        <v>Senior Executive</v>
      </c>
      <c r="D6" s="127" t="str">
        <f>IFERROR(__xludf.DUMMYFUNCTION("""COMPUTED_VALUE"""),"zarrafuzzaman.choudhury@g.bracu.ac.bd")</f>
        <v>zarrafuzzaman.choudhury@g.bracu.ac.bd</v>
      </c>
    </row>
    <row r="7" ht="22.5" customHeight="1">
      <c r="A7" s="127">
        <f>IFERROR(__xludf.DUMMYFUNCTION("""COMPUTED_VALUE"""),2.4301202E7)</f>
        <v>24301202</v>
      </c>
      <c r="B7" s="127" t="str">
        <f>IFERROR(__xludf.DUMMYFUNCTION("""COMPUTED_VALUE"""),"Dibyo Singho Barua Subrajit")</f>
        <v>Dibyo Singho Barua Subrajit</v>
      </c>
      <c r="C7" s="127" t="str">
        <f>IFERROR(__xludf.DUMMYFUNCTION("""COMPUTED_VALUE"""),"Senior Executive")</f>
        <v>Senior Executive</v>
      </c>
      <c r="D7" s="127" t="str">
        <f>IFERROR(__xludf.DUMMYFUNCTION("""COMPUTED_VALUE"""),"dibyosingho.barua.subrajit@g.bracu.ac.bd")</f>
        <v>dibyosingho.barua.subrajit@g.bracu.ac.bd</v>
      </c>
    </row>
    <row r="8" ht="22.5" customHeight="1">
      <c r="A8" s="127">
        <f>IFERROR(__xludf.DUMMYFUNCTION("""COMPUTED_VALUE"""),2.3201662E7)</f>
        <v>23201662</v>
      </c>
      <c r="B8" s="127" t="str">
        <f>IFERROR(__xludf.DUMMYFUNCTION("""COMPUTED_VALUE"""),"Fahmidul Islam")</f>
        <v>Fahmidul Islam</v>
      </c>
      <c r="C8" s="127" t="str">
        <f>IFERROR(__xludf.DUMMYFUNCTION("""COMPUTED_VALUE"""),"Senior Executive")</f>
        <v>Senior Executive</v>
      </c>
      <c r="D8" s="127" t="str">
        <f>IFERROR(__xludf.DUMMYFUNCTION("""COMPUTED_VALUE"""),"fahmidul.islam@g.bracu.ac.bd")</f>
        <v>fahmidul.islam@g.bracu.ac.bd</v>
      </c>
    </row>
    <row r="9" ht="22.5" customHeight="1">
      <c r="A9" s="127">
        <f>IFERROR(__xludf.DUMMYFUNCTION("""COMPUTED_VALUE"""),2.3241027E7)</f>
        <v>23241027</v>
      </c>
      <c r="B9" s="127" t="str">
        <f>IFERROR(__xludf.DUMMYFUNCTION("""COMPUTED_VALUE"""),"Newaz Bin Jafor")</f>
        <v>Newaz Bin Jafor</v>
      </c>
      <c r="C9" s="127" t="str">
        <f>IFERROR(__xludf.DUMMYFUNCTION("""COMPUTED_VALUE"""),"Senior Executive")</f>
        <v>Senior Executive</v>
      </c>
      <c r="D9" s="127" t="str">
        <f>IFERROR(__xludf.DUMMYFUNCTION("""COMPUTED_VALUE"""),"newaz.bin.jafor@g.bracu.ac.bd")</f>
        <v>newaz.bin.jafor@g.bracu.ac.bd</v>
      </c>
    </row>
    <row r="10" ht="22.5" customHeight="1">
      <c r="A10" s="127">
        <f>IFERROR(__xludf.DUMMYFUNCTION("""COMPUTED_VALUE"""),2.4101404E7)</f>
        <v>24101404</v>
      </c>
      <c r="B10" s="127" t="str">
        <f>IFERROR(__xludf.DUMMYFUNCTION("""COMPUTED_VALUE"""),"Adittya Dey")</f>
        <v>Adittya Dey</v>
      </c>
      <c r="C10" s="127" t="str">
        <f>IFERROR(__xludf.DUMMYFUNCTION("""COMPUTED_VALUE"""),"Senior Executive")</f>
        <v>Senior Executive</v>
      </c>
      <c r="D10" s="127" t="str">
        <f>IFERROR(__xludf.DUMMYFUNCTION("""COMPUTED_VALUE"""),"Adittya.dey@g.bracu.ac.bd")</f>
        <v>Adittya.dey@g.bracu.ac.bd</v>
      </c>
    </row>
    <row r="11" ht="22.5" customHeight="1">
      <c r="A11" s="127">
        <f>IFERROR(__xludf.DUMMYFUNCTION("""COMPUTED_VALUE"""),2.3201312E7)</f>
        <v>23201312</v>
      </c>
      <c r="B11" s="127" t="str">
        <f>IFERROR(__xludf.DUMMYFUNCTION("""COMPUTED_VALUE"""),"Pushpita Pronoti")</f>
        <v>Pushpita Pronoti</v>
      </c>
      <c r="C11" s="127" t="str">
        <f>IFERROR(__xludf.DUMMYFUNCTION("""COMPUTED_VALUE"""),"Senior Executive")</f>
        <v>Senior Executive</v>
      </c>
      <c r="D11" s="127" t="str">
        <f>IFERROR(__xludf.DUMMYFUNCTION("""COMPUTED_VALUE"""),"pushpita.pronoti@g.bracu.ac.bd")</f>
        <v>pushpita.pronoti@g.bracu.ac.bd</v>
      </c>
    </row>
    <row r="12" ht="22.5" customHeight="1">
      <c r="A12" s="127">
        <f>IFERROR(__xludf.DUMMYFUNCTION("""COMPUTED_VALUE"""),2.3301142E7)</f>
        <v>23301142</v>
      </c>
      <c r="B12" s="127" t="str">
        <f>IFERROR(__xludf.DUMMYFUNCTION("""COMPUTED_VALUE"""),"Kazi Nazifa Tabassum")</f>
        <v>Kazi Nazifa Tabassum</v>
      </c>
      <c r="C12" s="127" t="str">
        <f>IFERROR(__xludf.DUMMYFUNCTION("""COMPUTED_VALUE"""),"Senior Executive")</f>
        <v>Senior Executive</v>
      </c>
      <c r="D12" s="127" t="str">
        <f>IFERROR(__xludf.DUMMYFUNCTION("""COMPUTED_VALUE"""),"kazi.nazifa.tabassum@g.bracu.ac.bd")</f>
        <v>kazi.nazifa.tabassum@g.bracu.ac.bd</v>
      </c>
    </row>
    <row r="13" ht="22.5" customHeight="1">
      <c r="A13" s="127">
        <f>IFERROR(__xludf.DUMMYFUNCTION("""COMPUTED_VALUE"""),2.3301588E7)</f>
        <v>23301588</v>
      </c>
      <c r="B13" s="127" t="str">
        <f>IFERROR(__xludf.DUMMYFUNCTION("""COMPUTED_VALUE"""),"Fatin Ilham")</f>
        <v>Fatin Ilham</v>
      </c>
      <c r="C13" s="127" t="str">
        <f>IFERROR(__xludf.DUMMYFUNCTION("""COMPUTED_VALUE"""),"Senior Executive")</f>
        <v>Senior Executive</v>
      </c>
      <c r="D13" s="127" t="str">
        <f>IFERROR(__xludf.DUMMYFUNCTION("""COMPUTED_VALUE"""),"fatin.ilham@g.bracu.ac.bd")</f>
        <v>fatin.ilham@g.bracu.ac.bd</v>
      </c>
    </row>
    <row r="14" ht="22.5" hidden="1" customHeight="1">
      <c r="A14" s="127">
        <f>IFERROR(__xludf.DUMMYFUNCTION("""COMPUTED_VALUE"""),1.000056868E9)</f>
        <v>1000056868</v>
      </c>
      <c r="B14" s="127" t="str">
        <f>IFERROR(__xludf.DUMMYFUNCTION("""COMPUTED_VALUE"""),"Anan Rahman Khan")</f>
        <v>Anan Rahman Khan</v>
      </c>
      <c r="C14" s="127" t="str">
        <f>IFERROR(__xludf.DUMMYFUNCTION("""COMPUTED_VALUE"""),"Executive")</f>
        <v>Executive</v>
      </c>
      <c r="D14" s="127" t="str">
        <f>IFERROR(__xludf.DUMMYFUNCTION("""COMPUTED_VALUE"""),"anan@g.bracu.ac.bd")</f>
        <v>anan@g.bracu.ac.bd</v>
      </c>
    </row>
    <row r="15" ht="22.5" hidden="1" customHeight="1">
      <c r="A15" s="127">
        <f>IFERROR(__xludf.DUMMYFUNCTION("""COMPUTED_VALUE"""),2.4301059E7)</f>
        <v>24301059</v>
      </c>
      <c r="B15" s="127" t="str">
        <f>IFERROR(__xludf.DUMMYFUNCTION("""COMPUTED_VALUE"""),"Ishfak Mahbub Samin")</f>
        <v>Ishfak Mahbub Samin</v>
      </c>
      <c r="C15" s="127" t="str">
        <f>IFERROR(__xludf.DUMMYFUNCTION("""COMPUTED_VALUE"""),"Executive")</f>
        <v>Executive</v>
      </c>
      <c r="D15" s="127" t="str">
        <f>IFERROR(__xludf.DUMMYFUNCTION("""COMPUTED_VALUE"""),"ishfak.mahbub.samin@g.bracu.ac.bd")</f>
        <v>ishfak.mahbub.samin@g.bracu.ac.bd</v>
      </c>
    </row>
    <row r="16" ht="22.5" hidden="1" customHeight="1">
      <c r="A16" s="127">
        <f>IFERROR(__xludf.DUMMYFUNCTION("""COMPUTED_VALUE"""),1.000055924E9)</f>
        <v>1000055924</v>
      </c>
      <c r="B16" s="127" t="str">
        <f>IFERROR(__xludf.DUMMYFUNCTION("""COMPUTED_VALUE"""),"Mehedi Hasan")</f>
        <v>Mehedi Hasan</v>
      </c>
      <c r="C16" s="127" t="str">
        <f>IFERROR(__xludf.DUMMYFUNCTION("""COMPUTED_VALUE"""),"Executive")</f>
        <v>Executive</v>
      </c>
      <c r="D16" s="127" t="str">
        <f>IFERROR(__xludf.DUMMYFUNCTION("""COMPUTED_VALUE"""),"mehedi.hasan18@g.bracu.ac.bd")</f>
        <v>mehedi.hasan18@g.bracu.ac.bd</v>
      </c>
    </row>
    <row r="17" ht="22.5" hidden="1" customHeight="1">
      <c r="A17" s="127">
        <f>IFERROR(__xludf.DUMMYFUNCTION("""COMPUTED_VALUE"""),1.000055085E9)</f>
        <v>1000055085</v>
      </c>
      <c r="B17" s="127" t="str">
        <f>IFERROR(__xludf.DUMMYFUNCTION("""COMPUTED_VALUE"""),"Sakif Arman")</f>
        <v>Sakif Arman</v>
      </c>
      <c r="C17" s="127" t="str">
        <f>IFERROR(__xludf.DUMMYFUNCTION("""COMPUTED_VALUE"""),"Executive")</f>
        <v>Executive</v>
      </c>
      <c r="D17" s="127" t="str">
        <f>IFERROR(__xludf.DUMMYFUNCTION("""COMPUTED_VALUE"""),"sakif.arman@g.bracu.ac.bd")</f>
        <v>sakif.arman@g.bracu.ac.bd</v>
      </c>
    </row>
    <row r="18" ht="22.5" hidden="1" customHeight="1">
      <c r="A18" s="127">
        <f>IFERROR(__xludf.DUMMYFUNCTION("""COMPUTED_VALUE"""),2.2299261E7)</f>
        <v>22299261</v>
      </c>
      <c r="B18" s="127" t="str">
        <f>IFERROR(__xludf.DUMMYFUNCTION("""COMPUTED_VALUE"""),"Md Ragib Shahriar")</f>
        <v>Md Ragib Shahriar</v>
      </c>
      <c r="C18" s="127" t="str">
        <f>IFERROR(__xludf.DUMMYFUNCTION("""COMPUTED_VALUE"""),"Executive")</f>
        <v>Executive</v>
      </c>
      <c r="D18" s="127" t="str">
        <f>IFERROR(__xludf.DUMMYFUNCTION("""COMPUTED_VALUE"""),"md.ragib.shahriar1@g.bracu.ac.bd")</f>
        <v>md.ragib.shahriar1@g.bracu.ac.bd</v>
      </c>
    </row>
    <row r="19" ht="22.5" hidden="1" customHeight="1">
      <c r="A19" s="127">
        <f>IFERROR(__xludf.DUMMYFUNCTION("""COMPUTED_VALUE"""),2.2201127E7)</f>
        <v>22201127</v>
      </c>
      <c r="B19" s="127" t="str">
        <f>IFERROR(__xludf.DUMMYFUNCTION("""COMPUTED_VALUE"""),"Mehrun-Nisa Rahman")</f>
        <v>Mehrun-Nisa Rahman</v>
      </c>
      <c r="C19" s="127" t="str">
        <f>IFERROR(__xludf.DUMMYFUNCTION("""COMPUTED_VALUE"""),"Executive")</f>
        <v>Executive</v>
      </c>
      <c r="D19" s="127" t="str">
        <f>IFERROR(__xludf.DUMMYFUNCTION("""COMPUTED_VALUE"""),"mehrun.nisa.rahman@g.bracu.ac.bd")</f>
        <v>mehrun.nisa.rahman@g.bracu.ac.bd</v>
      </c>
    </row>
    <row r="20" ht="22.5" hidden="1" customHeight="1">
      <c r="A20" s="127">
        <f>IFERROR(__xludf.DUMMYFUNCTION("""COMPUTED_VALUE"""),2.2101185E7)</f>
        <v>22101185</v>
      </c>
      <c r="B20" s="127" t="str">
        <f>IFERROR(__xludf.DUMMYFUNCTION("""COMPUTED_VALUE"""),"Farah Tabussum")</f>
        <v>Farah Tabussum</v>
      </c>
      <c r="C20" s="127" t="str">
        <f>IFERROR(__xludf.DUMMYFUNCTION("""COMPUTED_VALUE"""),"Executive")</f>
        <v>Executive</v>
      </c>
      <c r="D20" s="127" t="str">
        <f>IFERROR(__xludf.DUMMYFUNCTION("""COMPUTED_VALUE"""),"farah.tabussum@g.bracu.ac.bd")</f>
        <v>farah.tabussum@g.bracu.ac.bd</v>
      </c>
    </row>
    <row r="21" ht="22.5" hidden="1" customHeight="1">
      <c r="A21" s="127">
        <f>IFERROR(__xludf.DUMMYFUNCTION("""COMPUTED_VALUE"""),2.2101126E7)</f>
        <v>22101126</v>
      </c>
      <c r="B21" s="127" t="str">
        <f>IFERROR(__xludf.DUMMYFUNCTION("""COMPUTED_VALUE"""),"Sikder Mohammad Mahdi Swad")</f>
        <v>Sikder Mohammad Mahdi Swad</v>
      </c>
      <c r="C21" s="127" t="str">
        <f>IFERROR(__xludf.DUMMYFUNCTION("""COMPUTED_VALUE"""),"Executive")</f>
        <v>Executive</v>
      </c>
      <c r="D21" s="127" t="str">
        <f>IFERROR(__xludf.DUMMYFUNCTION("""COMPUTED_VALUE"""),"sikdermohammad.mahdiswad@g.bracu.ac.bd")</f>
        <v>sikdermohammad.mahdiswad@g.bracu.ac.bd</v>
      </c>
    </row>
    <row r="22" ht="22.5" hidden="1" customHeight="1">
      <c r="A22" s="127">
        <f>IFERROR(__xludf.DUMMYFUNCTION("""COMPUTED_VALUE"""),2.2311009E7)</f>
        <v>22311009</v>
      </c>
      <c r="B22" s="127" t="str">
        <f>IFERROR(__xludf.DUMMYFUNCTION("""COMPUTED_VALUE"""),"Samiha Tashin")</f>
        <v>Samiha Tashin</v>
      </c>
      <c r="C22" s="127" t="str">
        <f>IFERROR(__xludf.DUMMYFUNCTION("""COMPUTED_VALUE"""),"Executive")</f>
        <v>Executive</v>
      </c>
      <c r="D22" s="127" t="str">
        <f>IFERROR(__xludf.DUMMYFUNCTION("""COMPUTED_VALUE"""),"samiha.tashin@g.bracu.ac.bd")</f>
        <v>samiha.tashin@g.bracu.ac.bd</v>
      </c>
    </row>
    <row r="23" ht="22.5" hidden="1" customHeight="1">
      <c r="A23" s="127">
        <f>IFERROR(__xludf.DUMMYFUNCTION("""COMPUTED_VALUE"""),2.3201027E7)</f>
        <v>23201027</v>
      </c>
      <c r="B23" s="127" t="str">
        <f>IFERROR(__xludf.DUMMYFUNCTION("""COMPUTED_VALUE"""),"Syed Al Naphew Adib")</f>
        <v>Syed Al Naphew Adib</v>
      </c>
      <c r="C23" s="127" t="str">
        <f>IFERROR(__xludf.DUMMYFUNCTION("""COMPUTED_VALUE"""),"Executive")</f>
        <v>Executive</v>
      </c>
      <c r="D23" s="127" t="str">
        <f>IFERROR(__xludf.DUMMYFUNCTION("""COMPUTED_VALUE"""),"syed.alnaphew.adib@g.bracu.ac.bd")</f>
        <v>syed.alnaphew.adib@g.bracu.ac.bd</v>
      </c>
    </row>
    <row r="24" ht="22.5" hidden="1" customHeight="1">
      <c r="A24" s="127">
        <f>IFERROR(__xludf.DUMMYFUNCTION("""COMPUTED_VALUE"""),2.3201015E7)</f>
        <v>23201015</v>
      </c>
      <c r="B24" s="127" t="str">
        <f>IFERROR(__xludf.DUMMYFUNCTION("""COMPUTED_VALUE"""),"Antik Debnath")</f>
        <v>Antik Debnath</v>
      </c>
      <c r="C24" s="127" t="str">
        <f>IFERROR(__xludf.DUMMYFUNCTION("""COMPUTED_VALUE"""),"Executive")</f>
        <v>Executive</v>
      </c>
      <c r="D24" s="127" t="str">
        <f>IFERROR(__xludf.DUMMYFUNCTION("""COMPUTED_VALUE"""),"antik.debnath@g.bracu.ac.bd")</f>
        <v>antik.debnath@g.bracu.ac.bd</v>
      </c>
    </row>
    <row r="25" ht="22.5" hidden="1" customHeight="1">
      <c r="A25" s="127">
        <f>IFERROR(__xludf.DUMMYFUNCTION("""COMPUTED_VALUE"""),2.4101465E7)</f>
        <v>24101465</v>
      </c>
      <c r="B25" s="127" t="str">
        <f>IFERROR(__xludf.DUMMYFUNCTION("""COMPUTED_VALUE"""),"Md. Meheraz Hossain Alif")</f>
        <v>Md. Meheraz Hossain Alif</v>
      </c>
      <c r="C25" s="127" t="str">
        <f>IFERROR(__xludf.DUMMYFUNCTION("""COMPUTED_VALUE"""),"Executive")</f>
        <v>Executive</v>
      </c>
      <c r="D25" s="127" t="str">
        <f>IFERROR(__xludf.DUMMYFUNCTION("""COMPUTED_VALUE"""),"meheraz.hossain.alif@g.bracu.ac.bd")</f>
        <v>meheraz.hossain.alif@g.bracu.ac.bd</v>
      </c>
    </row>
    <row r="26" ht="22.5" hidden="1" customHeight="1">
      <c r="A26" s="127">
        <f>IFERROR(__xludf.DUMMYFUNCTION("""COMPUTED_VALUE"""),2.3201551E7)</f>
        <v>23201551</v>
      </c>
      <c r="B26" s="127" t="str">
        <f>IFERROR(__xludf.DUMMYFUNCTION("""COMPUTED_VALUE"""),"Ishmam Mohammed Chowdhury")</f>
        <v>Ishmam Mohammed Chowdhury</v>
      </c>
      <c r="C26" s="127" t="str">
        <f>IFERROR(__xludf.DUMMYFUNCTION("""COMPUTED_VALUE"""),"Executive")</f>
        <v>Executive</v>
      </c>
      <c r="D26" s="127" t="str">
        <f>IFERROR(__xludf.DUMMYFUNCTION("""COMPUTED_VALUE"""),"ishmam.mohammed.chowdhury@g.bracu.ac.bd")</f>
        <v>ishmam.mohammed.chowdhury@g.bracu.ac.bd</v>
      </c>
    </row>
    <row r="27" ht="22.5" hidden="1" customHeight="1">
      <c r="A27" s="127">
        <f>IFERROR(__xludf.DUMMYFUNCTION("""COMPUTED_VALUE"""),1.000055033E9)</f>
        <v>1000055033</v>
      </c>
      <c r="B27" s="127" t="str">
        <f>IFERROR(__xludf.DUMMYFUNCTION("""COMPUTED_VALUE"""),"Ayesha Islam Upama")</f>
        <v>Ayesha Islam Upama</v>
      </c>
      <c r="C27" s="127" t="str">
        <f>IFERROR(__xludf.DUMMYFUNCTION("""COMPUTED_VALUE"""),"Executive")</f>
        <v>Executive</v>
      </c>
      <c r="D27" s="127" t="str">
        <f>IFERROR(__xludf.DUMMYFUNCTION("""COMPUTED_VALUE"""),"Ayesha.islam.upama@g.bracu.ac.bd")</f>
        <v>Ayesha.islam.upama@g.bracu.ac.bd</v>
      </c>
    </row>
    <row r="28" ht="22.5" hidden="1" customHeight="1">
      <c r="A28" s="127">
        <f>IFERROR(__xludf.DUMMYFUNCTION("""COMPUTED_VALUE"""),2.3241003E7)</f>
        <v>23241003</v>
      </c>
      <c r="B28" s="127" t="str">
        <f>IFERROR(__xludf.DUMMYFUNCTION("""COMPUTED_VALUE"""),"Nova Tasnim")</f>
        <v>Nova Tasnim</v>
      </c>
      <c r="C28" s="127" t="str">
        <f>IFERROR(__xludf.DUMMYFUNCTION("""COMPUTED_VALUE"""),"Executive")</f>
        <v>Executive</v>
      </c>
      <c r="D28" s="127" t="str">
        <f>IFERROR(__xludf.DUMMYFUNCTION("""COMPUTED_VALUE"""),"nova.tasnim@g.bracu.ac.bd")</f>
        <v>nova.tasnim@g.bracu.ac.bd</v>
      </c>
    </row>
    <row r="29" ht="22.5" hidden="1" customHeight="1">
      <c r="A29" s="127">
        <f>IFERROR(__xludf.DUMMYFUNCTION("""COMPUTED_VALUE"""),2.4301214E7)</f>
        <v>24301214</v>
      </c>
      <c r="B29" s="127" t="str">
        <f>IFERROR(__xludf.DUMMYFUNCTION("""COMPUTED_VALUE"""),"Sneha Bhattacharjee")</f>
        <v>Sneha Bhattacharjee</v>
      </c>
      <c r="C29" s="127" t="str">
        <f>IFERROR(__xludf.DUMMYFUNCTION("""COMPUTED_VALUE"""),"Executive")</f>
        <v>Executive</v>
      </c>
      <c r="D29" s="127" t="str">
        <f>IFERROR(__xludf.DUMMYFUNCTION("""COMPUTED_VALUE"""),"sneha.bhattacharjee1@g.bracu.ac.bd")</f>
        <v>sneha.bhattacharjee1@g.bracu.ac.bd</v>
      </c>
    </row>
    <row r="30" ht="22.5" hidden="1" customHeight="1">
      <c r="A30" s="127">
        <f>IFERROR(__xludf.DUMMYFUNCTION("""COMPUTED_VALUE"""),2.3301576E7)</f>
        <v>23301576</v>
      </c>
      <c r="B30" s="127" t="str">
        <f>IFERROR(__xludf.DUMMYFUNCTION("""COMPUTED_VALUE"""),"Mehjabin Iffat Binte Mahbub")</f>
        <v>Mehjabin Iffat Binte Mahbub</v>
      </c>
      <c r="C30" s="127" t="str">
        <f>IFERROR(__xludf.DUMMYFUNCTION("""COMPUTED_VALUE"""),"General Member")</f>
        <v>General Member</v>
      </c>
      <c r="D30" s="127" t="str">
        <f>IFERROR(__xludf.DUMMYFUNCTION("""COMPUTED_VALUE"""),"mehjabiniffat.binte.mahbub@g.bracu.ac.bd")</f>
        <v>mehjabiniffat.binte.mahbub@g.bracu.ac.bd</v>
      </c>
    </row>
    <row r="31" ht="22.5" hidden="1" customHeight="1">
      <c r="A31" s="127">
        <f>IFERROR(__xludf.DUMMYFUNCTION("""COMPUTED_VALUE"""),2.3301571E7)</f>
        <v>23301571</v>
      </c>
      <c r="B31" s="127" t="str">
        <f>IFERROR(__xludf.DUMMYFUNCTION("""COMPUTED_VALUE"""),"Sidratul Muntaha Khan")</f>
        <v>Sidratul Muntaha Khan</v>
      </c>
      <c r="C31" s="127" t="str">
        <f>IFERROR(__xludf.DUMMYFUNCTION("""COMPUTED_VALUE"""),"General Member")</f>
        <v>General Member</v>
      </c>
      <c r="D31" s="127" t="str">
        <f>IFERROR(__xludf.DUMMYFUNCTION("""COMPUTED_VALUE"""),"sidratul.muntaha.khan1@g.bracu.ac.bd")</f>
        <v>sidratul.muntaha.khan1@g.bracu.ac.bd</v>
      </c>
    </row>
    <row r="32" ht="22.5" hidden="1" customHeight="1">
      <c r="A32" s="127">
        <f>IFERROR(__xludf.DUMMYFUNCTION("""COMPUTED_VALUE"""),2.3301514E7)</f>
        <v>23301514</v>
      </c>
      <c r="B32" s="127" t="str">
        <f>IFERROR(__xludf.DUMMYFUNCTION("""COMPUTED_VALUE"""),"Md. Mahathir Alam")</f>
        <v>Md. Mahathir Alam</v>
      </c>
      <c r="C32" s="127" t="str">
        <f>IFERROR(__xludf.DUMMYFUNCTION("""COMPUTED_VALUE"""),"General Member")</f>
        <v>General Member</v>
      </c>
      <c r="D32" s="127" t="str">
        <f>IFERROR(__xludf.DUMMYFUNCTION("""COMPUTED_VALUE"""),"md.mahathir.alam@g.bracu.ac.bd")</f>
        <v>md.mahathir.alam@g.bracu.ac.bd</v>
      </c>
    </row>
    <row r="33" ht="22.5" hidden="1" customHeight="1">
      <c r="A33" s="127">
        <f>IFERROR(__xludf.DUMMYFUNCTION("""COMPUTED_VALUE"""),2.330137E7)</f>
        <v>23301370</v>
      </c>
      <c r="B33" s="127" t="str">
        <f>IFERROR(__xludf.DUMMYFUNCTION("""COMPUTED_VALUE"""),"Abdullah Ash Shakur")</f>
        <v>Abdullah Ash Shakur</v>
      </c>
      <c r="C33" s="127" t="str">
        <f>IFERROR(__xludf.DUMMYFUNCTION("""COMPUTED_VALUE"""),"General Member")</f>
        <v>General Member</v>
      </c>
      <c r="D33" s="127" t="str">
        <f>IFERROR(__xludf.DUMMYFUNCTION("""COMPUTED_VALUE"""),"abdullah.ash.shakur@g.bracu.ac.bd")</f>
        <v>abdullah.ash.shakur@g.bracu.ac.bd</v>
      </c>
    </row>
    <row r="34" ht="22.5" hidden="1" customHeight="1">
      <c r="A34" s="127">
        <f>IFERROR(__xludf.DUMMYFUNCTION("""COMPUTED_VALUE"""),2.3301292E7)</f>
        <v>23301292</v>
      </c>
      <c r="B34" s="127" t="str">
        <f>IFERROR(__xludf.DUMMYFUNCTION("""COMPUTED_VALUE"""),"Mahira Tahsin Aurpa")</f>
        <v>Mahira Tahsin Aurpa</v>
      </c>
      <c r="C34" s="127" t="str">
        <f>IFERROR(__xludf.DUMMYFUNCTION("""COMPUTED_VALUE"""),"General Member")</f>
        <v>General Member</v>
      </c>
      <c r="D34" s="127" t="str">
        <f>IFERROR(__xludf.DUMMYFUNCTION("""COMPUTED_VALUE"""),"mahira.tahsin.aurpa@g.bracu.ac.bd")</f>
        <v>mahira.tahsin.aurpa@g.bracu.ac.bd</v>
      </c>
    </row>
    <row r="35" ht="22.5" hidden="1" customHeight="1">
      <c r="A35" s="127">
        <f>IFERROR(__xludf.DUMMYFUNCTION("""COMPUTED_VALUE"""),2.330103E7)</f>
        <v>23301030</v>
      </c>
      <c r="B35" s="127" t="str">
        <f>IFERROR(__xludf.DUMMYFUNCTION("""COMPUTED_VALUE"""),"Umar Ahmed Salah")</f>
        <v>Umar Ahmed Salah</v>
      </c>
      <c r="C35" s="127" t="str">
        <f>IFERROR(__xludf.DUMMYFUNCTION("""COMPUTED_VALUE"""),"General Member")</f>
        <v>General Member</v>
      </c>
      <c r="D35" s="127" t="str">
        <f>IFERROR(__xludf.DUMMYFUNCTION("""COMPUTED_VALUE"""),"umar.ahmed.salah@g.bracu.ac.bd")</f>
        <v>umar.ahmed.salah@g.bracu.ac.bd</v>
      </c>
    </row>
    <row r="36" ht="22.5" hidden="1" customHeight="1">
      <c r="A36" s="127">
        <f>IFERROR(__xludf.DUMMYFUNCTION("""COMPUTED_VALUE"""),2.3301021E7)</f>
        <v>23301021</v>
      </c>
      <c r="B36" s="127" t="str">
        <f>IFERROR(__xludf.DUMMYFUNCTION("""COMPUTED_VALUE"""),"Hasanul Banna Himel")</f>
        <v>Hasanul Banna Himel</v>
      </c>
      <c r="C36" s="127" t="str">
        <f>IFERROR(__xludf.DUMMYFUNCTION("""COMPUTED_VALUE"""),"General Member")</f>
        <v>General Member</v>
      </c>
      <c r="D36" s="127" t="str">
        <f>IFERROR(__xludf.DUMMYFUNCTION("""COMPUTED_VALUE"""),"hasanul.banna.himel@g.bracu.ac.bd")</f>
        <v>hasanul.banna.himel@g.bracu.ac.bd</v>
      </c>
    </row>
    <row r="37" ht="22.5" hidden="1" customHeight="1">
      <c r="A37" s="127">
        <f>IFERROR(__xludf.DUMMYFUNCTION("""COMPUTED_VALUE"""),2.3201677E7)</f>
        <v>23201677</v>
      </c>
      <c r="B37" s="127" t="str">
        <f>IFERROR(__xludf.DUMMYFUNCTION("""COMPUTED_VALUE"""),"Tasnia Tasnim Mumu")</f>
        <v>Tasnia Tasnim Mumu</v>
      </c>
      <c r="C37" s="127" t="str">
        <f>IFERROR(__xludf.DUMMYFUNCTION("""COMPUTED_VALUE"""),"General Member")</f>
        <v>General Member</v>
      </c>
      <c r="D37" s="127" t="str">
        <f>IFERROR(__xludf.DUMMYFUNCTION("""COMPUTED_VALUE"""),"tasnia.tasnim.mumu@g.bracu.ac.bd")</f>
        <v>tasnia.tasnim.mumu@g.bracu.ac.bd</v>
      </c>
    </row>
    <row r="38" ht="22.5" hidden="1" customHeight="1">
      <c r="A38" s="127">
        <f>IFERROR(__xludf.DUMMYFUNCTION("""COMPUTED_VALUE"""),2.3201585E7)</f>
        <v>23201585</v>
      </c>
      <c r="B38" s="127" t="str">
        <f>IFERROR(__xludf.DUMMYFUNCTION("""COMPUTED_VALUE"""),"Fahim Abrar")</f>
        <v>Fahim Abrar</v>
      </c>
      <c r="C38" s="127" t="str">
        <f>IFERROR(__xludf.DUMMYFUNCTION("""COMPUTED_VALUE"""),"General Member")</f>
        <v>General Member</v>
      </c>
      <c r="D38" s="127" t="str">
        <f>IFERROR(__xludf.DUMMYFUNCTION("""COMPUTED_VALUE"""),"fahim.abrar3@g.bracu.ac.bd")</f>
        <v>fahim.abrar3@g.bracu.ac.bd</v>
      </c>
    </row>
    <row r="39" ht="22.5" hidden="1" customHeight="1">
      <c r="A39" s="127">
        <f>IFERROR(__xludf.DUMMYFUNCTION("""COMPUTED_VALUE"""),2.3201503E7)</f>
        <v>23201503</v>
      </c>
      <c r="B39" s="127" t="str">
        <f>IFERROR(__xludf.DUMMYFUNCTION("""COMPUTED_VALUE"""),"Md. Ashabur Rahman")</f>
        <v>Md. Ashabur Rahman</v>
      </c>
      <c r="C39" s="127" t="str">
        <f>IFERROR(__xludf.DUMMYFUNCTION("""COMPUTED_VALUE"""),"General Member")</f>
        <v>General Member</v>
      </c>
      <c r="D39" s="127" t="str">
        <f>IFERROR(__xludf.DUMMYFUNCTION("""COMPUTED_VALUE"""),"md.ashabur.rahman@g.bracu.ac.bd")</f>
        <v>md.ashabur.rahman@g.bracu.ac.bd</v>
      </c>
    </row>
    <row r="40" ht="22.5" hidden="1" customHeight="1">
      <c r="A40" s="127">
        <f>IFERROR(__xludf.DUMMYFUNCTION("""COMPUTED_VALUE"""),2.3141019E7)</f>
        <v>23141019</v>
      </c>
      <c r="B40" s="127" t="str">
        <f>IFERROR(__xludf.DUMMYFUNCTION("""COMPUTED_VALUE"""),"Sheikh Sadat Ahmed")</f>
        <v>Sheikh Sadat Ahmed</v>
      </c>
      <c r="C40" s="127" t="str">
        <f>IFERROR(__xludf.DUMMYFUNCTION("""COMPUTED_VALUE"""),"General Member")</f>
        <v>General Member</v>
      </c>
      <c r="D40" s="127" t="str">
        <f>IFERROR(__xludf.DUMMYFUNCTION("""COMPUTED_VALUE"""),"sheikh.sadat.ahmed@g.bracu.ac.bd")</f>
        <v>sheikh.sadat.ahmed@g.bracu.ac.bd</v>
      </c>
    </row>
    <row r="41" ht="22.5" hidden="1" customHeight="1">
      <c r="A41" s="127">
        <f>IFERROR(__xludf.DUMMYFUNCTION("""COMPUTED_VALUE"""),2.3121087E7)</f>
        <v>23121087</v>
      </c>
      <c r="B41" s="127" t="str">
        <f>IFERROR(__xludf.DUMMYFUNCTION("""COMPUTED_VALUE"""),"Kazi Ohiduzzaman Sheam")</f>
        <v>Kazi Ohiduzzaman Sheam</v>
      </c>
      <c r="C41" s="127" t="str">
        <f>IFERROR(__xludf.DUMMYFUNCTION("""COMPUTED_VALUE"""),"General Member")</f>
        <v>General Member</v>
      </c>
      <c r="D41" s="127" t="str">
        <f>IFERROR(__xludf.DUMMYFUNCTION("""COMPUTED_VALUE"""),"kazi.ohiduzzaman.sheam@g.bracu.ac.bd")</f>
        <v>kazi.ohiduzzaman.sheam@g.bracu.ac.bd</v>
      </c>
    </row>
    <row r="42" ht="22.5" hidden="1" customHeight="1">
      <c r="A42" s="127">
        <f>IFERROR(__xludf.DUMMYFUNCTION("""COMPUTED_VALUE"""),2.3101554E7)</f>
        <v>23101554</v>
      </c>
      <c r="B42" s="127" t="str">
        <f>IFERROR(__xludf.DUMMYFUNCTION("""COMPUTED_VALUE"""),"Sajid Hassan Sarker")</f>
        <v>Sajid Hassan Sarker</v>
      </c>
      <c r="C42" s="127" t="str">
        <f>IFERROR(__xludf.DUMMYFUNCTION("""COMPUTED_VALUE"""),"General Member")</f>
        <v>General Member</v>
      </c>
      <c r="D42" s="127" t="str">
        <f>IFERROR(__xludf.DUMMYFUNCTION("""COMPUTED_VALUE"""),"sajid.hassan.sarker@g.bracu.ac.bd")</f>
        <v>sajid.hassan.sarker@g.bracu.ac.bd</v>
      </c>
    </row>
    <row r="43" ht="22.5" hidden="1" customHeight="1">
      <c r="A43" s="127">
        <f>IFERROR(__xludf.DUMMYFUNCTION("""COMPUTED_VALUE"""),2.3101468E7)</f>
        <v>23101468</v>
      </c>
      <c r="B43" s="127" t="str">
        <f>IFERROR(__xludf.DUMMYFUNCTION("""COMPUTED_VALUE"""),"Shahrat Rayan")</f>
        <v>Shahrat Rayan</v>
      </c>
      <c r="C43" s="127" t="str">
        <f>IFERROR(__xludf.DUMMYFUNCTION("""COMPUTED_VALUE"""),"General Member")</f>
        <v>General Member</v>
      </c>
      <c r="D43" s="127" t="str">
        <f>IFERROR(__xludf.DUMMYFUNCTION("""COMPUTED_VALUE"""),"shahrat.rayan@g.bracu.ac.bd")</f>
        <v>shahrat.rayan@g.bracu.ac.bd</v>
      </c>
    </row>
    <row r="44" ht="22.5" hidden="1" customHeight="1">
      <c r="A44" s="127">
        <f>IFERROR(__xludf.DUMMYFUNCTION("""COMPUTED_VALUE"""),2.3101464E7)</f>
        <v>23101464</v>
      </c>
      <c r="B44" s="127" t="str">
        <f>IFERROR(__xludf.DUMMYFUNCTION("""COMPUTED_VALUE"""),"Tausif Ahamed Adib")</f>
        <v>Tausif Ahamed Adib</v>
      </c>
      <c r="C44" s="127" t="str">
        <f>IFERROR(__xludf.DUMMYFUNCTION("""COMPUTED_VALUE"""),"General Member")</f>
        <v>General Member</v>
      </c>
      <c r="D44" s="127" t="str">
        <f>IFERROR(__xludf.DUMMYFUNCTION("""COMPUTED_VALUE"""),"tausif.ahamed.adib@g.bracu.ac.bd")</f>
        <v>tausif.ahamed.adib@g.bracu.ac.bd</v>
      </c>
    </row>
    <row r="45" ht="22.5" hidden="1" customHeight="1">
      <c r="A45" s="127">
        <f>IFERROR(__xludf.DUMMYFUNCTION("""COMPUTED_VALUE"""),2.3101434E7)</f>
        <v>23101434</v>
      </c>
      <c r="B45" s="127" t="str">
        <f>IFERROR(__xludf.DUMMYFUNCTION("""COMPUTED_VALUE"""),"Jenin Tasnim")</f>
        <v>Jenin Tasnim</v>
      </c>
      <c r="C45" s="127" t="str">
        <f>IFERROR(__xludf.DUMMYFUNCTION("""COMPUTED_VALUE"""),"General Member")</f>
        <v>General Member</v>
      </c>
      <c r="D45" s="127" t="str">
        <f>IFERROR(__xludf.DUMMYFUNCTION("""COMPUTED_VALUE"""),"jenin.tasnim@g.bracu.ac.bd")</f>
        <v>jenin.tasnim@g.bracu.ac.bd</v>
      </c>
    </row>
    <row r="46" ht="22.5" hidden="1" customHeight="1">
      <c r="A46" s="127">
        <f>IFERROR(__xludf.DUMMYFUNCTION("""COMPUTED_VALUE"""),2.3101049E7)</f>
        <v>23101049</v>
      </c>
      <c r="B46" s="127" t="str">
        <f>IFERROR(__xludf.DUMMYFUNCTION("""COMPUTED_VALUE"""),"Kazi Arafat Bin Ibrahim")</f>
        <v>Kazi Arafat Bin Ibrahim</v>
      </c>
      <c r="C46" s="127" t="str">
        <f>IFERROR(__xludf.DUMMYFUNCTION("""COMPUTED_VALUE"""),"General Member")</f>
        <v>General Member</v>
      </c>
      <c r="D46" s="127" t="str">
        <f>IFERROR(__xludf.DUMMYFUNCTION("""COMPUTED_VALUE"""),"arafat.bin.Ibrahim@g.bracu.ac.bd")</f>
        <v>arafat.bin.Ibrahim@g.bracu.ac.bd</v>
      </c>
    </row>
    <row r="47" ht="22.5" hidden="1" customHeight="1">
      <c r="A47" s="127">
        <f>IFERROR(__xludf.DUMMYFUNCTION("""COMPUTED_VALUE"""),2.2301629E7)</f>
        <v>22301629</v>
      </c>
      <c r="B47" s="127" t="str">
        <f>IFERROR(__xludf.DUMMYFUNCTION("""COMPUTED_VALUE"""),"Aditya Das Gupta")</f>
        <v>Aditya Das Gupta</v>
      </c>
      <c r="C47" s="127" t="str">
        <f>IFERROR(__xludf.DUMMYFUNCTION("""COMPUTED_VALUE"""),"General Member")</f>
        <v>General Member</v>
      </c>
      <c r="D47" s="127" t="str">
        <f>IFERROR(__xludf.DUMMYFUNCTION("""COMPUTED_VALUE"""),"aditya.das.gupta@g.bracu.ac.bd")</f>
        <v>aditya.das.gupta@g.bracu.ac.bd</v>
      </c>
    </row>
    <row r="48" ht="22.5" hidden="1" customHeight="1">
      <c r="A48" s="127">
        <f>IFERROR(__xludf.DUMMYFUNCTION("""COMPUTED_VALUE"""),2.2301002E7)</f>
        <v>22301002</v>
      </c>
      <c r="B48" s="127" t="str">
        <f>IFERROR(__xludf.DUMMYFUNCTION("""COMPUTED_VALUE"""),"Mabia Ferdous")</f>
        <v>Mabia Ferdous</v>
      </c>
      <c r="C48" s="127" t="str">
        <f>IFERROR(__xludf.DUMMYFUNCTION("""COMPUTED_VALUE"""),"General Member")</f>
        <v>General Member</v>
      </c>
      <c r="D48" s="127" t="str">
        <f>IFERROR(__xludf.DUMMYFUNCTION("""COMPUTED_VALUE"""),"mabia.ferdous@g.bracu.ac.bd")</f>
        <v>mabia.ferdous@g.bracu.ac.bd</v>
      </c>
    </row>
    <row r="49" ht="22.5" hidden="1" customHeight="1">
      <c r="A49" s="127">
        <f>IFERROR(__xludf.DUMMYFUNCTION("""COMPUTED_VALUE"""),2.2299459E7)</f>
        <v>22299459</v>
      </c>
      <c r="B49" s="127" t="str">
        <f>IFERROR(__xludf.DUMMYFUNCTION("""COMPUTED_VALUE"""),"Raihan Yusuf")</f>
        <v>Raihan Yusuf</v>
      </c>
      <c r="C49" s="127" t="str">
        <f>IFERROR(__xludf.DUMMYFUNCTION("""COMPUTED_VALUE"""),"General Member")</f>
        <v>General Member</v>
      </c>
      <c r="D49" s="127" t="str">
        <f>IFERROR(__xludf.DUMMYFUNCTION("""COMPUTED_VALUE"""),"raihan.yusuf@g.bracu.ac.bd")</f>
        <v>raihan.yusuf@g.bracu.ac.bd</v>
      </c>
    </row>
    <row r="50" ht="22.5" hidden="1" customHeight="1">
      <c r="A50" s="127">
        <f>IFERROR(__xludf.DUMMYFUNCTION("""COMPUTED_VALUE"""),2.2299373E7)</f>
        <v>22299373</v>
      </c>
      <c r="B50" s="127" t="str">
        <f>IFERROR(__xludf.DUMMYFUNCTION("""COMPUTED_VALUE"""),"Md. Musfiquer Rahman")</f>
        <v>Md. Musfiquer Rahman</v>
      </c>
      <c r="C50" s="127" t="str">
        <f>IFERROR(__xludf.DUMMYFUNCTION("""COMPUTED_VALUE"""),"General Member")</f>
        <v>General Member</v>
      </c>
      <c r="D50" s="127" t="str">
        <f>IFERROR(__xludf.DUMMYFUNCTION("""COMPUTED_VALUE"""),"md.musfiquer.rahman@g.bracu.ac.bd")</f>
        <v>md.musfiquer.rahman@g.bracu.ac.bd</v>
      </c>
    </row>
    <row r="51" ht="22.5" hidden="1" customHeight="1">
      <c r="A51" s="127">
        <f>IFERROR(__xludf.DUMMYFUNCTION("""COMPUTED_VALUE"""),2.2299116E7)</f>
        <v>22299116</v>
      </c>
      <c r="B51" s="127" t="str">
        <f>IFERROR(__xludf.DUMMYFUNCTION("""COMPUTED_VALUE"""),"Md. Faisal Iftekhar")</f>
        <v>Md. Faisal Iftekhar</v>
      </c>
      <c r="C51" s="127" t="str">
        <f>IFERROR(__xludf.DUMMYFUNCTION("""COMPUTED_VALUE"""),"General Member")</f>
        <v>General Member</v>
      </c>
      <c r="D51" s="127" t="str">
        <f>IFERROR(__xludf.DUMMYFUNCTION("""COMPUTED_VALUE"""),"md.faisal.iftekhar@g.bracu.ac.bd")</f>
        <v>md.faisal.iftekhar@g.bracu.ac.bd</v>
      </c>
    </row>
    <row r="52" ht="22.5" hidden="1" customHeight="1">
      <c r="A52" s="127">
        <f>IFERROR(__xludf.DUMMYFUNCTION("""COMPUTED_VALUE"""),2.220189E7)</f>
        <v>22201890</v>
      </c>
      <c r="B52" s="127" t="str">
        <f>IFERROR(__xludf.DUMMYFUNCTION("""COMPUTED_VALUE"""),"Atika Tabassum")</f>
        <v>Atika Tabassum</v>
      </c>
      <c r="C52" s="127" t="str">
        <f>IFERROR(__xludf.DUMMYFUNCTION("""COMPUTED_VALUE"""),"General Member")</f>
        <v>General Member</v>
      </c>
      <c r="D52" s="127" t="str">
        <f>IFERROR(__xludf.DUMMYFUNCTION("""COMPUTED_VALUE"""),"atika.tabassum1@g.bracu.ac.bd")</f>
        <v>atika.tabassum1@g.bracu.ac.bd</v>
      </c>
    </row>
    <row r="53" ht="22.5" hidden="1" customHeight="1">
      <c r="A53" s="127">
        <f>IFERROR(__xludf.DUMMYFUNCTION("""COMPUTED_VALUE"""),2.2201692E7)</f>
        <v>22201692</v>
      </c>
      <c r="B53" s="127" t="str">
        <f>IFERROR(__xludf.DUMMYFUNCTION("""COMPUTED_VALUE"""),"Tawfiq Aziz Khan Rafi")</f>
        <v>Tawfiq Aziz Khan Rafi</v>
      </c>
      <c r="C53" s="127" t="str">
        <f>IFERROR(__xludf.DUMMYFUNCTION("""COMPUTED_VALUE"""),"General Member")</f>
        <v>General Member</v>
      </c>
      <c r="D53" s="127" t="str">
        <f>IFERROR(__xludf.DUMMYFUNCTION("""COMPUTED_VALUE"""),"tawfiqaziz.khan.rafi@g.bracu.ac.bd")</f>
        <v>tawfiqaziz.khan.rafi@g.bracu.ac.bd</v>
      </c>
    </row>
    <row r="54" ht="22.5" hidden="1" customHeight="1">
      <c r="A54" s="127">
        <f>IFERROR(__xludf.DUMMYFUNCTION("""COMPUTED_VALUE"""),2.2201427E7)</f>
        <v>22201427</v>
      </c>
      <c r="B54" s="127" t="str">
        <f>IFERROR(__xludf.DUMMYFUNCTION("""COMPUTED_VALUE"""),"Wasif Billah Tanoy")</f>
        <v>Wasif Billah Tanoy</v>
      </c>
      <c r="C54" s="127" t="str">
        <f>IFERROR(__xludf.DUMMYFUNCTION("""COMPUTED_VALUE"""),"General Member")</f>
        <v>General Member</v>
      </c>
      <c r="D54" s="127" t="str">
        <f>IFERROR(__xludf.DUMMYFUNCTION("""COMPUTED_VALUE"""),"wasif.billah.tanoy@g.bracu.ac.bd")</f>
        <v>wasif.billah.tanoy@g.bracu.ac.bd</v>
      </c>
    </row>
    <row r="55" ht="22.5" hidden="1" customHeight="1">
      <c r="A55" s="127">
        <f>IFERROR(__xludf.DUMMYFUNCTION("""COMPUTED_VALUE"""),2.2201168E7)</f>
        <v>22201168</v>
      </c>
      <c r="B55" s="127" t="str">
        <f>IFERROR(__xludf.DUMMYFUNCTION("""COMPUTED_VALUE"""),"Iftekhar Hossain Rahi")</f>
        <v>Iftekhar Hossain Rahi</v>
      </c>
      <c r="C55" s="127" t="str">
        <f>IFERROR(__xludf.DUMMYFUNCTION("""COMPUTED_VALUE"""),"General Member")</f>
        <v>General Member</v>
      </c>
      <c r="D55" s="127" t="str">
        <f>IFERROR(__xludf.DUMMYFUNCTION("""COMPUTED_VALUE"""),"iftekhar.hossain.rahi@g.bracu.ac.bd")</f>
        <v>iftekhar.hossain.rahi@g.bracu.ac.bd</v>
      </c>
    </row>
    <row r="56" ht="22.5" hidden="1" customHeight="1">
      <c r="A56" s="127">
        <f>IFERROR(__xludf.DUMMYFUNCTION("""COMPUTED_VALUE"""),2.2201032E7)</f>
        <v>22201032</v>
      </c>
      <c r="B56" s="127" t="str">
        <f>IFERROR(__xludf.DUMMYFUNCTION("""COMPUTED_VALUE"""),"Md Nabil Khan")</f>
        <v>Md Nabil Khan</v>
      </c>
      <c r="C56" s="127" t="str">
        <f>IFERROR(__xludf.DUMMYFUNCTION("""COMPUTED_VALUE"""),"General Member")</f>
        <v>General Member</v>
      </c>
      <c r="D56" s="127" t="str">
        <f>IFERROR(__xludf.DUMMYFUNCTION("""COMPUTED_VALUE"""),"md.nabil.khan@g.bracu.ac.bd")</f>
        <v>md.nabil.khan@g.bracu.ac.bd</v>
      </c>
    </row>
    <row r="57" ht="22.5" hidden="1" customHeight="1">
      <c r="A57" s="127">
        <f>IFERROR(__xludf.DUMMYFUNCTION("""COMPUTED_VALUE"""),2.2101452E7)</f>
        <v>22101452</v>
      </c>
      <c r="B57" s="127" t="str">
        <f>IFERROR(__xludf.DUMMYFUNCTION("""COMPUTED_VALUE"""),"Md. Fuadur Rahman")</f>
        <v>Md. Fuadur Rahman</v>
      </c>
      <c r="C57" s="127" t="str">
        <f>IFERROR(__xludf.DUMMYFUNCTION("""COMPUTED_VALUE"""),"General Member")</f>
        <v>General Member</v>
      </c>
      <c r="D57" s="127" t="str">
        <f>IFERROR(__xludf.DUMMYFUNCTION("""COMPUTED_VALUE"""),"fuadur.rahman.mollah@g.bracu.ac.bd")</f>
        <v>fuadur.rahman.mollah@g.bracu.ac.bd</v>
      </c>
    </row>
    <row r="58" ht="22.5" hidden="1" customHeight="1">
      <c r="A58" s="127">
        <f>IFERROR(__xludf.DUMMYFUNCTION("""COMPUTED_VALUE"""),2.2101411E7)</f>
        <v>22101411</v>
      </c>
      <c r="B58" s="127" t="str">
        <f>IFERROR(__xludf.DUMMYFUNCTION("""COMPUTED_VALUE"""),"Saikat Rahman Asif")</f>
        <v>Saikat Rahman Asif</v>
      </c>
      <c r="C58" s="127" t="str">
        <f>IFERROR(__xludf.DUMMYFUNCTION("""COMPUTED_VALUE"""),"General Member")</f>
        <v>General Member</v>
      </c>
      <c r="D58" s="127" t="str">
        <f>IFERROR(__xludf.DUMMYFUNCTION("""COMPUTED_VALUE"""),"saikat.rahman.asif@g.bracu.ac.bd")</f>
        <v>saikat.rahman.asif@g.bracu.ac.bd</v>
      </c>
    </row>
    <row r="59" ht="22.5" hidden="1" customHeight="1">
      <c r="A59" s="127">
        <f>IFERROR(__xludf.DUMMYFUNCTION("""COMPUTED_VALUE"""),2.2101281E7)</f>
        <v>22101281</v>
      </c>
      <c r="B59" s="127" t="str">
        <f>IFERROR(__xludf.DUMMYFUNCTION("""COMPUTED_VALUE"""),"Sadia Sultana")</f>
        <v>Sadia Sultana</v>
      </c>
      <c r="C59" s="127" t="str">
        <f>IFERROR(__xludf.DUMMYFUNCTION("""COMPUTED_VALUE"""),"General Member")</f>
        <v>General Member</v>
      </c>
      <c r="D59" s="127" t="str">
        <f>IFERROR(__xludf.DUMMYFUNCTION("""COMPUTED_VALUE"""),"sadia.sultana.tamim@g.bracu.ac.bd")</f>
        <v>sadia.sultana.tamim@g.bracu.ac.bd</v>
      </c>
    </row>
    <row r="60" ht="22.5" hidden="1" customHeight="1">
      <c r="A60" s="127">
        <f>IFERROR(__xludf.DUMMYFUNCTION("""COMPUTED_VALUE"""),2.4101526E7)</f>
        <v>24101526</v>
      </c>
      <c r="B60" s="127" t="str">
        <f>IFERROR(__xludf.DUMMYFUNCTION("""COMPUTED_VALUE"""),"Monaz Zerin Monir Bismah")</f>
        <v>Monaz Zerin Monir Bismah</v>
      </c>
      <c r="C60" s="127" t="str">
        <f>IFERROR(__xludf.DUMMYFUNCTION("""COMPUTED_VALUE"""),"General Member")</f>
        <v>General Member</v>
      </c>
      <c r="D60" s="127" t="str">
        <f>IFERROR(__xludf.DUMMYFUNCTION("""COMPUTED_VALUE"""),"monaz.zerin.monirbismah@g.bracu.ac.bd")</f>
        <v>monaz.zerin.monirbismah@g.bracu.ac.bd</v>
      </c>
    </row>
    <row r="61" ht="22.5" hidden="1" customHeight="1">
      <c r="A61" s="127">
        <f>IFERROR(__xludf.DUMMYFUNCTION("""COMPUTED_VALUE"""),2.4301588E7)</f>
        <v>24301588</v>
      </c>
      <c r="B61" s="127" t="str">
        <f>IFERROR(__xludf.DUMMYFUNCTION("""COMPUTED_VALUE"""),"Sani Munir Mannan Muntazar")</f>
        <v>Sani Munir Mannan Muntazar</v>
      </c>
      <c r="C61" s="127" t="str">
        <f>IFERROR(__xludf.DUMMYFUNCTION("""COMPUTED_VALUE"""),"General Member")</f>
        <v>General Member</v>
      </c>
      <c r="D61" s="127" t="str">
        <f>IFERROR(__xludf.DUMMYFUNCTION("""COMPUTED_VALUE"""),"sanimunir.mannan.muntazar@g.bracu.ac.bd")</f>
        <v>sanimunir.mannan.muntazar@g.bracu.ac.bd</v>
      </c>
    </row>
    <row r="62" ht="22.5" hidden="1" customHeight="1">
      <c r="A62" s="127">
        <f>IFERROR(__xludf.DUMMYFUNCTION("""COMPUTED_VALUE"""),2.3121068E7)</f>
        <v>23121068</v>
      </c>
      <c r="B62" s="127" t="str">
        <f>IFERROR(__xludf.DUMMYFUNCTION("""COMPUTED_VALUE"""),"Salman Siddique")</f>
        <v>Salman Siddique</v>
      </c>
      <c r="C62" s="127" t="str">
        <f>IFERROR(__xludf.DUMMYFUNCTION("""COMPUTED_VALUE"""),"General Member")</f>
        <v>General Member</v>
      </c>
      <c r="D62" s="127" t="str">
        <f>IFERROR(__xludf.DUMMYFUNCTION("""COMPUTED_VALUE"""),"salman.siddique@g.bracu.ac.bd")</f>
        <v>salman.siddique@g.bracu.ac.bd</v>
      </c>
    </row>
    <row r="63" ht="22.5" hidden="1" customHeight="1">
      <c r="A63" s="127">
        <f>IFERROR(__xludf.DUMMYFUNCTION("""COMPUTED_VALUE"""),2.2101649E7)</f>
        <v>22101649</v>
      </c>
      <c r="B63" s="127" t="str">
        <f>IFERROR(__xludf.DUMMYFUNCTION("""COMPUTED_VALUE"""),"Nazmoon Nahar Aka")</f>
        <v>Nazmoon Nahar Aka</v>
      </c>
      <c r="C63" s="127" t="str">
        <f>IFERROR(__xludf.DUMMYFUNCTION("""COMPUTED_VALUE"""),"General Member")</f>
        <v>General Member</v>
      </c>
      <c r="D63" s="127" t="str">
        <f>IFERROR(__xludf.DUMMYFUNCTION("""COMPUTED_VALUE"""),"nazmoon.nahar.aka@g.bracu.ac.bd")</f>
        <v>nazmoon.nahar.aka@g.bracu.ac.bd</v>
      </c>
    </row>
    <row r="64" ht="22.5" hidden="1" customHeight="1">
      <c r="A64" s="127">
        <f>IFERROR(__xludf.DUMMYFUNCTION("""COMPUTED_VALUE"""),2.2201739E7)</f>
        <v>22201739</v>
      </c>
      <c r="B64" s="127" t="str">
        <f>IFERROR(__xludf.DUMMYFUNCTION("""COMPUTED_VALUE"""),"Syed Habibul Bashar")</f>
        <v>Syed Habibul Bashar</v>
      </c>
      <c r="C64" s="127" t="str">
        <f>IFERROR(__xludf.DUMMYFUNCTION("""COMPUTED_VALUE"""),"General Member")</f>
        <v>General Member</v>
      </c>
      <c r="D64" s="127" t="str">
        <f>IFERROR(__xludf.DUMMYFUNCTION("""COMPUTED_VALUE"""),"syed.habibul.bashar@g.bracu.ac.bd")</f>
        <v>syed.habibul.bashar@g.bracu.ac.bd</v>
      </c>
    </row>
    <row r="65" ht="22.5" hidden="1" customHeight="1">
      <c r="A65" s="127">
        <f>IFERROR(__xludf.DUMMYFUNCTION("""COMPUTED_VALUE"""),2.2201852E7)</f>
        <v>22201852</v>
      </c>
      <c r="B65" s="127" t="str">
        <f>IFERROR(__xludf.DUMMYFUNCTION("""COMPUTED_VALUE"""),"Shagupta Tasnim")</f>
        <v>Shagupta Tasnim</v>
      </c>
      <c r="C65" s="127" t="str">
        <f>IFERROR(__xludf.DUMMYFUNCTION("""COMPUTED_VALUE"""),"General Member")</f>
        <v>General Member</v>
      </c>
      <c r="D65" s="127" t="str">
        <f>IFERROR(__xludf.DUMMYFUNCTION("""COMPUTED_VALUE"""),"shagupta.tasnim@g.bracu.ac.bd")</f>
        <v>shagupta.tasnim@g.bracu.ac.bd</v>
      </c>
    </row>
    <row r="66" ht="22.5" hidden="1" customHeight="1">
      <c r="A66" s="127">
        <f>IFERROR(__xludf.DUMMYFUNCTION("""COMPUTED_VALUE"""),2.4101634E7)</f>
        <v>24101634</v>
      </c>
      <c r="B66" s="127" t="str">
        <f>IFERROR(__xludf.DUMMYFUNCTION("""COMPUTED_VALUE"""),"Muktadir Rahman")</f>
        <v>Muktadir Rahman</v>
      </c>
      <c r="C66" s="127" t="str">
        <f>IFERROR(__xludf.DUMMYFUNCTION("""COMPUTED_VALUE"""),"General Member")</f>
        <v>General Member</v>
      </c>
      <c r="D66" s="127" t="str">
        <f>IFERROR(__xludf.DUMMYFUNCTION("""COMPUTED_VALUE"""),"muktadir.rahman@g.bracu.ac.bd")</f>
        <v>muktadir.rahman@g.bracu.ac.bd</v>
      </c>
    </row>
    <row r="67" ht="22.5" hidden="1" customHeight="1">
      <c r="A67" s="127">
        <f>IFERROR(__xludf.DUMMYFUNCTION("""COMPUTED_VALUE"""),2.430114E7)</f>
        <v>24301140</v>
      </c>
      <c r="B67" s="127" t="str">
        <f>IFERROR(__xludf.DUMMYFUNCTION("""COMPUTED_VALUE"""),"Sharaf Ahmed")</f>
        <v>Sharaf Ahmed</v>
      </c>
      <c r="C67" s="127" t="str">
        <f>IFERROR(__xludf.DUMMYFUNCTION("""COMPUTED_VALUE"""),"General Member")</f>
        <v>General Member</v>
      </c>
      <c r="D67" s="127" t="str">
        <f>IFERROR(__xludf.DUMMYFUNCTION("""COMPUTED_VALUE"""),"sharaf.ahmed@g.bracu.ac.bd")</f>
        <v>sharaf.ahmed@g.bracu.ac.bd</v>
      </c>
    </row>
    <row r="68" ht="22.5" hidden="1" customHeight="1">
      <c r="A68" s="127">
        <f>IFERROR(__xludf.DUMMYFUNCTION("""COMPUTED_VALUE"""),2.4301249E7)</f>
        <v>24301249</v>
      </c>
      <c r="B68" s="127" t="str">
        <f>IFERROR(__xludf.DUMMYFUNCTION("""COMPUTED_VALUE"""),"Adiba Anjum ( MITHILA )")</f>
        <v>Adiba Anjum ( MITHILA )</v>
      </c>
      <c r="C68" s="127" t="str">
        <f>IFERROR(__xludf.DUMMYFUNCTION("""COMPUTED_VALUE"""),"General Member")</f>
        <v>General Member</v>
      </c>
      <c r="D68" s="127" t="str">
        <f>IFERROR(__xludf.DUMMYFUNCTION("""COMPUTED_VALUE"""),"adiba.anjum@g.bracu.ac.bd")</f>
        <v>adiba.anjum@g.bracu.ac.bd</v>
      </c>
    </row>
    <row r="69" ht="22.5" hidden="1" customHeight="1">
      <c r="A69" s="127">
        <f>IFERROR(__xludf.DUMMYFUNCTION("""COMPUTED_VALUE"""),2.2201003E7)</f>
        <v>22201003</v>
      </c>
      <c r="B69" s="127" t="str">
        <f>IFERROR(__xludf.DUMMYFUNCTION("""COMPUTED_VALUE"""),"Rayan Tamim Ahona")</f>
        <v>Rayan Tamim Ahona</v>
      </c>
      <c r="C69" s="127" t="str">
        <f>IFERROR(__xludf.DUMMYFUNCTION("""COMPUTED_VALUE"""),"General Member")</f>
        <v>General Member</v>
      </c>
      <c r="D69" s="127" t="str">
        <f>IFERROR(__xludf.DUMMYFUNCTION("""COMPUTED_VALUE"""),"rayan.tamim.ahona@g.bracu.ac.bd")</f>
        <v>rayan.tamim.ahona@g.bracu.ac.bd</v>
      </c>
    </row>
    <row r="70" ht="22.5" hidden="1" customHeight="1">
      <c r="A70" s="127">
        <f>IFERROR(__xludf.DUMMYFUNCTION("""COMPUTED_VALUE"""),2.4301171E7)</f>
        <v>24301171</v>
      </c>
      <c r="B70" s="127" t="str">
        <f>IFERROR(__xludf.DUMMYFUNCTION("""COMPUTED_VALUE"""),"Rahib Khan")</f>
        <v>Rahib Khan</v>
      </c>
      <c r="C70" s="127" t="str">
        <f>IFERROR(__xludf.DUMMYFUNCTION("""COMPUTED_VALUE"""),"General Member")</f>
        <v>General Member</v>
      </c>
      <c r="D70" s="127" t="str">
        <f>IFERROR(__xludf.DUMMYFUNCTION("""COMPUTED_VALUE"""),"rahib.khan@g.bracu.ac.bd")</f>
        <v>rahib.khan@g.bracu.ac.bd</v>
      </c>
    </row>
    <row r="71" ht="22.5" hidden="1" customHeight="1">
      <c r="A71" s="127">
        <f>IFERROR(__xludf.DUMMYFUNCTION("""COMPUTED_VALUE"""),2.4301244E7)</f>
        <v>24301244</v>
      </c>
      <c r="B71" s="127" t="str">
        <f>IFERROR(__xludf.DUMMYFUNCTION("""COMPUTED_VALUE"""),"Quazi Naqibul Alam")</f>
        <v>Quazi Naqibul Alam</v>
      </c>
      <c r="C71" s="127" t="str">
        <f>IFERROR(__xludf.DUMMYFUNCTION("""COMPUTED_VALUE"""),"General Member")</f>
        <v>General Member</v>
      </c>
      <c r="D71" s="127" t="str">
        <f>IFERROR(__xludf.DUMMYFUNCTION("""COMPUTED_VALUE"""),"quazi.naqibul.alam@g.bracu.ac.bd")</f>
        <v>quazi.naqibul.alam@g.bracu.ac.bd</v>
      </c>
    </row>
    <row r="72" ht="22.5" hidden="1" customHeight="1">
      <c r="A72" s="127">
        <f>IFERROR(__xludf.DUMMYFUNCTION("""COMPUTED_VALUE"""),2.3201273E7)</f>
        <v>23201273</v>
      </c>
      <c r="B72" s="127" t="str">
        <f>IFERROR(__xludf.DUMMYFUNCTION("""COMPUTED_VALUE"""),"Shaira Binte Aziz")</f>
        <v>Shaira Binte Aziz</v>
      </c>
      <c r="C72" s="127" t="str">
        <f>IFERROR(__xludf.DUMMYFUNCTION("""COMPUTED_VALUE"""),"General Member")</f>
        <v>General Member</v>
      </c>
      <c r="D72" s="127" t="str">
        <f>IFERROR(__xludf.DUMMYFUNCTION("""COMPUTED_VALUE"""),"shaira.binte.aziz@g.bracu.ac.bd")</f>
        <v>shaira.binte.aziz@g.bracu.ac.bd</v>
      </c>
    </row>
    <row r="73" ht="22.5" hidden="1" customHeight="1">
      <c r="A73" s="127">
        <f>IFERROR(__xludf.DUMMYFUNCTION("""COMPUTED_VALUE"""),2.2101362E7)</f>
        <v>22101362</v>
      </c>
      <c r="B73" s="127" t="str">
        <f>IFERROR(__xludf.DUMMYFUNCTION("""COMPUTED_VALUE"""),"Plabon Mondal")</f>
        <v>Plabon Mondal</v>
      </c>
      <c r="C73" s="127" t="str">
        <f>IFERROR(__xludf.DUMMYFUNCTION("""COMPUTED_VALUE"""),"General Member")</f>
        <v>General Member</v>
      </c>
      <c r="D73" s="127" t="str">
        <f>IFERROR(__xludf.DUMMYFUNCTION("""COMPUTED_VALUE"""),"plabon.mondal@g.bracu.ac.bd")</f>
        <v>plabon.mondal@g.bracu.ac.bd</v>
      </c>
    </row>
    <row r="74" ht="22.5" hidden="1" customHeight="1">
      <c r="A74" s="127">
        <f>IFERROR(__xludf.DUMMYFUNCTION("""COMPUTED_VALUE"""),2.3103013E7)</f>
        <v>23103013</v>
      </c>
      <c r="B74" s="127" t="str">
        <f>IFERROR(__xludf.DUMMYFUNCTION("""COMPUTED_VALUE"""),"Mihir Foysal Mahin")</f>
        <v>Mihir Foysal Mahin</v>
      </c>
      <c r="C74" s="127" t="str">
        <f>IFERROR(__xludf.DUMMYFUNCTION("""COMPUTED_VALUE"""),"General Member")</f>
        <v>General Member</v>
      </c>
      <c r="D74" s="127" t="str">
        <f>IFERROR(__xludf.DUMMYFUNCTION("""COMPUTED_VALUE"""),"mihir.foysal.mahin@g.bracu.ac.bd")</f>
        <v>mihir.foysal.mahin@g.bracu.ac.bd</v>
      </c>
    </row>
    <row r="75" ht="22.5" hidden="1" customHeight="1">
      <c r="A75" s="127">
        <f>IFERROR(__xludf.DUMMYFUNCTION("""COMPUTED_VALUE"""),2.3201512E7)</f>
        <v>23201512</v>
      </c>
      <c r="B75" s="127" t="str">
        <f>IFERROR(__xludf.DUMMYFUNCTION("""COMPUTED_VALUE"""),"Adib Mohsin")</f>
        <v>Adib Mohsin</v>
      </c>
      <c r="C75" s="127" t="str">
        <f>IFERROR(__xludf.DUMMYFUNCTION("""COMPUTED_VALUE"""),"General Member")</f>
        <v>General Member</v>
      </c>
      <c r="D75" s="127" t="str">
        <f>IFERROR(__xludf.DUMMYFUNCTION("""COMPUTED_VALUE"""),"adib.mohsin@g.bracu.ac.bd")</f>
        <v>adib.mohsin@g.bracu.ac.bd</v>
      </c>
    </row>
    <row r="76" ht="22.5" hidden="1" customHeight="1">
      <c r="A76" s="127">
        <f>IFERROR(__xludf.DUMMYFUNCTION("""COMPUTED_VALUE"""),2.3201651E7)</f>
        <v>23201651</v>
      </c>
      <c r="B76" s="127" t="str">
        <f>IFERROR(__xludf.DUMMYFUNCTION("""COMPUTED_VALUE"""),"Adnan Wahid")</f>
        <v>Adnan Wahid</v>
      </c>
      <c r="C76" s="127" t="str">
        <f>IFERROR(__xludf.DUMMYFUNCTION("""COMPUTED_VALUE"""),"General Member")</f>
        <v>General Member</v>
      </c>
      <c r="D76" s="127" t="str">
        <f>IFERROR(__xludf.DUMMYFUNCTION("""COMPUTED_VALUE"""),"adnan.wahid@g.bracu.ac.bd")</f>
        <v>adnan.wahid@g.bracu.ac.bd</v>
      </c>
    </row>
    <row r="77" ht="22.5" hidden="1" customHeight="1">
      <c r="A77" s="127">
        <f>IFERROR(__xludf.DUMMYFUNCTION("""COMPUTED_VALUE"""),2.3301305E7)</f>
        <v>23301305</v>
      </c>
      <c r="B77" s="127" t="str">
        <f>IFERROR(__xludf.DUMMYFUNCTION("""COMPUTED_VALUE"""),"Kazi Md Rafid Nur Ferdous")</f>
        <v>Kazi Md Rafid Nur Ferdous</v>
      </c>
      <c r="C77" s="127" t="str">
        <f>IFERROR(__xludf.DUMMYFUNCTION("""COMPUTED_VALUE"""),"General Member")</f>
        <v>General Member</v>
      </c>
      <c r="D77" s="127" t="str">
        <f>IFERROR(__xludf.DUMMYFUNCTION("""COMPUTED_VALUE"""),"raffid.nur.ferdous@g.bracu.ac.bd")</f>
        <v>raffid.nur.ferdous@g.bracu.ac.bd</v>
      </c>
    </row>
    <row r="78" ht="22.5" hidden="1" customHeight="1">
      <c r="A78" s="127">
        <f>IFERROR(__xludf.DUMMYFUNCTION("""COMPUTED_VALUE"""),2.3301669E7)</f>
        <v>23301669</v>
      </c>
      <c r="B78" s="127" t="str">
        <f>IFERROR(__xludf.DUMMYFUNCTION("""COMPUTED_VALUE"""),"MD Rifat Chowdhury")</f>
        <v>MD Rifat Chowdhury</v>
      </c>
      <c r="C78" s="127" t="str">
        <f>IFERROR(__xludf.DUMMYFUNCTION("""COMPUTED_VALUE"""),"General Member")</f>
        <v>General Member</v>
      </c>
      <c r="D78" s="127" t="str">
        <f>IFERROR(__xludf.DUMMYFUNCTION("""COMPUTED_VALUE"""),"md.rifat.chowdhury@g.bracu.ac.bd")</f>
        <v>md.rifat.chowdhury@g.bracu.ac.bd</v>
      </c>
    </row>
    <row r="79" ht="22.5" hidden="1" customHeight="1">
      <c r="A79" s="127">
        <f>IFERROR(__xludf.DUMMYFUNCTION("""COMPUTED_VALUE"""),2.4101239E7)</f>
        <v>24101239</v>
      </c>
      <c r="B79" s="127" t="str">
        <f>IFERROR(__xludf.DUMMYFUNCTION("""COMPUTED_VALUE"""),"Farhan Sadid")</f>
        <v>Farhan Sadid</v>
      </c>
      <c r="C79" s="127" t="str">
        <f>IFERROR(__xludf.DUMMYFUNCTION("""COMPUTED_VALUE"""),"General Member")</f>
        <v>General Member</v>
      </c>
      <c r="D79" s="127" t="str">
        <f>IFERROR(__xludf.DUMMYFUNCTION("""COMPUTED_VALUE"""),"farhan.sadid@g.bracu.ac.bd")</f>
        <v>farhan.sadid@g.bracu.ac.bd</v>
      </c>
    </row>
    <row r="80" ht="22.5" hidden="1" customHeight="1">
      <c r="A80" s="127">
        <f>IFERROR(__xludf.DUMMYFUNCTION("""COMPUTED_VALUE"""),2.4101427E7)</f>
        <v>24101427</v>
      </c>
      <c r="B80" s="127" t="str">
        <f>IFERROR(__xludf.DUMMYFUNCTION("""COMPUTED_VALUE"""),"Noushin Saadaf Khan")</f>
        <v>Noushin Saadaf Khan</v>
      </c>
      <c r="C80" s="127" t="str">
        <f>IFERROR(__xludf.DUMMYFUNCTION("""COMPUTED_VALUE"""),"General Member")</f>
        <v>General Member</v>
      </c>
      <c r="D80" s="127" t="str">
        <f>IFERROR(__xludf.DUMMYFUNCTION("""COMPUTED_VALUE"""),"Noushin.saadaf.khan@g.bracu.ac.bd")</f>
        <v>Noushin.saadaf.khan@g.bracu.ac.bd</v>
      </c>
    </row>
    <row r="81" ht="22.5" hidden="1" customHeight="1">
      <c r="A81" s="127">
        <f>IFERROR(__xludf.DUMMYFUNCTION("""COMPUTED_VALUE"""),2.4101582E7)</f>
        <v>24101582</v>
      </c>
      <c r="B81" s="127" t="str">
        <f>IFERROR(__xludf.DUMMYFUNCTION("""COMPUTED_VALUE"""),"MD. Golam Mortuza Ali Rohan")</f>
        <v>MD. Golam Mortuza Ali Rohan</v>
      </c>
      <c r="C81" s="127" t="str">
        <f>IFERROR(__xludf.DUMMYFUNCTION("""COMPUTED_VALUE"""),"General Member")</f>
        <v>General Member</v>
      </c>
      <c r="D81" s="127" t="str">
        <f>IFERROR(__xludf.DUMMYFUNCTION("""COMPUTED_VALUE"""),"golam.mortuza.ali@g.bracu.ac.bd")</f>
        <v>golam.mortuza.ali@g.bracu.ac.bd</v>
      </c>
    </row>
    <row r="82" ht="22.5" hidden="1" customHeight="1">
      <c r="A82" s="127">
        <f>IFERROR(__xludf.DUMMYFUNCTION("""COMPUTED_VALUE"""),2.4201295E7)</f>
        <v>24201295</v>
      </c>
      <c r="B82" s="127" t="str">
        <f>IFERROR(__xludf.DUMMYFUNCTION("""COMPUTED_VALUE"""),"Mahmood Almas Zakaria Sreyan")</f>
        <v>Mahmood Almas Zakaria Sreyan</v>
      </c>
      <c r="C82" s="127" t="str">
        <f>IFERROR(__xludf.DUMMYFUNCTION("""COMPUTED_VALUE"""),"General Member")</f>
        <v>General Member</v>
      </c>
      <c r="D82" s="127" t="str">
        <f>IFERROR(__xludf.DUMMYFUNCTION("""COMPUTED_VALUE"""),"mahmood.almas.zakaria@g.bracu.ac.bd")</f>
        <v>mahmood.almas.zakaria@g.bracu.ac.bd</v>
      </c>
    </row>
    <row r="83" ht="22.5" hidden="1" customHeight="1">
      <c r="A83" s="127">
        <f>IFERROR(__xludf.DUMMYFUNCTION("""COMPUTED_VALUE"""),2.420136E7)</f>
        <v>24201360</v>
      </c>
      <c r="B83" s="127" t="str">
        <f>IFERROR(__xludf.DUMMYFUNCTION("""COMPUTED_VALUE"""),"Tajrean Karim Taj")</f>
        <v>Tajrean Karim Taj</v>
      </c>
      <c r="C83" s="127" t="str">
        <f>IFERROR(__xludf.DUMMYFUNCTION("""COMPUTED_VALUE"""),"General Member")</f>
        <v>General Member</v>
      </c>
      <c r="D83" s="127" t="str">
        <f>IFERROR(__xludf.DUMMYFUNCTION("""COMPUTED_VALUE"""),"tajrean.karim.taj@g.bracu.ac.bd")</f>
        <v>tajrean.karim.taj@g.bracu.ac.bd</v>
      </c>
    </row>
    <row r="84" ht="22.5" hidden="1" customHeight="1">
      <c r="A84" s="127">
        <f>IFERROR(__xludf.DUMMYFUNCTION("""COMPUTED_VALUE"""),2.4301194E7)</f>
        <v>24301194</v>
      </c>
      <c r="B84" s="127" t="str">
        <f>IFERROR(__xludf.DUMMYFUNCTION("""COMPUTED_VALUE"""),"Saima Adiba Alam")</f>
        <v>Saima Adiba Alam</v>
      </c>
      <c r="C84" s="127" t="str">
        <f>IFERROR(__xludf.DUMMYFUNCTION("""COMPUTED_VALUE"""),"General Member")</f>
        <v>General Member</v>
      </c>
      <c r="D84" s="127" t="str">
        <f>IFERROR(__xludf.DUMMYFUNCTION("""COMPUTED_VALUE"""),"saima.adiba.alam@g.bracu.ac.bd")</f>
        <v>saima.adiba.alam@g.bracu.ac.bd</v>
      </c>
    </row>
    <row r="85" ht="22.5" hidden="1" customHeight="1">
      <c r="A85" s="127">
        <f>IFERROR(__xludf.DUMMYFUNCTION("""COMPUTED_VALUE"""),1.000054729E9)</f>
        <v>1000054729</v>
      </c>
      <c r="B85" s="127" t="str">
        <f>IFERROR(__xludf.DUMMYFUNCTION("""COMPUTED_VALUE"""),"Naseef Nazrul Islam")</f>
        <v>Naseef Nazrul Islam</v>
      </c>
      <c r="C85" s="127" t="str">
        <f>IFERROR(__xludf.DUMMYFUNCTION("""COMPUTED_VALUE"""),"General Member")</f>
        <v>General Member</v>
      </c>
      <c r="D85" s="127" t="str">
        <f>IFERROR(__xludf.DUMMYFUNCTION("""COMPUTED_VALUE"""),"naseef.nazrul.islam@g.bracu.ac.bd")</f>
        <v>naseef.nazrul.islam@g.bracu.ac.bd</v>
      </c>
    </row>
    <row r="86" ht="22.5" hidden="1" customHeight="1">
      <c r="A86" s="127">
        <f>IFERROR(__xludf.DUMMYFUNCTION("""COMPUTED_VALUE"""),2.4101237E7)</f>
        <v>24101237</v>
      </c>
      <c r="B86" s="127" t="str">
        <f>IFERROR(__xludf.DUMMYFUNCTION("""COMPUTED_VALUE"""),"Shamsul Azam MD Naser")</f>
        <v>Shamsul Azam MD Naser</v>
      </c>
      <c r="C86" s="127" t="str">
        <f>IFERROR(__xludf.DUMMYFUNCTION("""COMPUTED_VALUE"""),"General Member")</f>
        <v>General Member</v>
      </c>
      <c r="D86" s="127" t="str">
        <f>IFERROR(__xludf.DUMMYFUNCTION("""COMPUTED_VALUE"""),"shamsulazam.md.naser@g.bracu.ac.bd")</f>
        <v>shamsulazam.md.naser@g.bracu.ac.bd</v>
      </c>
    </row>
    <row r="87" ht="22.5" hidden="1" customHeight="1">
      <c r="A87" s="127">
        <f>IFERROR(__xludf.DUMMYFUNCTION("""COMPUTED_VALUE"""),2.4101607E7)</f>
        <v>24101607</v>
      </c>
      <c r="B87" s="127" t="str">
        <f>IFERROR(__xludf.DUMMYFUNCTION("""COMPUTED_VALUE"""),"Mohammad Rashedul Haque")</f>
        <v>Mohammad Rashedul Haque</v>
      </c>
      <c r="C87" s="127" t="str">
        <f>IFERROR(__xludf.DUMMYFUNCTION("""COMPUTED_VALUE"""),"General Member")</f>
        <v>General Member</v>
      </c>
      <c r="D87" s="127" t="str">
        <f>IFERROR(__xludf.DUMMYFUNCTION("""COMPUTED_VALUE"""),"mohammad.rashedul.haque@g.bracu.ac.bd")</f>
        <v>mohammad.rashedul.haque@g.bracu.ac.bd</v>
      </c>
    </row>
    <row r="88" ht="22.5" hidden="1" customHeight="1">
      <c r="A88" s="127">
        <f>IFERROR(__xludf.DUMMYFUNCTION("""COMPUTED_VALUE"""),2.4321343E7)</f>
        <v>24321343</v>
      </c>
      <c r="B88" s="127" t="str">
        <f>IFERROR(__xludf.DUMMYFUNCTION("""COMPUTED_VALUE"""),"Md. Tauhid Uz-Zaman")</f>
        <v>Md. Tauhid Uz-Zaman</v>
      </c>
      <c r="C88" s="127" t="str">
        <f>IFERROR(__xludf.DUMMYFUNCTION("""COMPUTED_VALUE"""),"General Member")</f>
        <v>General Member</v>
      </c>
      <c r="D88" s="127" t="str">
        <f>IFERROR(__xludf.DUMMYFUNCTION("""COMPUTED_VALUE"""),"tauhid.uz.zaman@g.bracu.ac.bd")</f>
        <v>tauhid.uz.zaman@g.bracu.ac.bd</v>
      </c>
    </row>
    <row r="89" ht="22.5" hidden="1" customHeight="1">
      <c r="A89" s="127">
        <f>IFERROR(__xludf.DUMMYFUNCTION("""COMPUTED_VALUE"""),2.5104006E7)</f>
        <v>25104006</v>
      </c>
      <c r="B89" s="127" t="str">
        <f>IFERROR(__xludf.DUMMYFUNCTION("""COMPUTED_VALUE"""),"Sabbir Bin Abbas")</f>
        <v>Sabbir Bin Abbas</v>
      </c>
      <c r="C89" s="127" t="str">
        <f>IFERROR(__xludf.DUMMYFUNCTION("""COMPUTED_VALUE"""),"General Member")</f>
        <v>General Member</v>
      </c>
      <c r="D89" s="127" t="str">
        <f>IFERROR(__xludf.DUMMYFUNCTION("""COMPUTED_VALUE"""),"sabbir.bin.abbas@g.bracu.ac.bd")</f>
        <v>sabbir.bin.abbas@g.bracu.ac.bd</v>
      </c>
    </row>
    <row r="90" ht="22.5" hidden="1" customHeight="1">
      <c r="A90" s="127">
        <f>IFERROR(__xludf.DUMMYFUNCTION("""COMPUTED_VALUE"""),1.000055731E9)</f>
        <v>1000055731</v>
      </c>
      <c r="B90" s="127" t="str">
        <f>IFERROR(__xludf.DUMMYFUNCTION("""COMPUTED_VALUE"""),"Md. Saleh Ahmed Rahat")</f>
        <v>Md. Saleh Ahmed Rahat</v>
      </c>
      <c r="C90" s="127" t="str">
        <f>IFERROR(__xludf.DUMMYFUNCTION("""COMPUTED_VALUE"""),"General Member")</f>
        <v>General Member</v>
      </c>
      <c r="D90" s="127" t="str">
        <f>IFERROR(__xludf.DUMMYFUNCTION("""COMPUTED_VALUE"""),"saleh.ahmed.rahat@g.bracu.ac.bd")</f>
        <v>saleh.ahmed.rahat@g.bracu.ac.bd</v>
      </c>
    </row>
    <row r="91" ht="22.5" hidden="1" customHeight="1">
      <c r="A91" s="127">
        <f>IFERROR(__xludf.DUMMYFUNCTION("""COMPUTED_VALUE"""),1.000058699E9)</f>
        <v>1000058699</v>
      </c>
      <c r="B91" s="127" t="str">
        <f>IFERROR(__xludf.DUMMYFUNCTION("""COMPUTED_VALUE"""),"K. M. Mahim Ahsan")</f>
        <v>K. M. Mahim Ahsan</v>
      </c>
      <c r="C91" s="127" t="str">
        <f>IFERROR(__xludf.DUMMYFUNCTION("""COMPUTED_VALUE"""),"General Member")</f>
        <v>General Member</v>
      </c>
      <c r="D91" s="127" t="str">
        <f>IFERROR(__xludf.DUMMYFUNCTION("""COMPUTED_VALUE"""),"km.mahim.ahsan@g.bracu.ac.bd")</f>
        <v>km.mahim.ahsan@g.bracu.ac.bd</v>
      </c>
    </row>
    <row r="92" ht="22.5" hidden="1" customHeight="1">
      <c r="A92" s="127">
        <f>IFERROR(__xludf.DUMMYFUNCTION("""COMPUTED_VALUE"""),1.000055666E9)</f>
        <v>1000055666</v>
      </c>
      <c r="B92" s="127" t="str">
        <f>IFERROR(__xludf.DUMMYFUNCTION("""COMPUTED_VALUE"""),"Faed Ahnaf Mahdee")</f>
        <v>Faed Ahnaf Mahdee</v>
      </c>
      <c r="C92" s="127" t="str">
        <f>IFERROR(__xludf.DUMMYFUNCTION("""COMPUTED_VALUE"""),"General Member")</f>
        <v>General Member</v>
      </c>
      <c r="D92" s="127" t="str">
        <f>IFERROR(__xludf.DUMMYFUNCTION("""COMPUTED_VALUE"""),"faed.ahnaf.mahdee@g.bracu.ac.bd")</f>
        <v>faed.ahnaf.mahdee@g.bracu.ac.bd</v>
      </c>
    </row>
    <row r="93" ht="22.5" hidden="1" customHeight="1">
      <c r="A93" s="127">
        <f>IFERROR(__xludf.DUMMYFUNCTION("""COMPUTED_VALUE"""),2.4301164E7)</f>
        <v>24301164</v>
      </c>
      <c r="B93" s="127" t="str">
        <f>IFERROR(__xludf.DUMMYFUNCTION("""COMPUTED_VALUE"""),"Meshkatul Arefin")</f>
        <v>Meshkatul Arefin</v>
      </c>
      <c r="C93" s="127" t="str">
        <f>IFERROR(__xludf.DUMMYFUNCTION("""COMPUTED_VALUE"""),"General Member")</f>
        <v>General Member</v>
      </c>
      <c r="D93" s="127" t="str">
        <f>IFERROR(__xludf.DUMMYFUNCTION("""COMPUTED_VALUE"""),"meshkatul.arefin1@g.bracu.ac.bd")</f>
        <v>meshkatul.arefin1@g.bracu.ac.bd</v>
      </c>
    </row>
    <row r="94" ht="22.5" hidden="1" customHeight="1">
      <c r="A94" s="127">
        <f>IFERROR(__xludf.DUMMYFUNCTION("""COMPUTED_VALUE"""),2.4121325E7)</f>
        <v>24121325</v>
      </c>
      <c r="B94" s="127" t="str">
        <f>IFERROR(__xludf.DUMMYFUNCTION("""COMPUTED_VALUE"""),"Sakib Abrar Rahman")</f>
        <v>Sakib Abrar Rahman</v>
      </c>
      <c r="C94" s="127" t="str">
        <f>IFERROR(__xludf.DUMMYFUNCTION("""COMPUTED_VALUE"""),"General Member")</f>
        <v>General Member</v>
      </c>
      <c r="D94" s="127" t="str">
        <f>IFERROR(__xludf.DUMMYFUNCTION("""COMPUTED_VALUE"""),"sakib.abrar.rahman@g.bracu.ac.bd")</f>
        <v>sakib.abrar.rahman@g.bracu.ac.bd</v>
      </c>
    </row>
    <row r="95" ht="22.5" hidden="1" customHeight="1">
      <c r="A95" s="127">
        <f>IFERROR(__xludf.DUMMYFUNCTION("""COMPUTED_VALUE"""),2.4301387E7)</f>
        <v>24301387</v>
      </c>
      <c r="B95" s="127" t="str">
        <f>IFERROR(__xludf.DUMMYFUNCTION("""COMPUTED_VALUE"""),"MAIMUN MAAZ")</f>
        <v>MAIMUN MAAZ</v>
      </c>
      <c r="C95" s="127" t="str">
        <f>IFERROR(__xludf.DUMMYFUNCTION("""COMPUTED_VALUE"""),"General Member")</f>
        <v>General Member</v>
      </c>
      <c r="D95" s="127" t="str">
        <f>IFERROR(__xludf.DUMMYFUNCTION("""COMPUTED_VALUE"""),"maimun.maaz@g.bracu.ac.bd")</f>
        <v>maimun.maaz@g.bracu.ac.bd</v>
      </c>
    </row>
    <row r="96" ht="22.5" hidden="1" customHeight="1">
      <c r="A96" s="127">
        <f>IFERROR(__xludf.DUMMYFUNCTION("""COMPUTED_VALUE"""),2.4291309E7)</f>
        <v>24291309</v>
      </c>
      <c r="B96" s="127" t="str">
        <f>IFERROR(__xludf.DUMMYFUNCTION("""COMPUTED_VALUE"""),"Syeda Nushrat Jahan Pionty")</f>
        <v>Syeda Nushrat Jahan Pionty</v>
      </c>
      <c r="C96" s="127" t="str">
        <f>IFERROR(__xludf.DUMMYFUNCTION("""COMPUTED_VALUE"""),"General Member")</f>
        <v>General Member</v>
      </c>
      <c r="D96" s="127" t="str">
        <f>IFERROR(__xludf.DUMMYFUNCTION("""COMPUTED_VALUE"""),"nusrat.jahan.pionty@g.bracu.ac.bd")</f>
        <v>nusrat.jahan.pionty@g.bracu.ac.bd</v>
      </c>
    </row>
    <row r="97" ht="22.5" hidden="1" customHeight="1">
      <c r="A97" s="127">
        <f>IFERROR(__xludf.DUMMYFUNCTION("""COMPUTED_VALUE"""),1.000060456E9)</f>
        <v>1000060456</v>
      </c>
      <c r="B97" s="127" t="str">
        <f>IFERROR(__xludf.DUMMYFUNCTION("""COMPUTED_VALUE"""),"Nafisa Sultana")</f>
        <v>Nafisa Sultana</v>
      </c>
      <c r="C97" s="127" t="str">
        <f>IFERROR(__xludf.DUMMYFUNCTION("""COMPUTED_VALUE"""),"General Member")</f>
        <v>General Member</v>
      </c>
      <c r="D97" s="127" t="str">
        <f>IFERROR(__xludf.DUMMYFUNCTION("""COMPUTED_VALUE"""),"nafisa.sultana@g.bracu.ac.bd")</f>
        <v>nafisa.sultana@g.bracu.ac.bd</v>
      </c>
    </row>
    <row r="98" ht="22.5" hidden="1" customHeight="1">
      <c r="A98" s="127">
        <f>IFERROR(__xludf.DUMMYFUNCTION("""COMPUTED_VALUE"""),2.4201072E7)</f>
        <v>24201072</v>
      </c>
      <c r="B98" s="127" t="str">
        <f>IFERROR(__xludf.DUMMYFUNCTION("""COMPUTED_VALUE"""),"Sadia Afroze")</f>
        <v>Sadia Afroze</v>
      </c>
      <c r="C98" s="127" t="str">
        <f>IFERROR(__xludf.DUMMYFUNCTION("""COMPUTED_VALUE"""),"General Member")</f>
        <v>General Member</v>
      </c>
      <c r="D98" s="127" t="str">
        <f>IFERROR(__xludf.DUMMYFUNCTION("""COMPUTED_VALUE"""),"sadia.afroze2@g.bracu.ac.bd")</f>
        <v>sadia.afroze2@g.bracu.ac.bd</v>
      </c>
    </row>
    <row r="99" ht="22.5" hidden="1" customHeight="1">
      <c r="A99" s="127">
        <f>IFERROR(__xludf.DUMMYFUNCTION("""COMPUTED_VALUE"""),2.4101393E7)</f>
        <v>24101393</v>
      </c>
      <c r="B99" s="127" t="str">
        <f>IFERROR(__xludf.DUMMYFUNCTION("""COMPUTED_VALUE"""),"Arunima Lodh")</f>
        <v>Arunima Lodh</v>
      </c>
      <c r="C99" s="127" t="str">
        <f>IFERROR(__xludf.DUMMYFUNCTION("""COMPUTED_VALUE"""),"General Member")</f>
        <v>General Member</v>
      </c>
      <c r="D99" s="127" t="str">
        <f>IFERROR(__xludf.DUMMYFUNCTION("""COMPUTED_VALUE"""),"arunima.lodh@g.bracu.ac.bd")</f>
        <v>arunima.lodh@g.bracu.ac.bd</v>
      </c>
    </row>
    <row r="100" ht="22.5" hidden="1" customHeight="1">
      <c r="A100" s="127">
        <f>IFERROR(__xludf.DUMMYFUNCTION("""COMPUTED_VALUE"""),1.000054191E9)</f>
        <v>1000054191</v>
      </c>
      <c r="B100" s="127" t="str">
        <f>IFERROR(__xludf.DUMMYFUNCTION("""COMPUTED_VALUE"""),"Zareeshna Anwar")</f>
        <v>Zareeshna Anwar</v>
      </c>
      <c r="C100" s="127" t="str">
        <f>IFERROR(__xludf.DUMMYFUNCTION("""COMPUTED_VALUE"""),"General Member")</f>
        <v>General Member</v>
      </c>
      <c r="D100" s="127" t="str">
        <f>IFERROR(__xludf.DUMMYFUNCTION("""COMPUTED_VALUE"""),"zareeshna.anwar@g.bracu.ac.bd")</f>
        <v>zareeshna.anwar@g.bracu.ac.bd</v>
      </c>
    </row>
    <row r="101" ht="22.5" hidden="1" customHeight="1">
      <c r="A101" s="127">
        <f>IFERROR(__xludf.DUMMYFUNCTION("""COMPUTED_VALUE"""),2.4301389E7)</f>
        <v>24301389</v>
      </c>
      <c r="B101" s="127" t="str">
        <f>IFERROR(__xludf.DUMMYFUNCTION("""COMPUTED_VALUE"""),"Ifaz Abdullah")</f>
        <v>Ifaz Abdullah</v>
      </c>
      <c r="C101" s="127" t="str">
        <f>IFERROR(__xludf.DUMMYFUNCTION("""COMPUTED_VALUE"""),"General Member")</f>
        <v>General Member</v>
      </c>
      <c r="D101" s="127" t="str">
        <f>IFERROR(__xludf.DUMMYFUNCTION("""COMPUTED_VALUE"""),"ifaz.abdullah@g.bracu.ac.bd")</f>
        <v>ifaz.abdullah@g.bracu.ac.bd</v>
      </c>
    </row>
    <row r="102">
      <c r="A102" s="130">
        <f>IFERROR(__xludf.DUMMYFUNCTION("""COMPUTED_VALUE"""),1.000054085E9)</f>
        <v>1000054085</v>
      </c>
      <c r="B102" s="130" t="str">
        <f>IFERROR(__xludf.DUMMYFUNCTION("""COMPUTED_VALUE"""),"Kazi Sumehra Tasneem")</f>
        <v>Kazi Sumehra Tasneem</v>
      </c>
      <c r="C102" s="130" t="str">
        <f>IFERROR(__xludf.DUMMYFUNCTION("""COMPUTED_VALUE"""),"General Member")</f>
        <v>General Member</v>
      </c>
      <c r="D102" s="130" t="str">
        <f>IFERROR(__xludf.DUMMYFUNCTION("""COMPUTED_VALUE"""),"kazi.sumehra.tasneem@g.bracu.ac.bd")</f>
        <v>kazi.sumehra.tasneem@g.bracu.ac.bd</v>
      </c>
    </row>
    <row r="103">
      <c r="A103" s="130">
        <f>IFERROR(__xludf.DUMMYFUNCTION("""COMPUTED_VALUE"""),2.4301566E7)</f>
        <v>24301566</v>
      </c>
      <c r="B103" s="130" t="str">
        <f>IFERROR(__xludf.DUMMYFUNCTION("""COMPUTED_VALUE"""),"Adnan Mahmud Nibir")</f>
        <v>Adnan Mahmud Nibir</v>
      </c>
      <c r="C103" s="130" t="str">
        <f>IFERROR(__xludf.DUMMYFUNCTION("""COMPUTED_VALUE"""),"General Member")</f>
        <v>General Member</v>
      </c>
      <c r="D103" s="130" t="str">
        <f>IFERROR(__xludf.DUMMYFUNCTION("""COMPUTED_VALUE"""),"adnan.mahmud.nibir@g.bracu.ac.bd")</f>
        <v>adnan.mahmud.nibir@g.bracu.ac.bd</v>
      </c>
    </row>
    <row r="104">
      <c r="A104" s="130">
        <f>IFERROR(__xludf.DUMMYFUNCTION("""COMPUTED_VALUE"""),1.000055323E9)</f>
        <v>1000055323</v>
      </c>
      <c r="B104" s="130" t="str">
        <f>IFERROR(__xludf.DUMMYFUNCTION("""COMPUTED_VALUE"""),"Naimul Alam Sadman")</f>
        <v>Naimul Alam Sadman</v>
      </c>
      <c r="C104" s="130" t="str">
        <f>IFERROR(__xludf.DUMMYFUNCTION("""COMPUTED_VALUE"""),"General Member")</f>
        <v>General Member</v>
      </c>
      <c r="D104" s="130" t="str">
        <f>IFERROR(__xludf.DUMMYFUNCTION("""COMPUTED_VALUE"""),"naimul.alam.sadman@g.bracu.ac.bd")</f>
        <v>naimul.alam.sadman@g.bracu.ac.bd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25"/>
    <col customWidth="1" min="3" max="3" width="15.5"/>
    <col customWidth="1" min="4" max="4" width="31.75"/>
  </cols>
  <sheetData>
    <row r="1" ht="22.5" customHeight="1">
      <c r="A1" s="126" t="s">
        <v>2976</v>
      </c>
      <c r="B1" s="126" t="s">
        <v>1</v>
      </c>
      <c r="C1" s="126" t="s">
        <v>3</v>
      </c>
      <c r="D1" s="126" t="s">
        <v>5</v>
      </c>
    </row>
    <row r="2" ht="22.5" customHeight="1">
      <c r="A2" s="127">
        <f>IFERROR(__xludf.DUMMYFUNCTION("FILTER({All_Members!A2:A3556, All_Members!B2:B3556, All_Members!D2:D3556, All_Members!F2:F3556}, All_Members!C2:C3556 = ""Press Release &amp; Publications"")"),2.3101364E7)</f>
        <v>23101364</v>
      </c>
      <c r="B2" s="127" t="str">
        <f>IFERROR(__xludf.DUMMYFUNCTION("""COMPUTED_VALUE"""),"Anika Salsabil")</f>
        <v>Anika Salsabil</v>
      </c>
      <c r="C2" s="127" t="str">
        <f>IFERROR(__xludf.DUMMYFUNCTION("""COMPUTED_VALUE"""),"Director")</f>
        <v>Director</v>
      </c>
      <c r="D2" s="127" t="str">
        <f>IFERROR(__xludf.DUMMYFUNCTION("""COMPUTED_VALUE"""),"anika.salsabil1@g.bracu.ac.bd")</f>
        <v>anika.salsabil1@g.bracu.ac.bd</v>
      </c>
    </row>
    <row r="3" ht="22.5" customHeight="1">
      <c r="A3" s="127">
        <f>IFERROR(__xludf.DUMMYFUNCTION("""COMPUTED_VALUE"""),2.2201631E7)</f>
        <v>22201631</v>
      </c>
      <c r="B3" s="127" t="str">
        <f>IFERROR(__xludf.DUMMYFUNCTION("""COMPUTED_VALUE"""),"Md. Mushroor Muttakin Khan")</f>
        <v>Md. Mushroor Muttakin Khan</v>
      </c>
      <c r="C3" s="127" t="str">
        <f>IFERROR(__xludf.DUMMYFUNCTION("""COMPUTED_VALUE"""),"Assistant Director")</f>
        <v>Assistant Director</v>
      </c>
      <c r="D3" s="127" t="str">
        <f>IFERROR(__xludf.DUMMYFUNCTION("""COMPUTED_VALUE"""),"mushroor.muttakin.khan@g.bracu.ac.bd")</f>
        <v>mushroor.muttakin.khan@g.bracu.ac.bd</v>
      </c>
    </row>
    <row r="4" ht="22.5" customHeight="1">
      <c r="A4" s="127">
        <f>IFERROR(__xludf.DUMMYFUNCTION("""COMPUTED_VALUE"""),2.4241267E7)</f>
        <v>24241267</v>
      </c>
      <c r="B4" s="127" t="str">
        <f>IFERROR(__xludf.DUMMYFUNCTION("""COMPUTED_VALUE"""),"Shajedul Arefin")</f>
        <v>Shajedul Arefin</v>
      </c>
      <c r="C4" s="127" t="str">
        <f>IFERROR(__xludf.DUMMYFUNCTION("""COMPUTED_VALUE"""),"Assistant Director")</f>
        <v>Assistant Director</v>
      </c>
      <c r="D4" s="127" t="str">
        <f>IFERROR(__xludf.DUMMYFUNCTION("""COMPUTED_VALUE"""),"shajedul.arefin@g.bracu.ac.bd")</f>
        <v>shajedul.arefin@g.bracu.ac.bd</v>
      </c>
    </row>
    <row r="5" ht="22.5" customHeight="1">
      <c r="A5" s="127">
        <f>IFERROR(__xludf.DUMMYFUNCTION("""COMPUTED_VALUE"""),2.2201247E7)</f>
        <v>22201247</v>
      </c>
      <c r="B5" s="127" t="str">
        <f>IFERROR(__xludf.DUMMYFUNCTION("""COMPUTED_VALUE"""),"Md. Rizwanul Mushfiq")</f>
        <v>Md. Rizwanul Mushfiq</v>
      </c>
      <c r="C5" s="127" t="str">
        <f>IFERROR(__xludf.DUMMYFUNCTION("""COMPUTED_VALUE"""),"Senior Executive")</f>
        <v>Senior Executive</v>
      </c>
      <c r="D5" s="127" t="str">
        <f>IFERROR(__xludf.DUMMYFUNCTION("""COMPUTED_VALUE"""),"md.rizwanul.mushfiq@g.bracu.ac.bd")</f>
        <v>md.rizwanul.mushfiq@g.bracu.ac.bd</v>
      </c>
    </row>
    <row r="6" ht="22.5" customHeight="1">
      <c r="A6" s="127">
        <f>IFERROR(__xludf.DUMMYFUNCTION("""COMPUTED_VALUE"""),2.4241162E7)</f>
        <v>24241162</v>
      </c>
      <c r="B6" s="127" t="str">
        <f>IFERROR(__xludf.DUMMYFUNCTION("""COMPUTED_VALUE"""),"Hasnain Ashraf")</f>
        <v>Hasnain Ashraf</v>
      </c>
      <c r="C6" s="127" t="str">
        <f>IFERROR(__xludf.DUMMYFUNCTION("""COMPUTED_VALUE"""),"Senior Executive")</f>
        <v>Senior Executive</v>
      </c>
      <c r="D6" s="127" t="str">
        <f>IFERROR(__xludf.DUMMYFUNCTION("""COMPUTED_VALUE"""),"hasnain.ashraf@g.bracu.ac.bd")</f>
        <v>hasnain.ashraf@g.bracu.ac.bd</v>
      </c>
    </row>
    <row r="7" ht="22.5" customHeight="1">
      <c r="A7" s="127">
        <f>IFERROR(__xludf.DUMMYFUNCTION("""COMPUTED_VALUE"""),2.2341036E7)</f>
        <v>22341036</v>
      </c>
      <c r="B7" s="127" t="str">
        <f>IFERROR(__xludf.DUMMYFUNCTION("""COMPUTED_VALUE"""),"Sayed Sohanul Islam")</f>
        <v>Sayed Sohanul Islam</v>
      </c>
      <c r="C7" s="127" t="str">
        <f>IFERROR(__xludf.DUMMYFUNCTION("""COMPUTED_VALUE"""),"Senior Executive")</f>
        <v>Senior Executive</v>
      </c>
      <c r="D7" s="127" t="str">
        <f>IFERROR(__xludf.DUMMYFUNCTION("""COMPUTED_VALUE"""),"sayed.sohanul.islam@g.bracu.ac.bd")</f>
        <v>sayed.sohanul.islam@g.bracu.ac.bd</v>
      </c>
    </row>
    <row r="8" ht="22.5" customHeight="1">
      <c r="A8" s="127">
        <f>IFERROR(__xludf.DUMMYFUNCTION("""COMPUTED_VALUE"""),2.4203012E7)</f>
        <v>24203012</v>
      </c>
      <c r="B8" s="127" t="str">
        <f>IFERROR(__xludf.DUMMYFUNCTION("""COMPUTED_VALUE"""),"Afrin Anowar Tanisha")</f>
        <v>Afrin Anowar Tanisha</v>
      </c>
      <c r="C8" s="127" t="str">
        <f>IFERROR(__xludf.DUMMYFUNCTION("""COMPUTED_VALUE"""),"Senior Executive")</f>
        <v>Senior Executive</v>
      </c>
      <c r="D8" s="127" t="str">
        <f>IFERROR(__xludf.DUMMYFUNCTION("""COMPUTED_VALUE"""),"afrin.anowar.tanisha@g.bracu.ac.bd")</f>
        <v>afrin.anowar.tanisha@g.bracu.ac.bd</v>
      </c>
    </row>
    <row r="9" ht="22.5" customHeight="1">
      <c r="A9" s="127">
        <f>IFERROR(__xludf.DUMMYFUNCTION("""COMPUTED_VALUE"""),2.3101441E7)</f>
        <v>23101441</v>
      </c>
      <c r="B9" s="127" t="str">
        <f>IFERROR(__xludf.DUMMYFUNCTION("""COMPUTED_VALUE"""),"Tarannum Al Akida")</f>
        <v>Tarannum Al Akida</v>
      </c>
      <c r="C9" s="127" t="str">
        <f>IFERROR(__xludf.DUMMYFUNCTION("""COMPUTED_VALUE"""),"Senior Executive")</f>
        <v>Senior Executive</v>
      </c>
      <c r="D9" s="127" t="str">
        <f>IFERROR(__xludf.DUMMYFUNCTION("""COMPUTED_VALUE"""),"tarannum.al.akida@g.bracu.ac.bd")</f>
        <v>tarannum.al.akida@g.bracu.ac.bd</v>
      </c>
    </row>
    <row r="10" ht="22.5" customHeight="1">
      <c r="A10" s="127">
        <f>IFERROR(__xludf.DUMMYFUNCTION("""COMPUTED_VALUE"""),2.4101341E7)</f>
        <v>24101341</v>
      </c>
      <c r="B10" s="127" t="str">
        <f>IFERROR(__xludf.DUMMYFUNCTION("""COMPUTED_VALUE"""),"Imtiaz Ahmed Shovon")</f>
        <v>Imtiaz Ahmed Shovon</v>
      </c>
      <c r="C10" s="127" t="str">
        <f>IFERROR(__xludf.DUMMYFUNCTION("""COMPUTED_VALUE"""),"Senior Executive")</f>
        <v>Senior Executive</v>
      </c>
      <c r="D10" s="127" t="str">
        <f>IFERROR(__xludf.DUMMYFUNCTION("""COMPUTED_VALUE"""),"imtiaz.ahmed.shovon@g.bracu.ac.bd")</f>
        <v>imtiaz.ahmed.shovon@g.bracu.ac.bd</v>
      </c>
    </row>
    <row r="11" ht="22.5" customHeight="1">
      <c r="A11" s="127">
        <f>IFERROR(__xludf.DUMMYFUNCTION("""COMPUTED_VALUE"""),2.2101689E7)</f>
        <v>22101689</v>
      </c>
      <c r="B11" s="127" t="str">
        <f>IFERROR(__xludf.DUMMYFUNCTION("""COMPUTED_VALUE"""),"Rahat Ahmed Jobu")</f>
        <v>Rahat Ahmed Jobu</v>
      </c>
      <c r="C11" s="127" t="str">
        <f>IFERROR(__xludf.DUMMYFUNCTION("""COMPUTED_VALUE"""),"Executive")</f>
        <v>Executive</v>
      </c>
      <c r="D11" s="127" t="str">
        <f>IFERROR(__xludf.DUMMYFUNCTION("""COMPUTED_VALUE"""),"rahat.ahmed.jobu@g.bracu.ac.bd")</f>
        <v>rahat.ahmed.jobu@g.bracu.ac.bd</v>
      </c>
    </row>
    <row r="12" ht="22.5" customHeight="1">
      <c r="A12" s="127">
        <f>IFERROR(__xludf.DUMMYFUNCTION("""COMPUTED_VALUE"""),2.3201522E7)</f>
        <v>23201522</v>
      </c>
      <c r="B12" s="127" t="str">
        <f>IFERROR(__xludf.DUMMYFUNCTION("""COMPUTED_VALUE"""),"Anika Tahsin Moumita")</f>
        <v>Anika Tahsin Moumita</v>
      </c>
      <c r="C12" s="127" t="str">
        <f>IFERROR(__xludf.DUMMYFUNCTION("""COMPUTED_VALUE"""),"Executive")</f>
        <v>Executive</v>
      </c>
      <c r="D12" s="127" t="str">
        <f>IFERROR(__xludf.DUMMYFUNCTION("""COMPUTED_VALUE"""),"anika.tahsin.moumita@g.bracu.ac.bd")</f>
        <v>anika.tahsin.moumita@g.bracu.ac.bd</v>
      </c>
    </row>
    <row r="13" ht="22.5" customHeight="1">
      <c r="A13" s="127">
        <f>IFERROR(__xludf.DUMMYFUNCTION("""COMPUTED_VALUE"""),2.320143E7)</f>
        <v>23201430</v>
      </c>
      <c r="B13" s="127" t="str">
        <f>IFERROR(__xludf.DUMMYFUNCTION("""COMPUTED_VALUE"""),"Sumaya Afroze Chaha")</f>
        <v>Sumaya Afroze Chaha</v>
      </c>
      <c r="C13" s="127" t="str">
        <f>IFERROR(__xludf.DUMMYFUNCTION("""COMPUTED_VALUE"""),"Executive")</f>
        <v>Executive</v>
      </c>
      <c r="D13" s="127" t="str">
        <f>IFERROR(__xludf.DUMMYFUNCTION("""COMPUTED_VALUE"""),"sumaya.afroze.chaha@g.bracu.ac.bd")</f>
        <v>sumaya.afroze.chaha@g.bracu.ac.bd</v>
      </c>
    </row>
    <row r="14" ht="22.5" customHeight="1">
      <c r="A14" s="127">
        <f>IFERROR(__xludf.DUMMYFUNCTION("""COMPUTED_VALUE"""),2.3201279E7)</f>
        <v>23201279</v>
      </c>
      <c r="B14" s="127" t="str">
        <f>IFERROR(__xludf.DUMMYFUNCTION("""COMPUTED_VALUE"""),"Rubaiyet Anjum")</f>
        <v>Rubaiyet Anjum</v>
      </c>
      <c r="C14" s="127" t="str">
        <f>IFERROR(__xludf.DUMMYFUNCTION("""COMPUTED_VALUE"""),"Executive")</f>
        <v>Executive</v>
      </c>
      <c r="D14" s="127" t="str">
        <f>IFERROR(__xludf.DUMMYFUNCTION("""COMPUTED_VALUE"""),"rubaiyet.anjum@g.bracu.ac.bd")</f>
        <v>rubaiyet.anjum@g.bracu.ac.bd</v>
      </c>
    </row>
    <row r="15" ht="22.5" customHeight="1">
      <c r="A15" s="127">
        <f>IFERROR(__xludf.DUMMYFUNCTION("""COMPUTED_VALUE"""),2.2201308E7)</f>
        <v>22201308</v>
      </c>
      <c r="B15" s="127" t="str">
        <f>IFERROR(__xludf.DUMMYFUNCTION("""COMPUTED_VALUE"""),"Sanjeed Showkat Sajeen")</f>
        <v>Sanjeed Showkat Sajeen</v>
      </c>
      <c r="C15" s="127" t="str">
        <f>IFERROR(__xludf.DUMMYFUNCTION("""COMPUTED_VALUE"""),"Executive")</f>
        <v>Executive</v>
      </c>
      <c r="D15" s="127" t="str">
        <f>IFERROR(__xludf.DUMMYFUNCTION("""COMPUTED_VALUE"""),"sanjeed.showkat.sajeen@g.bracu.ac.bd")</f>
        <v>sanjeed.showkat.sajeen@g.bracu.ac.bd</v>
      </c>
    </row>
    <row r="16" ht="22.5" customHeight="1">
      <c r="A16" s="127">
        <f>IFERROR(__xludf.DUMMYFUNCTION("""COMPUTED_VALUE"""),2.3201478E7)</f>
        <v>23201478</v>
      </c>
      <c r="B16" s="127" t="str">
        <f>IFERROR(__xludf.DUMMYFUNCTION("""COMPUTED_VALUE"""),"Ishatir Makhsura Jahan")</f>
        <v>Ishatir Makhsura Jahan</v>
      </c>
      <c r="C16" s="127" t="str">
        <f>IFERROR(__xludf.DUMMYFUNCTION("""COMPUTED_VALUE"""),"Executive")</f>
        <v>Executive</v>
      </c>
      <c r="D16" s="127" t="str">
        <f>IFERROR(__xludf.DUMMYFUNCTION("""COMPUTED_VALUE"""),"ishatir.makhsura.jahan@g.bracu.ac.bd")</f>
        <v>ishatir.makhsura.jahan@g.bracu.ac.bd</v>
      </c>
    </row>
    <row r="17" ht="22.5" customHeight="1">
      <c r="A17" s="127">
        <f>IFERROR(__xludf.DUMMYFUNCTION("""COMPUTED_VALUE"""),2.3321009E7)</f>
        <v>23321009</v>
      </c>
      <c r="B17" s="127" t="str">
        <f>IFERROR(__xludf.DUMMYFUNCTION("""COMPUTED_VALUE"""),"Jawwad Jinan")</f>
        <v>Jawwad Jinan</v>
      </c>
      <c r="C17" s="127" t="str">
        <f>IFERROR(__xludf.DUMMYFUNCTION("""COMPUTED_VALUE"""),"Executive")</f>
        <v>Executive</v>
      </c>
      <c r="D17" s="127" t="str">
        <f>IFERROR(__xludf.DUMMYFUNCTION("""COMPUTED_VALUE"""),"jawwad.jinan@g.bracu.ac.bd")</f>
        <v>jawwad.jinan@g.bracu.ac.bd</v>
      </c>
    </row>
    <row r="18" ht="22.5" customHeight="1">
      <c r="A18" s="127">
        <f>IFERROR(__xludf.DUMMYFUNCTION("""COMPUTED_VALUE"""),2.3201492E7)</f>
        <v>23201492</v>
      </c>
      <c r="B18" s="127" t="str">
        <f>IFERROR(__xludf.DUMMYFUNCTION("""COMPUTED_VALUE"""),"Authoy Rahman")</f>
        <v>Authoy Rahman</v>
      </c>
      <c r="C18" s="127" t="str">
        <f>IFERROR(__xludf.DUMMYFUNCTION("""COMPUTED_VALUE"""),"Executive")</f>
        <v>Executive</v>
      </c>
      <c r="D18" s="127" t="str">
        <f>IFERROR(__xludf.DUMMYFUNCTION("""COMPUTED_VALUE"""),"authoy.rahman@g.bracu.ac.bd")</f>
        <v>authoy.rahman@g.bracu.ac.bd</v>
      </c>
    </row>
    <row r="19" ht="22.5" customHeight="1">
      <c r="A19" s="127">
        <f>IFERROR(__xludf.DUMMYFUNCTION("""COMPUTED_VALUE"""),2.4321077E7)</f>
        <v>24321077</v>
      </c>
      <c r="B19" s="127" t="str">
        <f>IFERROR(__xludf.DUMMYFUNCTION("""COMPUTED_VALUE"""),"Abdullah Abtahee Mohammad")</f>
        <v>Abdullah Abtahee Mohammad</v>
      </c>
      <c r="C19" s="127" t="str">
        <f>IFERROR(__xludf.DUMMYFUNCTION("""COMPUTED_VALUE"""),"Executive")</f>
        <v>Executive</v>
      </c>
      <c r="D19" s="127" t="str">
        <f>IFERROR(__xludf.DUMMYFUNCTION("""COMPUTED_VALUE"""),"abdullah.abtahee.mohammad@g.bracu.ac.bd")</f>
        <v>abdullah.abtahee.mohammad@g.bracu.ac.bd</v>
      </c>
    </row>
    <row r="20" ht="22.5" customHeight="1">
      <c r="A20" s="127">
        <f>IFERROR(__xludf.DUMMYFUNCTION("""COMPUTED_VALUE"""),2.4201233E7)</f>
        <v>24201233</v>
      </c>
      <c r="B20" s="127" t="str">
        <f>IFERROR(__xludf.DUMMYFUNCTION("""COMPUTED_VALUE"""),"Tahsin Ahmed")</f>
        <v>Tahsin Ahmed</v>
      </c>
      <c r="C20" s="127" t="str">
        <f>IFERROR(__xludf.DUMMYFUNCTION("""COMPUTED_VALUE"""),"Executive")</f>
        <v>Executive</v>
      </c>
      <c r="D20" s="127" t="str">
        <f>IFERROR(__xludf.DUMMYFUNCTION("""COMPUTED_VALUE"""),"tahsin.ahmed5@g.bracu.ac.bd")</f>
        <v>tahsin.ahmed5@g.bracu.ac.bd</v>
      </c>
    </row>
    <row r="21" ht="22.5" customHeight="1">
      <c r="A21" s="127">
        <f>IFERROR(__xludf.DUMMYFUNCTION("""COMPUTED_VALUE"""),1.00005497E9)</f>
        <v>1000054970</v>
      </c>
      <c r="B21" s="127" t="str">
        <f>IFERROR(__xludf.DUMMYFUNCTION("""COMPUTED_VALUE"""),"Wasifa Afsara")</f>
        <v>Wasifa Afsara</v>
      </c>
      <c r="C21" s="127" t="str">
        <f>IFERROR(__xludf.DUMMYFUNCTION("""COMPUTED_VALUE"""),"Executive")</f>
        <v>Executive</v>
      </c>
      <c r="D21" s="127" t="str">
        <f>IFERROR(__xludf.DUMMYFUNCTION("""COMPUTED_VALUE"""),"wasifa.afsara@g.bracu.ac.bd")</f>
        <v>wasifa.afsara@g.bracu.ac.bd</v>
      </c>
    </row>
    <row r="22" ht="22.5" customHeight="1">
      <c r="A22" s="127">
        <f>IFERROR(__xludf.DUMMYFUNCTION("""COMPUTED_VALUE"""),2.4201017E7)</f>
        <v>24201017</v>
      </c>
      <c r="B22" s="127" t="str">
        <f>IFERROR(__xludf.DUMMYFUNCTION("""COMPUTED_VALUE"""),"Syba Binte Mahadi")</f>
        <v>Syba Binte Mahadi</v>
      </c>
      <c r="C22" s="127" t="str">
        <f>IFERROR(__xludf.DUMMYFUNCTION("""COMPUTED_VALUE"""),"Executive")</f>
        <v>Executive</v>
      </c>
      <c r="D22" s="127" t="str">
        <f>IFERROR(__xludf.DUMMYFUNCTION("""COMPUTED_VALUE"""),"syba.binte.mahadi@g.bracu.ac.bd")</f>
        <v>syba.binte.mahadi@g.bracu.ac.bd</v>
      </c>
    </row>
    <row r="23" ht="22.5" customHeight="1">
      <c r="A23" s="127">
        <f>IFERROR(__xludf.DUMMYFUNCTION("""COMPUTED_VALUE"""),2.3301622E7)</f>
        <v>23301622</v>
      </c>
      <c r="B23" s="127" t="str">
        <f>IFERROR(__xludf.DUMMYFUNCTION("""COMPUTED_VALUE"""),"Md. Nawshad Zaman Khan")</f>
        <v>Md. Nawshad Zaman Khan</v>
      </c>
      <c r="C23" s="127" t="str">
        <f>IFERROR(__xludf.DUMMYFUNCTION("""COMPUTED_VALUE"""),"General Member")</f>
        <v>General Member</v>
      </c>
      <c r="D23" s="127" t="str">
        <f>IFERROR(__xludf.DUMMYFUNCTION("""COMPUTED_VALUE"""),"nawshad.zaman.khan@g.bracu.ac.bd")</f>
        <v>nawshad.zaman.khan@g.bracu.ac.bd</v>
      </c>
    </row>
    <row r="24" ht="22.5" customHeight="1">
      <c r="A24" s="127">
        <f>IFERROR(__xludf.DUMMYFUNCTION("""COMPUTED_VALUE"""),2.3301259E7)</f>
        <v>23301259</v>
      </c>
      <c r="B24" s="127" t="str">
        <f>IFERROR(__xludf.DUMMYFUNCTION("""COMPUTED_VALUE"""),"Ashfia Newaz")</f>
        <v>Ashfia Newaz</v>
      </c>
      <c r="C24" s="127" t="str">
        <f>IFERROR(__xludf.DUMMYFUNCTION("""COMPUTED_VALUE"""),"General Member")</f>
        <v>General Member</v>
      </c>
      <c r="D24" s="127" t="str">
        <f>IFERROR(__xludf.DUMMYFUNCTION("""COMPUTED_VALUE"""),"ashfia.newaz@g.bracu.ac.bd")</f>
        <v>ashfia.newaz@g.bracu.ac.bd</v>
      </c>
    </row>
    <row r="25" ht="22.5" customHeight="1">
      <c r="A25" s="127">
        <f>IFERROR(__xludf.DUMMYFUNCTION("""COMPUTED_VALUE"""),2.3301257E7)</f>
        <v>23301257</v>
      </c>
      <c r="B25" s="127" t="str">
        <f>IFERROR(__xludf.DUMMYFUNCTION("""COMPUTED_VALUE"""),"Nabila Tabassum Khan")</f>
        <v>Nabila Tabassum Khan</v>
      </c>
      <c r="C25" s="127" t="str">
        <f>IFERROR(__xludf.DUMMYFUNCTION("""COMPUTED_VALUE"""),"General Member")</f>
        <v>General Member</v>
      </c>
      <c r="D25" s="127" t="str">
        <f>IFERROR(__xludf.DUMMYFUNCTION("""COMPUTED_VALUE"""),"nabila.tabassum.khan@g.bracu.ac.bd")</f>
        <v>nabila.tabassum.khan@g.bracu.ac.bd</v>
      </c>
    </row>
    <row r="26" ht="22.5" customHeight="1">
      <c r="A26" s="127">
        <f>IFERROR(__xludf.DUMMYFUNCTION("""COMPUTED_VALUE"""),2.320164E7)</f>
        <v>23201640</v>
      </c>
      <c r="B26" s="127" t="str">
        <f>IFERROR(__xludf.DUMMYFUNCTION("""COMPUTED_VALUE"""),"Sumaiya Tabassum")</f>
        <v>Sumaiya Tabassum</v>
      </c>
      <c r="C26" s="127" t="str">
        <f>IFERROR(__xludf.DUMMYFUNCTION("""COMPUTED_VALUE"""),"General Member")</f>
        <v>General Member</v>
      </c>
      <c r="D26" s="127" t="str">
        <f>IFERROR(__xludf.DUMMYFUNCTION("""COMPUTED_VALUE"""),"sumaiya.tabassum5@g.bracu.ac.bd")</f>
        <v>sumaiya.tabassum5@g.bracu.ac.bd</v>
      </c>
    </row>
    <row r="27" ht="22.5" customHeight="1">
      <c r="A27" s="127">
        <f>IFERROR(__xludf.DUMMYFUNCTION("""COMPUTED_VALUE"""),2.3201627E7)</f>
        <v>23201627</v>
      </c>
      <c r="B27" s="127" t="str">
        <f>IFERROR(__xludf.DUMMYFUNCTION("""COMPUTED_VALUE"""),"Zawad Hossain")</f>
        <v>Zawad Hossain</v>
      </c>
      <c r="C27" s="127" t="str">
        <f>IFERROR(__xludf.DUMMYFUNCTION("""COMPUTED_VALUE"""),"General Member")</f>
        <v>General Member</v>
      </c>
      <c r="D27" s="127" t="str">
        <f>IFERROR(__xludf.DUMMYFUNCTION("""COMPUTED_VALUE"""),"zawad.hossain1@g.bracu.ac.bd")</f>
        <v>zawad.hossain1@g.bracu.ac.bd</v>
      </c>
    </row>
    <row r="28" ht="22.5" customHeight="1">
      <c r="A28" s="127">
        <f>IFERROR(__xludf.DUMMYFUNCTION("""COMPUTED_VALUE"""),2.3201609E7)</f>
        <v>23201609</v>
      </c>
      <c r="B28" s="127" t="str">
        <f>IFERROR(__xludf.DUMMYFUNCTION("""COMPUTED_VALUE"""),"Eishat Ijaireen")</f>
        <v>Eishat Ijaireen</v>
      </c>
      <c r="C28" s="127" t="str">
        <f>IFERROR(__xludf.DUMMYFUNCTION("""COMPUTED_VALUE"""),"General Member")</f>
        <v>General Member</v>
      </c>
      <c r="D28" s="127" t="str">
        <f>IFERROR(__xludf.DUMMYFUNCTION("""COMPUTED_VALUE"""),"eishat.ijaireen@g.bracu.ac.bd")</f>
        <v>eishat.ijaireen@g.bracu.ac.bd</v>
      </c>
    </row>
    <row r="29" ht="22.5" customHeight="1">
      <c r="A29" s="127">
        <f>IFERROR(__xludf.DUMMYFUNCTION("""COMPUTED_VALUE"""),2.3201022E7)</f>
        <v>23201022</v>
      </c>
      <c r="B29" s="127" t="str">
        <f>IFERROR(__xludf.DUMMYFUNCTION("""COMPUTED_VALUE"""),"S M Zaheen Muktadir")</f>
        <v>S M Zaheen Muktadir</v>
      </c>
      <c r="C29" s="127" t="str">
        <f>IFERROR(__xludf.DUMMYFUNCTION("""COMPUTED_VALUE"""),"General Member")</f>
        <v>General Member</v>
      </c>
      <c r="D29" s="127" t="str">
        <f>IFERROR(__xludf.DUMMYFUNCTION("""COMPUTED_VALUE"""),"sm.zaheen.muktadir@g.bracu.ac.bd")</f>
        <v>sm.zaheen.muktadir@g.bracu.ac.bd</v>
      </c>
    </row>
    <row r="30" ht="22.5" customHeight="1">
      <c r="A30" s="127">
        <f>IFERROR(__xludf.DUMMYFUNCTION("""COMPUTED_VALUE"""),2.3101519E7)</f>
        <v>23101519</v>
      </c>
      <c r="B30" s="127" t="str">
        <f>IFERROR(__xludf.DUMMYFUNCTION("""COMPUTED_VALUE"""),"Mohammed Sayed Sameer")</f>
        <v>Mohammed Sayed Sameer</v>
      </c>
      <c r="C30" s="127" t="str">
        <f>IFERROR(__xludf.DUMMYFUNCTION("""COMPUTED_VALUE"""),"General Member")</f>
        <v>General Member</v>
      </c>
      <c r="D30" s="127" t="str">
        <f>IFERROR(__xludf.DUMMYFUNCTION("""COMPUTED_VALUE"""),"Mohammed.sayed.sameer@g.bracu.ac.bd")</f>
        <v>Mohammed.sayed.sameer@g.bracu.ac.bd</v>
      </c>
    </row>
    <row r="31" ht="22.5" customHeight="1">
      <c r="A31" s="127">
        <f>IFERROR(__xludf.DUMMYFUNCTION("""COMPUTED_VALUE"""),2.3101485E7)</f>
        <v>23101485</v>
      </c>
      <c r="B31" s="127" t="str">
        <f>IFERROR(__xludf.DUMMYFUNCTION("""COMPUTED_VALUE"""),"Intasir Kamal Chowdhury Safin")</f>
        <v>Intasir Kamal Chowdhury Safin</v>
      </c>
      <c r="C31" s="127" t="str">
        <f>IFERROR(__xludf.DUMMYFUNCTION("""COMPUTED_VALUE"""),"General Member")</f>
        <v>General Member</v>
      </c>
      <c r="D31" s="127" t="str">
        <f>IFERROR(__xludf.DUMMYFUNCTION("""COMPUTED_VALUE"""),"intasir.kamal.chowdhury@g.bracu.ac.bd")</f>
        <v>intasir.kamal.chowdhury@g.bracu.ac.bd</v>
      </c>
    </row>
    <row r="32" ht="22.5" customHeight="1">
      <c r="A32" s="127">
        <f>IFERROR(__xludf.DUMMYFUNCTION("""COMPUTED_VALUE"""),2.310127E7)</f>
        <v>23101270</v>
      </c>
      <c r="B32" s="127" t="str">
        <f>IFERROR(__xludf.DUMMYFUNCTION("""COMPUTED_VALUE"""),"Parisa Asaf")</f>
        <v>Parisa Asaf</v>
      </c>
      <c r="C32" s="127" t="str">
        <f>IFERROR(__xludf.DUMMYFUNCTION("""COMPUTED_VALUE"""),"General Member")</f>
        <v>General Member</v>
      </c>
      <c r="D32" s="127" t="str">
        <f>IFERROR(__xludf.DUMMYFUNCTION("""COMPUTED_VALUE"""),"parisa.asaf@g.bracu.ac.bd")</f>
        <v>parisa.asaf@g.bracu.ac.bd</v>
      </c>
    </row>
    <row r="33" ht="22.5" customHeight="1">
      <c r="A33" s="127">
        <f>IFERROR(__xludf.DUMMYFUNCTION("""COMPUTED_VALUE"""),2.3101246E7)</f>
        <v>23101246</v>
      </c>
      <c r="B33" s="127" t="str">
        <f>IFERROR(__xludf.DUMMYFUNCTION("""COMPUTED_VALUE"""),"Jerin Akter")</f>
        <v>Jerin Akter</v>
      </c>
      <c r="C33" s="127" t="str">
        <f>IFERROR(__xludf.DUMMYFUNCTION("""COMPUTED_VALUE"""),"General Member")</f>
        <v>General Member</v>
      </c>
      <c r="D33" s="127" t="str">
        <f>IFERROR(__xludf.DUMMYFUNCTION("""COMPUTED_VALUE"""),"jerin.akter@g.bracu.ac.bd")</f>
        <v>jerin.akter@g.bracu.ac.bd</v>
      </c>
    </row>
    <row r="34" ht="22.5" customHeight="1">
      <c r="A34" s="127">
        <f>IFERROR(__xludf.DUMMYFUNCTION("""COMPUTED_VALUE"""),2.2301694E7)</f>
        <v>22301694</v>
      </c>
      <c r="B34" s="127" t="str">
        <f>IFERROR(__xludf.DUMMYFUNCTION("""COMPUTED_VALUE"""),"Koushik Dey")</f>
        <v>Koushik Dey</v>
      </c>
      <c r="C34" s="127" t="str">
        <f>IFERROR(__xludf.DUMMYFUNCTION("""COMPUTED_VALUE"""),"General Member")</f>
        <v>General Member</v>
      </c>
      <c r="D34" s="127" t="str">
        <f>IFERROR(__xludf.DUMMYFUNCTION("""COMPUTED_VALUE"""),"koushik.dey@g.bracu.ac.bd")</f>
        <v>koushik.dey@g.bracu.ac.bd</v>
      </c>
    </row>
    <row r="35" ht="22.5" customHeight="1">
      <c r="A35" s="127">
        <f>IFERROR(__xludf.DUMMYFUNCTION("""COMPUTED_VALUE"""),2.2301523E7)</f>
        <v>22301523</v>
      </c>
      <c r="B35" s="127" t="str">
        <f>IFERROR(__xludf.DUMMYFUNCTION("""COMPUTED_VALUE"""),"Fariha Afreen Preety")</f>
        <v>Fariha Afreen Preety</v>
      </c>
      <c r="C35" s="127" t="str">
        <f>IFERROR(__xludf.DUMMYFUNCTION("""COMPUTED_VALUE"""),"General Member")</f>
        <v>General Member</v>
      </c>
      <c r="D35" s="127" t="str">
        <f>IFERROR(__xludf.DUMMYFUNCTION("""COMPUTED_VALUE"""),"fariha.afreen.preety@g.bracu.ac.bd")</f>
        <v>fariha.afreen.preety@g.bracu.ac.bd</v>
      </c>
    </row>
    <row r="36" ht="22.5" customHeight="1">
      <c r="A36" s="127">
        <f>IFERROR(__xludf.DUMMYFUNCTION("""COMPUTED_VALUE"""),2.2301179E7)</f>
        <v>22301179</v>
      </c>
      <c r="B36" s="127" t="str">
        <f>IFERROR(__xludf.DUMMYFUNCTION("""COMPUTED_VALUE"""),"Pranjal Basak")</f>
        <v>Pranjal Basak</v>
      </c>
      <c r="C36" s="127" t="str">
        <f>IFERROR(__xludf.DUMMYFUNCTION("""COMPUTED_VALUE"""),"General Member")</f>
        <v>General Member</v>
      </c>
      <c r="D36" s="127" t="str">
        <f>IFERROR(__xludf.DUMMYFUNCTION("""COMPUTED_VALUE"""),"pranjal.basak@g.bracu.ac.bd")</f>
        <v>pranjal.basak@g.bracu.ac.bd</v>
      </c>
    </row>
    <row r="37" ht="22.5" customHeight="1">
      <c r="A37" s="127">
        <f>IFERROR(__xludf.DUMMYFUNCTION("""COMPUTED_VALUE"""),2.2301158E7)</f>
        <v>22301158</v>
      </c>
      <c r="B37" s="127" t="str">
        <f>IFERROR(__xludf.DUMMYFUNCTION("""COMPUTED_VALUE"""),"Irfan Sadi Dhrubo")</f>
        <v>Irfan Sadi Dhrubo</v>
      </c>
      <c r="C37" s="127" t="str">
        <f>IFERROR(__xludf.DUMMYFUNCTION("""COMPUTED_VALUE"""),"General Member")</f>
        <v>General Member</v>
      </c>
      <c r="D37" s="127" t="str">
        <f>IFERROR(__xludf.DUMMYFUNCTION("""COMPUTED_VALUE"""),"irfan.sadi.dhrubo@g.bracu.ac.bd")</f>
        <v>irfan.sadi.dhrubo@g.bracu.ac.bd</v>
      </c>
    </row>
    <row r="38" ht="22.5" customHeight="1">
      <c r="A38" s="127">
        <f>IFERROR(__xludf.DUMMYFUNCTION("""COMPUTED_VALUE"""),2.2301105E7)</f>
        <v>22301105</v>
      </c>
      <c r="B38" s="127" t="str">
        <f>IFERROR(__xludf.DUMMYFUNCTION("""COMPUTED_VALUE"""),"Md. Mahidul Alam Araf")</f>
        <v>Md. Mahidul Alam Araf</v>
      </c>
      <c r="C38" s="127" t="str">
        <f>IFERROR(__xludf.DUMMYFUNCTION("""COMPUTED_VALUE"""),"General Member")</f>
        <v>General Member</v>
      </c>
      <c r="D38" s="127" t="str">
        <f>IFERROR(__xludf.DUMMYFUNCTION("""COMPUTED_VALUE"""),"mahidul.alam.araf@g.bracu.ac.bd")</f>
        <v>mahidul.alam.araf@g.bracu.ac.bd</v>
      </c>
    </row>
    <row r="39" ht="22.5" customHeight="1">
      <c r="A39" s="127">
        <f>IFERROR(__xludf.DUMMYFUNCTION("""COMPUTED_VALUE"""),2.2301009E7)</f>
        <v>22301009</v>
      </c>
      <c r="B39" s="127" t="str">
        <f>IFERROR(__xludf.DUMMYFUNCTION("""COMPUTED_VALUE"""),"Maisha Zaman Khan")</f>
        <v>Maisha Zaman Khan</v>
      </c>
      <c r="C39" s="127" t="str">
        <f>IFERROR(__xludf.DUMMYFUNCTION("""COMPUTED_VALUE"""),"General Member")</f>
        <v>General Member</v>
      </c>
      <c r="D39" s="127" t="str">
        <f>IFERROR(__xludf.DUMMYFUNCTION("""COMPUTED_VALUE"""),"maisha.zaman.khan@g.bracu.ac.bd")</f>
        <v>maisha.zaman.khan@g.bracu.ac.bd</v>
      </c>
    </row>
    <row r="40" ht="22.5" customHeight="1">
      <c r="A40" s="127">
        <f>IFERROR(__xludf.DUMMYFUNCTION("""COMPUTED_VALUE"""),2.2301007E7)</f>
        <v>22301007</v>
      </c>
      <c r="B40" s="127" t="str">
        <f>IFERROR(__xludf.DUMMYFUNCTION("""COMPUTED_VALUE"""),"Farjana Sadia Prome")</f>
        <v>Farjana Sadia Prome</v>
      </c>
      <c r="C40" s="127" t="str">
        <f>IFERROR(__xludf.DUMMYFUNCTION("""COMPUTED_VALUE"""),"General Member")</f>
        <v>General Member</v>
      </c>
      <c r="D40" s="127" t="str">
        <f>IFERROR(__xludf.DUMMYFUNCTION("""COMPUTED_VALUE"""),"farjana.sadia.prome@g.bracu.ac.bd")</f>
        <v>farjana.sadia.prome@g.bracu.ac.bd</v>
      </c>
    </row>
    <row r="41" ht="22.5" customHeight="1">
      <c r="A41" s="127">
        <f>IFERROR(__xludf.DUMMYFUNCTION("""COMPUTED_VALUE"""),2.2299451E7)</f>
        <v>22299451</v>
      </c>
      <c r="B41" s="127" t="str">
        <f>IFERROR(__xludf.DUMMYFUNCTION("""COMPUTED_VALUE"""),"Pronoy Pramanick")</f>
        <v>Pronoy Pramanick</v>
      </c>
      <c r="C41" s="127" t="str">
        <f>IFERROR(__xludf.DUMMYFUNCTION("""COMPUTED_VALUE"""),"General Member")</f>
        <v>General Member</v>
      </c>
      <c r="D41" s="127" t="str">
        <f>IFERROR(__xludf.DUMMYFUNCTION("""COMPUTED_VALUE"""),"pronoy.pramanick@g.bracu.ac.bd")</f>
        <v>pronoy.pramanick@g.bracu.ac.bd</v>
      </c>
    </row>
    <row r="42" ht="22.5" customHeight="1">
      <c r="A42" s="127">
        <f>IFERROR(__xludf.DUMMYFUNCTION("""COMPUTED_VALUE"""),2.2299001E7)</f>
        <v>22299001</v>
      </c>
      <c r="B42" s="127" t="str">
        <f>IFERROR(__xludf.DUMMYFUNCTION("""COMPUTED_VALUE"""),"Adrija Paul")</f>
        <v>Adrija Paul</v>
      </c>
      <c r="C42" s="127" t="str">
        <f>IFERROR(__xludf.DUMMYFUNCTION("""COMPUTED_VALUE"""),"General Member")</f>
        <v>General Member</v>
      </c>
      <c r="D42" s="127" t="str">
        <f>IFERROR(__xludf.DUMMYFUNCTION("""COMPUTED_VALUE"""),"adrija.paul@g.bracu.ac.bd")</f>
        <v>adrija.paul@g.bracu.ac.bd</v>
      </c>
    </row>
    <row r="43" ht="22.5" customHeight="1">
      <c r="A43" s="127">
        <f>IFERROR(__xludf.DUMMYFUNCTION("""COMPUTED_VALUE"""),2.2241032E7)</f>
        <v>22241032</v>
      </c>
      <c r="B43" s="127" t="str">
        <f>IFERROR(__xludf.DUMMYFUNCTION("""COMPUTED_VALUE"""),"Imtiaz Mashrafee Samin")</f>
        <v>Imtiaz Mashrafee Samin</v>
      </c>
      <c r="C43" s="127" t="str">
        <f>IFERROR(__xludf.DUMMYFUNCTION("""COMPUTED_VALUE"""),"General Member")</f>
        <v>General Member</v>
      </c>
      <c r="D43" s="127" t="str">
        <f>IFERROR(__xludf.DUMMYFUNCTION("""COMPUTED_VALUE"""),"imtiaz.mashrafee.samin@g.bracu.ac.bd")</f>
        <v>imtiaz.mashrafee.samin@g.bracu.ac.bd</v>
      </c>
    </row>
    <row r="44" ht="22.5" customHeight="1">
      <c r="A44" s="127">
        <f>IFERROR(__xludf.DUMMYFUNCTION("""COMPUTED_VALUE"""),2.2201679E7)</f>
        <v>22201679</v>
      </c>
      <c r="B44" s="127" t="str">
        <f>IFERROR(__xludf.DUMMYFUNCTION("""COMPUTED_VALUE"""),"Shararah Kibria")</f>
        <v>Shararah Kibria</v>
      </c>
      <c r="C44" s="127" t="str">
        <f>IFERROR(__xludf.DUMMYFUNCTION("""COMPUTED_VALUE"""),"General Member")</f>
        <v>General Member</v>
      </c>
      <c r="D44" s="127" t="str">
        <f>IFERROR(__xludf.DUMMYFUNCTION("""COMPUTED_VALUE"""),"shararah.kibria@g.bracu.ac.bd")</f>
        <v>shararah.kibria@g.bracu.ac.bd</v>
      </c>
    </row>
    <row r="45" ht="22.5" customHeight="1">
      <c r="A45" s="127">
        <f>IFERROR(__xludf.DUMMYFUNCTION("""COMPUTED_VALUE"""),2.2201644E7)</f>
        <v>22201644</v>
      </c>
      <c r="B45" s="127" t="str">
        <f>IFERROR(__xludf.DUMMYFUNCTION("""COMPUTED_VALUE"""),"Tanjim Mohamed Nirjhor")</f>
        <v>Tanjim Mohamed Nirjhor</v>
      </c>
      <c r="C45" s="127" t="str">
        <f>IFERROR(__xludf.DUMMYFUNCTION("""COMPUTED_VALUE"""),"General Member")</f>
        <v>General Member</v>
      </c>
      <c r="D45" s="127" t="str">
        <f>IFERROR(__xludf.DUMMYFUNCTION("""COMPUTED_VALUE"""),"tanjim.mohamed.nirjhor@g.bracu.ac.bd")</f>
        <v>tanjim.mohamed.nirjhor@g.bracu.ac.bd</v>
      </c>
    </row>
    <row r="46" ht="22.5" customHeight="1">
      <c r="A46" s="127">
        <f>IFERROR(__xludf.DUMMYFUNCTION("""COMPUTED_VALUE"""),2.2201149E7)</f>
        <v>22201149</v>
      </c>
      <c r="B46" s="127" t="str">
        <f>IFERROR(__xludf.DUMMYFUNCTION("""COMPUTED_VALUE"""),"Aayan Haider")</f>
        <v>Aayan Haider</v>
      </c>
      <c r="C46" s="127" t="str">
        <f>IFERROR(__xludf.DUMMYFUNCTION("""COMPUTED_VALUE"""),"General Member")</f>
        <v>General Member</v>
      </c>
      <c r="D46" s="127" t="str">
        <f>IFERROR(__xludf.DUMMYFUNCTION("""COMPUTED_VALUE"""),"aayan.haider@g.bracu.ac.bd")</f>
        <v>aayan.haider@g.bracu.ac.bd</v>
      </c>
    </row>
    <row r="47" ht="22.5" customHeight="1">
      <c r="A47" s="127">
        <f>IFERROR(__xludf.DUMMYFUNCTION("""COMPUTED_VALUE"""),2.2201108E7)</f>
        <v>22201108</v>
      </c>
      <c r="B47" s="127" t="str">
        <f>IFERROR(__xludf.DUMMYFUNCTION("""COMPUTED_VALUE"""),"Mohammad Jabir Safa Khandoker")</f>
        <v>Mohammad Jabir Safa Khandoker</v>
      </c>
      <c r="C47" s="127" t="str">
        <f>IFERROR(__xludf.DUMMYFUNCTION("""COMPUTED_VALUE"""),"General Member")</f>
        <v>General Member</v>
      </c>
      <c r="D47" s="127" t="str">
        <f>IFERROR(__xludf.DUMMYFUNCTION("""COMPUTED_VALUE"""),"jabir.safa.khandoker@g.bracu.ac.bd")</f>
        <v>jabir.safa.khandoker@g.bracu.ac.bd</v>
      </c>
    </row>
    <row r="48" ht="22.5" customHeight="1">
      <c r="A48" s="127">
        <f>IFERROR(__xludf.DUMMYFUNCTION("""COMPUTED_VALUE"""),2.2201067E7)</f>
        <v>22201067</v>
      </c>
      <c r="B48" s="127" t="str">
        <f>IFERROR(__xludf.DUMMYFUNCTION("""COMPUTED_VALUE"""),"Lusaka Nower Arpita")</f>
        <v>Lusaka Nower Arpita</v>
      </c>
      <c r="C48" s="127" t="str">
        <f>IFERROR(__xludf.DUMMYFUNCTION("""COMPUTED_VALUE"""),"General Member")</f>
        <v>General Member</v>
      </c>
      <c r="D48" s="127" t="str">
        <f>IFERROR(__xludf.DUMMYFUNCTION("""COMPUTED_VALUE"""),"lusaka.nower.arpita@g.bracu.ac.bd")</f>
        <v>lusaka.nower.arpita@g.bracu.ac.bd</v>
      </c>
    </row>
    <row r="49" ht="22.5" customHeight="1">
      <c r="A49" s="127">
        <f>IFERROR(__xludf.DUMMYFUNCTION("""COMPUTED_VALUE"""),2.2101781E7)</f>
        <v>22101781</v>
      </c>
      <c r="B49" s="127" t="str">
        <f>IFERROR(__xludf.DUMMYFUNCTION("""COMPUTED_VALUE"""),"Md Sakib Sadman Badhon")</f>
        <v>Md Sakib Sadman Badhon</v>
      </c>
      <c r="C49" s="127" t="str">
        <f>IFERROR(__xludf.DUMMYFUNCTION("""COMPUTED_VALUE"""),"General Member")</f>
        <v>General Member</v>
      </c>
      <c r="D49" s="127" t="str">
        <f>IFERROR(__xludf.DUMMYFUNCTION("""COMPUTED_VALUE"""),"sakib.sadman.badhon@g.bracu.ac.bd")</f>
        <v>sakib.sadman.badhon@g.bracu.ac.bd</v>
      </c>
    </row>
    <row r="50" ht="22.5" customHeight="1">
      <c r="A50" s="127">
        <f>IFERROR(__xludf.DUMMYFUNCTION("""COMPUTED_VALUE"""),2.2101719E7)</f>
        <v>22101719</v>
      </c>
      <c r="B50" s="127" t="str">
        <f>IFERROR(__xludf.DUMMYFUNCTION("""COMPUTED_VALUE"""),"Ayon Podder")</f>
        <v>Ayon Podder</v>
      </c>
      <c r="C50" s="127" t="str">
        <f>IFERROR(__xludf.DUMMYFUNCTION("""COMPUTED_VALUE"""),"General Member")</f>
        <v>General Member</v>
      </c>
      <c r="D50" s="127" t="str">
        <f>IFERROR(__xludf.DUMMYFUNCTION("""COMPUTED_VALUE"""),"ayon.podder@g.bracu.ac.bd")</f>
        <v>ayon.podder@g.bracu.ac.bd</v>
      </c>
    </row>
    <row r="51" ht="22.5" customHeight="1">
      <c r="A51" s="127">
        <f>IFERROR(__xludf.DUMMYFUNCTION("""COMPUTED_VALUE"""),2.2101615E7)</f>
        <v>22101615</v>
      </c>
      <c r="B51" s="127" t="str">
        <f>IFERROR(__xludf.DUMMYFUNCTION("""COMPUTED_VALUE"""),"Wasib Ahmed Chayan")</f>
        <v>Wasib Ahmed Chayan</v>
      </c>
      <c r="C51" s="127" t="str">
        <f>IFERROR(__xludf.DUMMYFUNCTION("""COMPUTED_VALUE"""),"General Member")</f>
        <v>General Member</v>
      </c>
      <c r="D51" s="127" t="str">
        <f>IFERROR(__xludf.DUMMYFUNCTION("""COMPUTED_VALUE"""),"wasib.ahmed.chayan@g.bracu.ac.bd")</f>
        <v>wasib.ahmed.chayan@g.bracu.ac.bd</v>
      </c>
    </row>
    <row r="52" ht="22.5" customHeight="1">
      <c r="A52" s="127">
        <f>IFERROR(__xludf.DUMMYFUNCTION("""COMPUTED_VALUE"""),2.210146E7)</f>
        <v>22101460</v>
      </c>
      <c r="B52" s="127" t="str">
        <f>IFERROR(__xludf.DUMMYFUNCTION("""COMPUTED_VALUE"""),"Arpita Saha")</f>
        <v>Arpita Saha</v>
      </c>
      <c r="C52" s="127" t="str">
        <f>IFERROR(__xludf.DUMMYFUNCTION("""COMPUTED_VALUE"""),"General Member")</f>
        <v>General Member</v>
      </c>
      <c r="D52" s="127" t="str">
        <f>IFERROR(__xludf.DUMMYFUNCTION("""COMPUTED_VALUE"""),"arpita.saha@g.bracu.ac.bd")</f>
        <v>arpita.saha@g.bracu.ac.bd</v>
      </c>
    </row>
    <row r="53" ht="22.5" customHeight="1">
      <c r="A53" s="127">
        <f>IFERROR(__xludf.DUMMYFUNCTION("""COMPUTED_VALUE"""),2.2101419E7)</f>
        <v>22101419</v>
      </c>
      <c r="B53" s="127" t="str">
        <f>IFERROR(__xludf.DUMMYFUNCTION("""COMPUTED_VALUE"""),"Samuzzal Swapno")</f>
        <v>Samuzzal Swapno</v>
      </c>
      <c r="C53" s="127" t="str">
        <f>IFERROR(__xludf.DUMMYFUNCTION("""COMPUTED_VALUE"""),"General Member")</f>
        <v>General Member</v>
      </c>
      <c r="D53" s="127" t="str">
        <f>IFERROR(__xludf.DUMMYFUNCTION("""COMPUTED_VALUE"""),"samuzzal.swapno@g.bracu.ac.bd")</f>
        <v>samuzzal.swapno@g.bracu.ac.bd</v>
      </c>
    </row>
    <row r="54" ht="22.5" customHeight="1">
      <c r="A54" s="127">
        <f>IFERROR(__xludf.DUMMYFUNCTION("""COMPUTED_VALUE"""),2.2101216E7)</f>
        <v>22101216</v>
      </c>
      <c r="B54" s="127" t="str">
        <f>IFERROR(__xludf.DUMMYFUNCTION("""COMPUTED_VALUE"""),"Rehnuma Mahajabin")</f>
        <v>Rehnuma Mahajabin</v>
      </c>
      <c r="C54" s="127" t="str">
        <f>IFERROR(__xludf.DUMMYFUNCTION("""COMPUTED_VALUE"""),"General Member")</f>
        <v>General Member</v>
      </c>
      <c r="D54" s="127" t="str">
        <f>IFERROR(__xludf.DUMMYFUNCTION("""COMPUTED_VALUE"""),"rehnuma.mahajabin@g.bracu.ac.bd")</f>
        <v>rehnuma.mahajabin@g.bracu.ac.bd</v>
      </c>
    </row>
    <row r="55" ht="22.5" customHeight="1">
      <c r="A55" s="127">
        <f>IFERROR(__xludf.DUMMYFUNCTION("""COMPUTED_VALUE"""),2.210117E7)</f>
        <v>22101170</v>
      </c>
      <c r="B55" s="127" t="str">
        <f>IFERROR(__xludf.DUMMYFUNCTION("""COMPUTED_VALUE"""),"Fall 23")</f>
        <v>Fall 23</v>
      </c>
      <c r="C55" s="127" t="str">
        <f>IFERROR(__xludf.DUMMYFUNCTION("""COMPUTED_VALUE"""),"General Member")</f>
        <v>General Member</v>
      </c>
      <c r="D55" s="127" t="str">
        <f>IFERROR(__xludf.DUMMYFUNCTION("""COMPUTED_VALUE"""),"nusrat.jahan.nishu@g.bracu.ac.bd")</f>
        <v>nusrat.jahan.nishu@g.bracu.ac.bd</v>
      </c>
    </row>
    <row r="56" ht="22.5" customHeight="1">
      <c r="A56" s="127">
        <f>IFERROR(__xludf.DUMMYFUNCTION("""COMPUTED_VALUE"""),2.2101079E7)</f>
        <v>22101079</v>
      </c>
      <c r="B56" s="127" t="str">
        <f>IFERROR(__xludf.DUMMYFUNCTION("""COMPUTED_VALUE"""),"Shruti Debnath")</f>
        <v>Shruti Debnath</v>
      </c>
      <c r="C56" s="127" t="str">
        <f>IFERROR(__xludf.DUMMYFUNCTION("""COMPUTED_VALUE"""),"General Member")</f>
        <v>General Member</v>
      </c>
      <c r="D56" s="127" t="str">
        <f>IFERROR(__xludf.DUMMYFUNCTION("""COMPUTED_VALUE"""),"shruti.debnath@g.bracu.ac.bd")</f>
        <v>shruti.debnath@g.bracu.ac.bd</v>
      </c>
    </row>
    <row r="57" ht="22.5" customHeight="1">
      <c r="A57" s="127">
        <f>IFERROR(__xludf.DUMMYFUNCTION("""COMPUTED_VALUE"""),2.3101376E7)</f>
        <v>23101376</v>
      </c>
      <c r="B57" s="127" t="str">
        <f>IFERROR(__xludf.DUMMYFUNCTION("""COMPUTED_VALUE"""),"Fahad Bin Hussain")</f>
        <v>Fahad Bin Hussain</v>
      </c>
      <c r="C57" s="127" t="str">
        <f>IFERROR(__xludf.DUMMYFUNCTION("""COMPUTED_VALUE"""),"General Member")</f>
        <v>General Member</v>
      </c>
      <c r="D57" s="127" t="str">
        <f>IFERROR(__xludf.DUMMYFUNCTION("""COMPUTED_VALUE"""),"fahad.bin.hussain@g.bracu.ac.bd")</f>
        <v>fahad.bin.hussain@g.bracu.ac.bd</v>
      </c>
    </row>
    <row r="58" ht="22.5" customHeight="1">
      <c r="A58" s="127">
        <f>IFERROR(__xludf.DUMMYFUNCTION("""COMPUTED_VALUE"""),2.4101086E7)</f>
        <v>24101086</v>
      </c>
      <c r="B58" s="127" t="str">
        <f>IFERROR(__xludf.DUMMYFUNCTION("""COMPUTED_VALUE"""),"Adrika Das")</f>
        <v>Adrika Das</v>
      </c>
      <c r="C58" s="127" t="str">
        <f>IFERROR(__xludf.DUMMYFUNCTION("""COMPUTED_VALUE"""),"General Member")</f>
        <v>General Member</v>
      </c>
      <c r="D58" s="127" t="str">
        <f>IFERROR(__xludf.DUMMYFUNCTION("""COMPUTED_VALUE"""),"adrika.das@g.bracu.ac.bd")</f>
        <v>adrika.das@g.bracu.ac.bd</v>
      </c>
    </row>
    <row r="59" ht="22.5" customHeight="1">
      <c r="A59" s="127">
        <f>IFERROR(__xludf.DUMMYFUNCTION("""COMPUTED_VALUE"""),2.3201451E7)</f>
        <v>23201451</v>
      </c>
      <c r="B59" s="127" t="str">
        <f>IFERROR(__xludf.DUMMYFUNCTION("""COMPUTED_VALUE"""),"Samiha Fairooz Urbi")</f>
        <v>Samiha Fairooz Urbi</v>
      </c>
      <c r="C59" s="127" t="str">
        <f>IFERROR(__xludf.DUMMYFUNCTION("""COMPUTED_VALUE"""),"General Member")</f>
        <v>General Member</v>
      </c>
      <c r="D59" s="127" t="str">
        <f>IFERROR(__xludf.DUMMYFUNCTION("""COMPUTED_VALUE"""),"samiha.fairooz.urbi@g.bracu.ac.bd")</f>
        <v>samiha.fairooz.urbi@g.bracu.ac.bd</v>
      </c>
    </row>
    <row r="60" ht="22.5" customHeight="1">
      <c r="A60" s="127">
        <f>IFERROR(__xludf.DUMMYFUNCTION("""COMPUTED_VALUE"""),2.2201868E7)</f>
        <v>22201868</v>
      </c>
      <c r="B60" s="127" t="str">
        <f>IFERROR(__xludf.DUMMYFUNCTION("""COMPUTED_VALUE"""),"Md. Ashfaqul Awal")</f>
        <v>Md. Ashfaqul Awal</v>
      </c>
      <c r="C60" s="127" t="str">
        <f>IFERROR(__xludf.DUMMYFUNCTION("""COMPUTED_VALUE"""),"General Member")</f>
        <v>General Member</v>
      </c>
      <c r="D60" s="127" t="str">
        <f>IFERROR(__xludf.DUMMYFUNCTION("""COMPUTED_VALUE"""),"md.ashfaqul.awal@g.bracu.ac.bd")</f>
        <v>md.ashfaqul.awal@g.bracu.ac.bd</v>
      </c>
    </row>
    <row r="61" ht="22.5" customHeight="1">
      <c r="A61" s="127">
        <f>IFERROR(__xludf.DUMMYFUNCTION("""COMPUTED_VALUE"""),2.2301288E7)</f>
        <v>22301288</v>
      </c>
      <c r="B61" s="127" t="str">
        <f>IFERROR(__xludf.DUMMYFUNCTION("""COMPUTED_VALUE"""),"Sikder Marbin Rime")</f>
        <v>Sikder Marbin Rime</v>
      </c>
      <c r="C61" s="127" t="str">
        <f>IFERROR(__xludf.DUMMYFUNCTION("""COMPUTED_VALUE"""),"General Member")</f>
        <v>General Member</v>
      </c>
      <c r="D61" s="127" t="str">
        <f>IFERROR(__xludf.DUMMYFUNCTION("""COMPUTED_VALUE"""),"sikder.marbin.rime@g.bracu.ac.bd")</f>
        <v>sikder.marbin.rime@g.bracu.ac.bd</v>
      </c>
    </row>
    <row r="62" ht="22.5" customHeight="1">
      <c r="A62" s="127">
        <f>IFERROR(__xludf.DUMMYFUNCTION("""COMPUTED_VALUE"""),2.3201084E7)</f>
        <v>23201084</v>
      </c>
      <c r="B62" s="127" t="str">
        <f>IFERROR(__xludf.DUMMYFUNCTION("""COMPUTED_VALUE"""),"Raisa Tanmin")</f>
        <v>Raisa Tanmin</v>
      </c>
      <c r="C62" s="127" t="str">
        <f>IFERROR(__xludf.DUMMYFUNCTION("""COMPUTED_VALUE"""),"General Member")</f>
        <v>General Member</v>
      </c>
      <c r="D62" s="127" t="str">
        <f>IFERROR(__xludf.DUMMYFUNCTION("""COMPUTED_VALUE"""),"raisa.tanmin@g.bracu.ac.bd")</f>
        <v>raisa.tanmin@g.bracu.ac.bd</v>
      </c>
    </row>
    <row r="63" ht="22.5" customHeight="1">
      <c r="A63" s="127">
        <f>IFERROR(__xludf.DUMMYFUNCTION("""COMPUTED_VALUE"""),2.32016E7)</f>
        <v>23201600</v>
      </c>
      <c r="B63" s="127" t="str">
        <f>IFERROR(__xludf.DUMMYFUNCTION("""COMPUTED_VALUE"""),"Amrita Roy")</f>
        <v>Amrita Roy</v>
      </c>
      <c r="C63" s="127" t="str">
        <f>IFERROR(__xludf.DUMMYFUNCTION("""COMPUTED_VALUE"""),"General Member")</f>
        <v>General Member</v>
      </c>
      <c r="D63" s="127" t="str">
        <f>IFERROR(__xludf.DUMMYFUNCTION("""COMPUTED_VALUE"""),"amrita.roy1@g.bracu.ac.bd")</f>
        <v>amrita.roy1@g.bracu.ac.bd</v>
      </c>
    </row>
    <row r="64" ht="22.5" customHeight="1">
      <c r="A64" s="127">
        <f>IFERROR(__xludf.DUMMYFUNCTION("""COMPUTED_VALUE"""),2.320109E7)</f>
        <v>23201090</v>
      </c>
      <c r="B64" s="127" t="str">
        <f>IFERROR(__xludf.DUMMYFUNCTION("""COMPUTED_VALUE"""),"Abir Hossain")</f>
        <v>Abir Hossain</v>
      </c>
      <c r="C64" s="127" t="str">
        <f>IFERROR(__xludf.DUMMYFUNCTION("""COMPUTED_VALUE"""),"General Member")</f>
        <v>General Member</v>
      </c>
      <c r="D64" s="127" t="str">
        <f>IFERROR(__xludf.DUMMYFUNCTION("""COMPUTED_VALUE"""),"abir.hossain3@g.bracu.ac.bd")</f>
        <v>abir.hossain3@g.bracu.ac.bd</v>
      </c>
    </row>
    <row r="65" ht="22.5" customHeight="1">
      <c r="A65" s="127">
        <f>IFERROR(__xludf.DUMMYFUNCTION("""COMPUTED_VALUE"""),2.4101354E7)</f>
        <v>24101354</v>
      </c>
      <c r="B65" s="127" t="str">
        <f>IFERROR(__xludf.DUMMYFUNCTION("""COMPUTED_VALUE"""),"ANAS BIN HABIB")</f>
        <v>ANAS BIN HABIB</v>
      </c>
      <c r="C65" s="127" t="str">
        <f>IFERROR(__xludf.DUMMYFUNCTION("""COMPUTED_VALUE"""),"General Member")</f>
        <v>General Member</v>
      </c>
      <c r="D65" s="127" t="str">
        <f>IFERROR(__xludf.DUMMYFUNCTION("""COMPUTED_VALUE"""),"anas.bin.habib@g.bracu.ac.bd")</f>
        <v>anas.bin.habib@g.bracu.ac.bd</v>
      </c>
    </row>
    <row r="66" ht="22.5" customHeight="1">
      <c r="A66" s="127">
        <f>IFERROR(__xludf.DUMMYFUNCTION("""COMPUTED_VALUE"""),2.4110015E7)</f>
        <v>24110015</v>
      </c>
      <c r="B66" s="127" t="str">
        <f>IFERROR(__xludf.DUMMYFUNCTION("""COMPUTED_VALUE"""),"Sanzid Safin Rahman")</f>
        <v>Sanzid Safin Rahman</v>
      </c>
      <c r="C66" s="127" t="str">
        <f>IFERROR(__xludf.DUMMYFUNCTION("""COMPUTED_VALUE"""),"General Member")</f>
        <v>General Member</v>
      </c>
      <c r="D66" s="127" t="str">
        <f>IFERROR(__xludf.DUMMYFUNCTION("""COMPUTED_VALUE"""),"sanzid.safin.rahman@g.bracu.ac.bd")</f>
        <v>sanzid.safin.rahman@g.bracu.ac.bd</v>
      </c>
    </row>
    <row r="67" ht="22.5" customHeight="1">
      <c r="A67" s="127">
        <f>IFERROR(__xludf.DUMMYFUNCTION("""COMPUTED_VALUE"""),2.4121297E7)</f>
        <v>24121297</v>
      </c>
      <c r="B67" s="127" t="str">
        <f>IFERROR(__xludf.DUMMYFUNCTION("""COMPUTED_VALUE"""),"Tasfia Mashiat")</f>
        <v>Tasfia Mashiat</v>
      </c>
      <c r="C67" s="127" t="str">
        <f>IFERROR(__xludf.DUMMYFUNCTION("""COMPUTED_VALUE"""),"General Member")</f>
        <v>General Member</v>
      </c>
      <c r="D67" s="127" t="str">
        <f>IFERROR(__xludf.DUMMYFUNCTION("""COMPUTED_VALUE"""),"tasfia.mashiat@g.bracu.ac.bd")</f>
        <v>tasfia.mashiat@g.bracu.ac.bd</v>
      </c>
    </row>
    <row r="68" ht="22.5" customHeight="1">
      <c r="A68" s="127">
        <f>IFERROR(__xludf.DUMMYFUNCTION("""COMPUTED_VALUE"""),2.4321202E7)</f>
        <v>24321202</v>
      </c>
      <c r="B68" s="127" t="str">
        <f>IFERROR(__xludf.DUMMYFUNCTION("""COMPUTED_VALUE"""),"Losmi Rahman")</f>
        <v>Losmi Rahman</v>
      </c>
      <c r="C68" s="127" t="str">
        <f>IFERROR(__xludf.DUMMYFUNCTION("""COMPUTED_VALUE"""),"General Member")</f>
        <v>General Member</v>
      </c>
      <c r="D68" s="127" t="str">
        <f>IFERROR(__xludf.DUMMYFUNCTION("""COMPUTED_VALUE"""),"losmi.rahman@g.bracu.ac.bd")</f>
        <v>losmi.rahman@g.bracu.ac.bd</v>
      </c>
    </row>
    <row r="69" ht="22.5" customHeight="1">
      <c r="A69" s="127">
        <f>IFERROR(__xludf.DUMMYFUNCTION("""COMPUTED_VALUE"""),2.4301378E7)</f>
        <v>24301378</v>
      </c>
      <c r="B69" s="127" t="str">
        <f>IFERROR(__xludf.DUMMYFUNCTION("""COMPUTED_VALUE"""),"Zafrin Zaman Mithila")</f>
        <v>Zafrin Zaman Mithila</v>
      </c>
      <c r="C69" s="127" t="str">
        <f>IFERROR(__xludf.DUMMYFUNCTION("""COMPUTED_VALUE"""),"General Member")</f>
        <v>General Member</v>
      </c>
      <c r="D69" s="127" t="str">
        <f>IFERROR(__xludf.DUMMYFUNCTION("""COMPUTED_VALUE"""),"zafrin.zaman.mithila@g.bracu.ac.bd")</f>
        <v>zafrin.zaman.mithila@g.bracu.ac.bd</v>
      </c>
    </row>
    <row r="70" ht="22.5" customHeight="1">
      <c r="A70" s="127">
        <f>IFERROR(__xludf.DUMMYFUNCTION("""COMPUTED_VALUE"""),2.4121266E7)</f>
        <v>24121266</v>
      </c>
      <c r="B70" s="127" t="str">
        <f>IFERROR(__xludf.DUMMYFUNCTION("""COMPUTED_VALUE"""),"Ridita katha")</f>
        <v>Ridita katha</v>
      </c>
      <c r="C70" s="127" t="str">
        <f>IFERROR(__xludf.DUMMYFUNCTION("""COMPUTED_VALUE"""),"General Member")</f>
        <v>General Member</v>
      </c>
      <c r="D70" s="127" t="str">
        <f>IFERROR(__xludf.DUMMYFUNCTION("""COMPUTED_VALUE"""),"ridita.katha@g.bracu.ac.bd")</f>
        <v>ridita.katha@g.bracu.ac.bd</v>
      </c>
    </row>
    <row r="71" ht="22.5" customHeight="1">
      <c r="A71" s="127">
        <f>IFERROR(__xludf.DUMMYFUNCTION("""COMPUTED_VALUE"""),2.434105E7)</f>
        <v>24341050</v>
      </c>
      <c r="B71" s="127" t="str">
        <f>IFERROR(__xludf.DUMMYFUNCTION("""COMPUTED_VALUE"""),"Nafis Fuad Wasee")</f>
        <v>Nafis Fuad Wasee</v>
      </c>
      <c r="C71" s="127" t="str">
        <f>IFERROR(__xludf.DUMMYFUNCTION("""COMPUTED_VALUE"""),"General Member")</f>
        <v>General Member</v>
      </c>
      <c r="D71" s="127" t="str">
        <f>IFERROR(__xludf.DUMMYFUNCTION("""COMPUTED_VALUE"""),"nafis.fuad.wasee@g.bracu.ac.bd")</f>
        <v>nafis.fuad.wasee@g.bracu.ac.bd</v>
      </c>
    </row>
    <row r="72" ht="22.5" customHeight="1">
      <c r="A72" s="127">
        <f>IFERROR(__xludf.DUMMYFUNCTION("""COMPUTED_VALUE"""),2.4301489E7)</f>
        <v>24301489</v>
      </c>
      <c r="B72" s="127" t="str">
        <f>IFERROR(__xludf.DUMMYFUNCTION("""COMPUTED_VALUE"""),"Mondira Ghosh Golpo")</f>
        <v>Mondira Ghosh Golpo</v>
      </c>
      <c r="C72" s="127" t="str">
        <f>IFERROR(__xludf.DUMMYFUNCTION("""COMPUTED_VALUE"""),"General Member")</f>
        <v>General Member</v>
      </c>
      <c r="D72" s="127" t="str">
        <f>IFERROR(__xludf.DUMMYFUNCTION("""COMPUTED_VALUE"""),"mondira.ghosh.golpo@g.bracu.ac.bd")</f>
        <v>mondira.ghosh.golpo@g.bracu.ac.bd</v>
      </c>
    </row>
    <row r="73" ht="22.5" customHeight="1">
      <c r="A73" s="127">
        <f>IFERROR(__xludf.DUMMYFUNCTION("""COMPUTED_VALUE"""),2.4301283E7)</f>
        <v>24301283</v>
      </c>
      <c r="B73" s="127" t="str">
        <f>IFERROR(__xludf.DUMMYFUNCTION("""COMPUTED_VALUE"""),"Tashfiqul Islam")</f>
        <v>Tashfiqul Islam</v>
      </c>
      <c r="C73" s="127" t="str">
        <f>IFERROR(__xludf.DUMMYFUNCTION("""COMPUTED_VALUE"""),"General Member")</f>
        <v>General Member</v>
      </c>
      <c r="D73" s="127" t="str">
        <f>IFERROR(__xludf.DUMMYFUNCTION("""COMPUTED_VALUE"""),"tashfiqul.islam@g.bracu.ac.bd")</f>
        <v>tashfiqul.islam@g.bracu.ac.bd</v>
      </c>
    </row>
    <row r="74" ht="22.5" customHeight="1">
      <c r="A74" s="127">
        <f>IFERROR(__xludf.DUMMYFUNCTION("""COMPUTED_VALUE"""),2.4301397E7)</f>
        <v>24301397</v>
      </c>
      <c r="B74" s="127" t="str">
        <f>IFERROR(__xludf.DUMMYFUNCTION("""COMPUTED_VALUE"""),"Tethi Saha")</f>
        <v>Tethi Saha</v>
      </c>
      <c r="C74" s="127" t="str">
        <f>IFERROR(__xludf.DUMMYFUNCTION("""COMPUTED_VALUE"""),"General Member")</f>
        <v>General Member</v>
      </c>
      <c r="D74" s="127" t="str">
        <f>IFERROR(__xludf.DUMMYFUNCTION("""COMPUTED_VALUE"""),"tethi.saha@g.bracu.ac.bd")</f>
        <v>tethi.saha@g.bracu.ac.bd</v>
      </c>
    </row>
    <row r="75" ht="22.5" customHeight="1">
      <c r="A75" s="127">
        <f>IFERROR(__xludf.DUMMYFUNCTION("""COMPUTED_VALUE"""),2.4301463E7)</f>
        <v>24301463</v>
      </c>
      <c r="B75" s="127" t="str">
        <f>IFERROR(__xludf.DUMMYFUNCTION("""COMPUTED_VALUE"""),"Arik Zuhayer Shams")</f>
        <v>Arik Zuhayer Shams</v>
      </c>
      <c r="C75" s="127" t="str">
        <f>IFERROR(__xludf.DUMMYFUNCTION("""COMPUTED_VALUE"""),"General Member")</f>
        <v>General Member</v>
      </c>
      <c r="D75" s="127" t="str">
        <f>IFERROR(__xludf.DUMMYFUNCTION("""COMPUTED_VALUE"""),"arik.zuhayer.shams@g.bracu.ac.bd")</f>
        <v>arik.zuhayer.shams@g.bracu.ac.bd</v>
      </c>
    </row>
    <row r="76" ht="22.5" customHeight="1">
      <c r="A76" s="127">
        <f>IFERROR(__xludf.DUMMYFUNCTION("""COMPUTED_VALUE"""),2.4310002E7)</f>
        <v>24310002</v>
      </c>
      <c r="B76" s="127" t="str">
        <f>IFERROR(__xludf.DUMMYFUNCTION("""COMPUTED_VALUE"""),"Faizah Farbin Sharif")</f>
        <v>Faizah Farbin Sharif</v>
      </c>
      <c r="C76" s="127" t="str">
        <f>IFERROR(__xludf.DUMMYFUNCTION("""COMPUTED_VALUE"""),"General Member")</f>
        <v>General Member</v>
      </c>
      <c r="D76" s="127" t="str">
        <f>IFERROR(__xludf.DUMMYFUNCTION("""COMPUTED_VALUE"""),"faizah.farbin.sharif@g.bracu.ac.bd")</f>
        <v>faizah.farbin.sharif@g.bracu.ac.bd</v>
      </c>
    </row>
    <row r="77" ht="22.5" customHeight="1">
      <c r="A77" s="127">
        <f>IFERROR(__xludf.DUMMYFUNCTION("""COMPUTED_VALUE"""),2.4301186E7)</f>
        <v>24301186</v>
      </c>
      <c r="B77" s="127" t="str">
        <f>IFERROR(__xludf.DUMMYFUNCTION("""COMPUTED_VALUE"""),"Jarin Tasnim Maisha")</f>
        <v>Jarin Tasnim Maisha</v>
      </c>
      <c r="C77" s="127" t="str">
        <f>IFERROR(__xludf.DUMMYFUNCTION("""COMPUTED_VALUE"""),"General Member")</f>
        <v>General Member</v>
      </c>
      <c r="D77" s="127" t="str">
        <f>IFERROR(__xludf.DUMMYFUNCTION("""COMPUTED_VALUE"""),"jarin.tasnim.maisha@g.bracu.ac.bd")</f>
        <v>jarin.tasnim.maisha@g.bracu.ac.bd</v>
      </c>
    </row>
    <row r="78" ht="22.5" customHeight="1">
      <c r="A78" s="127">
        <f>IFERROR(__xludf.DUMMYFUNCTION("""COMPUTED_VALUE"""),2.4201082E7)</f>
        <v>24201082</v>
      </c>
      <c r="B78" s="127" t="str">
        <f>IFERROR(__xludf.DUMMYFUNCTION("""COMPUTED_VALUE"""),"Deepita Himadri")</f>
        <v>Deepita Himadri</v>
      </c>
      <c r="C78" s="127" t="str">
        <f>IFERROR(__xludf.DUMMYFUNCTION("""COMPUTED_VALUE"""),"General Member")</f>
        <v>General Member</v>
      </c>
      <c r="D78" s="127" t="str">
        <f>IFERROR(__xludf.DUMMYFUNCTION("""COMPUTED_VALUE"""),"deepita.himadri@g.bracu.ac.bd")</f>
        <v>deepita.himadri@g.bracu.ac.bd</v>
      </c>
    </row>
    <row r="79" ht="22.5" customHeight="1">
      <c r="A79" s="127">
        <f>IFERROR(__xludf.DUMMYFUNCTION("""COMPUTED_VALUE"""),2.4101522E7)</f>
        <v>24101522</v>
      </c>
      <c r="B79" s="127" t="str">
        <f>IFERROR(__xludf.DUMMYFUNCTION("""COMPUTED_VALUE"""),"Rahil Ayman")</f>
        <v>Rahil Ayman</v>
      </c>
      <c r="C79" s="127" t="str">
        <f>IFERROR(__xludf.DUMMYFUNCTION("""COMPUTED_VALUE"""),"General Member")</f>
        <v>General Member</v>
      </c>
      <c r="D79" s="127" t="str">
        <f>IFERROR(__xludf.DUMMYFUNCTION("""COMPUTED_VALUE"""),"rahil.ayman@g.bracu.ac.bd")</f>
        <v>rahil.ayman@g.bracu.ac.bd</v>
      </c>
    </row>
    <row r="80" ht="22.5" customHeight="1">
      <c r="A80" s="127">
        <f>IFERROR(__xludf.DUMMYFUNCTION("""COMPUTED_VALUE"""),2.3201274E7)</f>
        <v>23201274</v>
      </c>
      <c r="B80" s="127" t="str">
        <f>IFERROR(__xludf.DUMMYFUNCTION("""COMPUTED_VALUE"""),"Mufliha")</f>
        <v>Mufliha</v>
      </c>
      <c r="C80" s="127" t="str">
        <f>IFERROR(__xludf.DUMMYFUNCTION("""COMPUTED_VALUE"""),"General Member")</f>
        <v>General Member</v>
      </c>
      <c r="D80" s="127" t="str">
        <f>IFERROR(__xludf.DUMMYFUNCTION("""COMPUTED_VALUE"""),"mufliha.mumtarin.nabila@g.bracu.ac.bd")</f>
        <v>mufliha.mumtarin.nabila@g.bracu.ac.bd</v>
      </c>
    </row>
    <row r="81" ht="22.5" customHeight="1">
      <c r="A81" s="127">
        <f>IFERROR(__xludf.DUMMYFUNCTION("""COMPUTED_VALUE"""),2.3201637E7)</f>
        <v>23201637</v>
      </c>
      <c r="B81" s="127" t="str">
        <f>IFERROR(__xludf.DUMMYFUNCTION("""COMPUTED_VALUE"""),"Mahjuba Maliha Rawda")</f>
        <v>Mahjuba Maliha Rawda</v>
      </c>
      <c r="C81" s="127" t="str">
        <f>IFERROR(__xludf.DUMMYFUNCTION("""COMPUTED_VALUE"""),"General Member")</f>
        <v>General Member</v>
      </c>
      <c r="D81" s="127" t="str">
        <f>IFERROR(__xludf.DUMMYFUNCTION("""COMPUTED_VALUE"""),"mahjuba.maliha.rawda@g.bracu.ac.bd")</f>
        <v>mahjuba.maliha.rawda@g.bracu.ac.bd</v>
      </c>
    </row>
    <row r="82" ht="22.5" customHeight="1">
      <c r="A82" s="127">
        <f>IFERROR(__xludf.DUMMYFUNCTION("""COMPUTED_VALUE"""),2.410121E7)</f>
        <v>24101210</v>
      </c>
      <c r="B82" s="127" t="str">
        <f>IFERROR(__xludf.DUMMYFUNCTION("""COMPUTED_VALUE"""),"Norika Nawar")</f>
        <v>Norika Nawar</v>
      </c>
      <c r="C82" s="127" t="str">
        <f>IFERROR(__xludf.DUMMYFUNCTION("""COMPUTED_VALUE"""),"General Member")</f>
        <v>General Member</v>
      </c>
      <c r="D82" s="127" t="str">
        <f>IFERROR(__xludf.DUMMYFUNCTION("""COMPUTED_VALUE"""),"norika.nawar@g.bracu.ac.bd")</f>
        <v>norika.nawar@g.bracu.ac.bd</v>
      </c>
    </row>
    <row r="83" ht="22.5" customHeight="1">
      <c r="A83" s="127">
        <f>IFERROR(__xludf.DUMMYFUNCTION("""COMPUTED_VALUE"""),2.4101457E7)</f>
        <v>24101457</v>
      </c>
      <c r="B83" s="127" t="str">
        <f>IFERROR(__xludf.DUMMYFUNCTION("""COMPUTED_VALUE"""),"Arshad Momen Swapno")</f>
        <v>Arshad Momen Swapno</v>
      </c>
      <c r="C83" s="127" t="str">
        <f>IFERROR(__xludf.DUMMYFUNCTION("""COMPUTED_VALUE"""),"General Member")</f>
        <v>General Member</v>
      </c>
      <c r="D83" s="127" t="str">
        <f>IFERROR(__xludf.DUMMYFUNCTION("""COMPUTED_VALUE"""),"arshad.momen.swapno@g.bracu.ac.bd")</f>
        <v>arshad.momen.swapno@g.bracu.ac.bd</v>
      </c>
    </row>
    <row r="84" ht="22.5" customHeight="1">
      <c r="A84" s="127">
        <f>IFERROR(__xludf.DUMMYFUNCTION("""COMPUTED_VALUE"""),2.420112E7)</f>
        <v>24201120</v>
      </c>
      <c r="B84" s="127" t="str">
        <f>IFERROR(__xludf.DUMMYFUNCTION("""COMPUTED_VALUE"""),"Md. Shadman Seraj")</f>
        <v>Md. Shadman Seraj</v>
      </c>
      <c r="C84" s="127" t="str">
        <f>IFERROR(__xludf.DUMMYFUNCTION("""COMPUTED_VALUE"""),"General Member")</f>
        <v>General Member</v>
      </c>
      <c r="D84" s="127" t="str">
        <f>IFERROR(__xludf.DUMMYFUNCTION("""COMPUTED_VALUE"""),"md.shadman.seraj@g.bracu.ac.bd")</f>
        <v>md.shadman.seraj@g.bracu.ac.bd</v>
      </c>
    </row>
    <row r="85" ht="22.5" customHeight="1">
      <c r="A85" s="127">
        <f>IFERROR(__xludf.DUMMYFUNCTION("""COMPUTED_VALUE"""),2.4201381E7)</f>
        <v>24201381</v>
      </c>
      <c r="B85" s="127" t="str">
        <f>IFERROR(__xludf.DUMMYFUNCTION("""COMPUTED_VALUE"""),"Md. Riyad")</f>
        <v>Md. Riyad</v>
      </c>
      <c r="C85" s="127" t="str">
        <f>IFERROR(__xludf.DUMMYFUNCTION("""COMPUTED_VALUE"""),"General Member")</f>
        <v>General Member</v>
      </c>
      <c r="D85" s="127" t="str">
        <f>IFERROR(__xludf.DUMMYFUNCTION("""COMPUTED_VALUE"""),"md.riyad@g.bracu.ac.bd")</f>
        <v>md.riyad@g.bracu.ac.bd</v>
      </c>
    </row>
    <row r="86" ht="22.5" customHeight="1">
      <c r="A86" s="127">
        <f>IFERROR(__xludf.DUMMYFUNCTION("""COMPUTED_VALUE"""),2.4301014E7)</f>
        <v>24301014</v>
      </c>
      <c r="B86" s="127" t="str">
        <f>IFERROR(__xludf.DUMMYFUNCTION("""COMPUTED_VALUE"""),"MUNIRA FARUQUE")</f>
        <v>MUNIRA FARUQUE</v>
      </c>
      <c r="C86" s="127" t="str">
        <f>IFERROR(__xludf.DUMMYFUNCTION("""COMPUTED_VALUE"""),"General Member")</f>
        <v>General Member</v>
      </c>
      <c r="D86" s="127" t="str">
        <f>IFERROR(__xludf.DUMMYFUNCTION("""COMPUTED_VALUE"""),"munira.faruque@g.bracu.ac.bd")</f>
        <v>munira.faruque@g.bracu.ac.bd</v>
      </c>
    </row>
    <row r="87" ht="22.5" customHeight="1">
      <c r="A87" s="127">
        <f>IFERROR(__xludf.DUMMYFUNCTION("""COMPUTED_VALUE"""),2.4301172E7)</f>
        <v>24301172</v>
      </c>
      <c r="B87" s="127" t="str">
        <f>IFERROR(__xludf.DUMMYFUNCTION("""COMPUTED_VALUE"""),"Tasfia Tahsin")</f>
        <v>Tasfia Tahsin</v>
      </c>
      <c r="C87" s="127" t="str">
        <f>IFERROR(__xludf.DUMMYFUNCTION("""COMPUTED_VALUE"""),"General Member")</f>
        <v>General Member</v>
      </c>
      <c r="D87" s="127" t="str">
        <f>IFERROR(__xludf.DUMMYFUNCTION("""COMPUTED_VALUE"""),"tasfia.tahsin2@g.bracu.ac.bd")</f>
        <v>tasfia.tahsin2@g.bracu.ac.bd</v>
      </c>
    </row>
    <row r="88" ht="22.5" customHeight="1">
      <c r="A88" s="127">
        <f>IFERROR(__xludf.DUMMYFUNCTION("""COMPUTED_VALUE"""),2.4121258E7)</f>
        <v>24121258</v>
      </c>
      <c r="B88" s="127" t="str">
        <f>IFERROR(__xludf.DUMMYFUNCTION("""COMPUTED_VALUE"""),"Fahad Md. Al Shihab")</f>
        <v>Fahad Md. Al Shihab</v>
      </c>
      <c r="C88" s="127" t="str">
        <f>IFERROR(__xludf.DUMMYFUNCTION("""COMPUTED_VALUE"""),"General Member")</f>
        <v>General Member</v>
      </c>
      <c r="D88" s="127" t="str">
        <f>IFERROR(__xludf.DUMMYFUNCTION("""COMPUTED_VALUE"""),"fahad.md.alshihab@g.bracu.ac.bd")</f>
        <v>fahad.md.alshihab@g.bracu.ac.bd</v>
      </c>
    </row>
    <row r="89" ht="22.5" customHeight="1">
      <c r="A89" s="127">
        <f>IFERROR(__xludf.DUMMYFUNCTION("""COMPUTED_VALUE"""),2.4301309E7)</f>
        <v>24301309</v>
      </c>
      <c r="B89" s="127" t="str">
        <f>IFERROR(__xludf.DUMMYFUNCTION("""COMPUTED_VALUE"""),"Taseenur Rahman")</f>
        <v>Taseenur Rahman</v>
      </c>
      <c r="C89" s="127" t="str">
        <f>IFERROR(__xludf.DUMMYFUNCTION("""COMPUTED_VALUE"""),"General Member")</f>
        <v>General Member</v>
      </c>
      <c r="D89" s="127" t="str">
        <f>IFERROR(__xludf.DUMMYFUNCTION("""COMPUTED_VALUE"""),"taseenur.rahman@g.bracu.ac.bd")</f>
        <v>taseenur.rahman@g.bracu.ac.bd</v>
      </c>
    </row>
    <row r="90" ht="22.5" customHeight="1">
      <c r="A90" s="127">
        <f>IFERROR(__xludf.DUMMYFUNCTION("""COMPUTED_VALUE"""),2.4301514E7)</f>
        <v>24301514</v>
      </c>
      <c r="B90" s="127" t="str">
        <f>IFERROR(__xludf.DUMMYFUNCTION("""COMPUTED_VALUE"""),"Wasi Abdur Rafi")</f>
        <v>Wasi Abdur Rafi</v>
      </c>
      <c r="C90" s="127" t="str">
        <f>IFERROR(__xludf.DUMMYFUNCTION("""COMPUTED_VALUE"""),"General Member")</f>
        <v>General Member</v>
      </c>
      <c r="D90" s="127" t="str">
        <f>IFERROR(__xludf.DUMMYFUNCTION("""COMPUTED_VALUE"""),"wasi.abdur.rafi@g.bracu.ac.bd")</f>
        <v>wasi.abdur.rafi@g.bracu.ac.bd</v>
      </c>
    </row>
    <row r="91" ht="22.5" customHeight="1">
      <c r="A91" s="127">
        <f>IFERROR(__xludf.DUMMYFUNCTION("""COMPUTED_VALUE"""),1.000054181E9)</f>
        <v>1000054181</v>
      </c>
      <c r="B91" s="127" t="str">
        <f>IFERROR(__xludf.DUMMYFUNCTION("""COMPUTED_VALUE"""),"Ishmam Chowdhury")</f>
        <v>Ishmam Chowdhury</v>
      </c>
      <c r="C91" s="127" t="str">
        <f>IFERROR(__xludf.DUMMYFUNCTION("""COMPUTED_VALUE"""),"General Member")</f>
        <v>General Member</v>
      </c>
      <c r="D91" s="127" t="str">
        <f>IFERROR(__xludf.DUMMYFUNCTION("""COMPUTED_VALUE"""),"ishmam.chowdhury@g.bracu.ac.bd")</f>
        <v>ishmam.chowdhury@g.bracu.ac.bd</v>
      </c>
    </row>
    <row r="92" ht="22.5" customHeight="1">
      <c r="A92" s="127">
        <f>IFERROR(__xludf.DUMMYFUNCTION("""COMPUTED_VALUE"""),1.000055761E9)</f>
        <v>1000055761</v>
      </c>
      <c r="B92" s="127" t="str">
        <f>IFERROR(__xludf.DUMMYFUNCTION("""COMPUTED_VALUE"""),"Ishmam S. Rahman")</f>
        <v>Ishmam S. Rahman</v>
      </c>
      <c r="C92" s="127" t="str">
        <f>IFERROR(__xludf.DUMMYFUNCTION("""COMPUTED_VALUE"""),"General Member")</f>
        <v>General Member</v>
      </c>
      <c r="D92" s="127" t="str">
        <f>IFERROR(__xludf.DUMMYFUNCTION("""COMPUTED_VALUE"""),"ishmam.said.rahman@g.bracu.ac.bd")</f>
        <v>ishmam.said.rahman@g.bracu.ac.bd</v>
      </c>
    </row>
    <row r="93" ht="22.5" customHeight="1">
      <c r="A93" s="127">
        <f>IFERROR(__xludf.DUMMYFUNCTION("""COMPUTED_VALUE"""),1.000056133E9)</f>
        <v>1000056133</v>
      </c>
      <c r="B93" s="127" t="str">
        <f>IFERROR(__xludf.DUMMYFUNCTION("""COMPUTED_VALUE"""),"Akib Abrar")</f>
        <v>Akib Abrar</v>
      </c>
      <c r="C93" s="127" t="str">
        <f>IFERROR(__xludf.DUMMYFUNCTION("""COMPUTED_VALUE"""),"General Member")</f>
        <v>General Member</v>
      </c>
      <c r="D93" s="127" t="str">
        <f>IFERROR(__xludf.DUMMYFUNCTION("""COMPUTED_VALUE"""),"akib.abrar@g.bracu.ac.bd")</f>
        <v>akib.abrar@g.bracu.ac.bd</v>
      </c>
    </row>
    <row r="94">
      <c r="A94" s="130">
        <f>IFERROR(__xludf.DUMMYFUNCTION("""COMPUTED_VALUE"""),1.00005661E9)</f>
        <v>1000056610</v>
      </c>
      <c r="B94" s="130" t="str">
        <f>IFERROR(__xludf.DUMMYFUNCTION("""COMPUTED_VALUE"""),"Mugdha Arunim Ahmed")</f>
        <v>Mugdha Arunim Ahmed</v>
      </c>
      <c r="C94" s="130" t="str">
        <f>IFERROR(__xludf.DUMMYFUNCTION("""COMPUTED_VALUE"""),"General Member")</f>
        <v>General Member</v>
      </c>
      <c r="D94" s="130" t="str">
        <f>IFERROR(__xludf.DUMMYFUNCTION("""COMPUTED_VALUE"""),"mugdha.arunim.ahmed@g.bracu.ac.bd")</f>
        <v>mugdha.arunim.ahmed@g.bracu.ac.bd</v>
      </c>
    </row>
    <row r="95">
      <c r="A95" s="130">
        <f>IFERROR(__xludf.DUMMYFUNCTION("""COMPUTED_VALUE"""),1.000056697E9)</f>
        <v>1000056697</v>
      </c>
      <c r="B95" s="130" t="str">
        <f>IFERROR(__xludf.DUMMYFUNCTION("""COMPUTED_VALUE"""),"Shafwan Ibne Rahman")</f>
        <v>Shafwan Ibne Rahman</v>
      </c>
      <c r="C95" s="130" t="str">
        <f>IFERROR(__xludf.DUMMYFUNCTION("""COMPUTED_VALUE"""),"General Member")</f>
        <v>General Member</v>
      </c>
      <c r="D95" s="130" t="str">
        <f>IFERROR(__xludf.DUMMYFUNCTION("""COMPUTED_VALUE"""),"shafwan.ibne.rahman@g.bracu.ac.bd")</f>
        <v>shafwan.ibne.rahman@g.bracu.ac.bd</v>
      </c>
    </row>
    <row r="96">
      <c r="A96" s="130">
        <f>IFERROR(__xludf.DUMMYFUNCTION("""COMPUTED_VALUE"""),2.4201203E7)</f>
        <v>24201203</v>
      </c>
      <c r="B96" s="130" t="str">
        <f>IFERROR(__xludf.DUMMYFUNCTION("""COMPUTED_VALUE"""),"Raisa Rafa")</f>
        <v>Raisa Rafa</v>
      </c>
      <c r="C96" s="130" t="str">
        <f>IFERROR(__xludf.DUMMYFUNCTION("""COMPUTED_VALUE"""),"General Member")</f>
        <v>General Member</v>
      </c>
      <c r="D96" s="130" t="str">
        <f>IFERROR(__xludf.DUMMYFUNCTION("""COMPUTED_VALUE"""),"raisa.rafa@g.bracu.ac.bd")</f>
        <v>raisa.rafa@g.bracu.ac.bd</v>
      </c>
    </row>
    <row r="97">
      <c r="A97" s="130">
        <f>IFERROR(__xludf.DUMMYFUNCTION("""COMPUTED_VALUE"""),1.000058127E9)</f>
        <v>1000058127</v>
      </c>
      <c r="B97" s="130" t="str">
        <f>IFERROR(__xludf.DUMMYFUNCTION("""COMPUTED_VALUE"""),"Tasnia Nawshin")</f>
        <v>Tasnia Nawshin</v>
      </c>
      <c r="C97" s="130" t="str">
        <f>IFERROR(__xludf.DUMMYFUNCTION("""COMPUTED_VALUE"""),"General Member")</f>
        <v>General Member</v>
      </c>
      <c r="D97" s="130" t="str">
        <f>IFERROR(__xludf.DUMMYFUNCTION("""COMPUTED_VALUE"""),"tasnia.nawshin@g.bracu.ac.bd")</f>
        <v>tasnia.nawshin@g.bracu.ac.bd</v>
      </c>
    </row>
    <row r="98">
      <c r="A98" s="130">
        <f>IFERROR(__xludf.DUMMYFUNCTION("""COMPUTED_VALUE"""),2.4301564E7)</f>
        <v>24301564</v>
      </c>
      <c r="B98" s="130" t="str">
        <f>IFERROR(__xludf.DUMMYFUNCTION("""COMPUTED_VALUE"""),"SHAH MUSFIQUE RAIYAN ASHRAFI")</f>
        <v>SHAH MUSFIQUE RAIYAN ASHRAFI</v>
      </c>
      <c r="C98" s="130" t="str">
        <f>IFERROR(__xludf.DUMMYFUNCTION("""COMPUTED_VALUE"""),"General Member")</f>
        <v>General Member</v>
      </c>
      <c r="D98" s="130" t="str">
        <f>IFERROR(__xludf.DUMMYFUNCTION("""COMPUTED_VALUE"""),"musfique.raiyan.ashrafi@g.bracu.ac.bd")</f>
        <v>musfique.raiyan.ashrafi@g.bracu.ac.bd</v>
      </c>
    </row>
    <row r="99">
      <c r="A99" s="130">
        <f>IFERROR(__xludf.DUMMYFUNCTION("""COMPUTED_VALUE"""),1.000059397E9)</f>
        <v>1000059397</v>
      </c>
      <c r="B99" s="130" t="str">
        <f>IFERROR(__xludf.DUMMYFUNCTION("""COMPUTED_VALUE"""),"Taposhi Hossain")</f>
        <v>Taposhi Hossain</v>
      </c>
      <c r="C99" s="130" t="str">
        <f>IFERROR(__xludf.DUMMYFUNCTION("""COMPUTED_VALUE"""),"General Member")</f>
        <v>General Member</v>
      </c>
      <c r="D99" s="130" t="str">
        <f>IFERROR(__xludf.DUMMYFUNCTION("""COMPUTED_VALUE"""),"taposhi.hossain@g.bracu.ac.bd")</f>
        <v>taposhi.hossain@g.bracu.ac.bd</v>
      </c>
    </row>
    <row r="100">
      <c r="A100" s="130">
        <f>IFERROR(__xludf.DUMMYFUNCTION("""COMPUTED_VALUE"""),2.4201094E7)</f>
        <v>24201094</v>
      </c>
      <c r="B100" s="130" t="str">
        <f>IFERROR(__xludf.DUMMYFUNCTION("""COMPUTED_VALUE"""),"MEHERUN NESA")</f>
        <v>MEHERUN NESA</v>
      </c>
      <c r="C100" s="130" t="str">
        <f>IFERROR(__xludf.DUMMYFUNCTION("""COMPUTED_VALUE"""),"General Member")</f>
        <v>General Member</v>
      </c>
      <c r="D100" s="130" t="str">
        <f>IFERROR(__xludf.DUMMYFUNCTION("""COMPUTED_VALUE"""),"meherun.nesa1@g.bracu.ac.bd")</f>
        <v>meherun.nesa1@g.bracu.ac.bd</v>
      </c>
    </row>
    <row r="101">
      <c r="A101" s="130">
        <f>IFERROR(__xludf.DUMMYFUNCTION("""COMPUTED_VALUE"""),1.000059325E9)</f>
        <v>1000059325</v>
      </c>
      <c r="B101" s="130" t="str">
        <f>IFERROR(__xludf.DUMMYFUNCTION("""COMPUTED_VALUE"""),"NAFIS SAMI")</f>
        <v>NAFIS SAMI</v>
      </c>
      <c r="C101" s="130" t="str">
        <f>IFERROR(__xludf.DUMMYFUNCTION("""COMPUTED_VALUE"""),"General Member")</f>
        <v>General Member</v>
      </c>
      <c r="D101" s="130" t="str">
        <f>IFERROR(__xludf.DUMMYFUNCTION("""COMPUTED_VALUE"""),"nafis.sami@g.bracu.ac.bd")</f>
        <v>nafis.sami@g.bracu.ac.bd</v>
      </c>
    </row>
    <row r="102">
      <c r="A102" s="130">
        <f>IFERROR(__xludf.DUMMYFUNCTION("""COMPUTED_VALUE"""),1.00005688E9)</f>
        <v>1000056880</v>
      </c>
      <c r="B102" s="130" t="str">
        <f>IFERROR(__xludf.DUMMYFUNCTION("""COMPUTED_VALUE"""),"Suchishmit Barua")</f>
        <v>Suchishmit Barua</v>
      </c>
      <c r="C102" s="130" t="str">
        <f>IFERROR(__xludf.DUMMYFUNCTION("""COMPUTED_VALUE"""),"General Member")</f>
        <v>General Member</v>
      </c>
      <c r="D102" s="130" t="str">
        <f>IFERROR(__xludf.DUMMYFUNCTION("""COMPUTED_VALUE"""),"suchishmit.barua@g.bracu.ac.bd")</f>
        <v>suchishmit.barua@g.bracu.ac.bd</v>
      </c>
    </row>
    <row r="103">
      <c r="A103" s="130">
        <f>IFERROR(__xludf.DUMMYFUNCTION("""COMPUTED_VALUE"""),2.2204035E7)</f>
        <v>22204035</v>
      </c>
      <c r="B103" s="130" t="str">
        <f>IFERROR(__xludf.DUMMYFUNCTION("""COMPUTED_VALUE"""),"MIRZA MOSABBIR RASHED")</f>
        <v>MIRZA MOSABBIR RASHED</v>
      </c>
      <c r="C103" s="130" t="str">
        <f>IFERROR(__xludf.DUMMYFUNCTION("""COMPUTED_VALUE"""),"General Member")</f>
        <v>General Member</v>
      </c>
      <c r="D103" s="130" t="str">
        <f>IFERROR(__xludf.DUMMYFUNCTION("""COMPUTED_VALUE"""),"mirza.mosabbir.rashed@g.bracu.ac.bd")</f>
        <v>mirza.mosabbir.rashed@g.bracu.ac.bd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22.0"/>
    <col customWidth="1" min="3" max="3" width="15.5"/>
    <col customWidth="1" min="4" max="4" width="33.5"/>
  </cols>
  <sheetData>
    <row r="1" ht="22.5" customHeight="1">
      <c r="A1" s="124" t="s">
        <v>2976</v>
      </c>
      <c r="B1" s="124" t="s">
        <v>1</v>
      </c>
      <c r="C1" s="124" t="s">
        <v>3</v>
      </c>
      <c r="D1" s="124" t="s">
        <v>5</v>
      </c>
    </row>
    <row r="2" ht="22.5" customHeight="1">
      <c r="A2" s="125">
        <f>IFERROR(__xludf.DUMMYFUNCTION("FILTER({All_Members!A2:A3556, All_Members!B2:B3556, All_Members!D2:D3556, All_Members!F2:F3556}, All_Members!C2:C3556 = ""Research and Development"")"),2.4101236E7)</f>
        <v>24101236</v>
      </c>
      <c r="B2" s="125" t="str">
        <f>IFERROR(__xludf.DUMMYFUNCTION("""COMPUTED_VALUE"""),"Hasib Hossain Abir")</f>
        <v>Hasib Hossain Abir</v>
      </c>
      <c r="C2" s="125" t="str">
        <f>IFERROR(__xludf.DUMMYFUNCTION("""COMPUTED_VALUE"""),"Director")</f>
        <v>Director</v>
      </c>
      <c r="D2" s="125" t="str">
        <f>IFERROR(__xludf.DUMMYFUNCTION("""COMPUTED_VALUE"""),"hasib.hossain.abir@g.bracu.ac.bd")</f>
        <v>hasib.hossain.abir@g.bracu.ac.bd</v>
      </c>
    </row>
    <row r="3" ht="22.5" customHeight="1">
      <c r="A3" s="125">
        <f>IFERROR(__xludf.DUMMYFUNCTION("""COMPUTED_VALUE"""),2.2299282E7)</f>
        <v>22299282</v>
      </c>
      <c r="B3" s="125" t="str">
        <f>IFERROR(__xludf.DUMMYFUNCTION("""COMPUTED_VALUE"""),"Mukshitur Rahman Raphy")</f>
        <v>Mukshitur Rahman Raphy</v>
      </c>
      <c r="C3" s="125" t="str">
        <f>IFERROR(__xludf.DUMMYFUNCTION("""COMPUTED_VALUE"""),"Director")</f>
        <v>Director</v>
      </c>
      <c r="D3" s="125" t="str">
        <f>IFERROR(__xludf.DUMMYFUNCTION("""COMPUTED_VALUE"""),"mukshitur.rahman.raphy@g.bracu.ac.bd")</f>
        <v>mukshitur.rahman.raphy@g.bracu.ac.bd</v>
      </c>
    </row>
    <row r="4" ht="22.5" customHeight="1">
      <c r="A4" s="125">
        <f>IFERROR(__xludf.DUMMYFUNCTION("""COMPUTED_VALUE"""),2.2201258E7)</f>
        <v>22201258</v>
      </c>
      <c r="B4" s="125" t="str">
        <f>IFERROR(__xludf.DUMMYFUNCTION("""COMPUTED_VALUE"""),"Ahmed Unais")</f>
        <v>Ahmed Unais</v>
      </c>
      <c r="C4" s="125" t="str">
        <f>IFERROR(__xludf.DUMMYFUNCTION("""COMPUTED_VALUE"""),"Assistant Director")</f>
        <v>Assistant Director</v>
      </c>
      <c r="D4" s="125" t="str">
        <f>IFERROR(__xludf.DUMMYFUNCTION("""COMPUTED_VALUE"""),"ahmed.unais@g.bracu.ac.bd")</f>
        <v>ahmed.unais@g.bracu.ac.bd</v>
      </c>
    </row>
    <row r="5" ht="22.5" customHeight="1">
      <c r="A5" s="125">
        <f>IFERROR(__xludf.DUMMYFUNCTION("""COMPUTED_VALUE"""),2.2201577E7)</f>
        <v>22201577</v>
      </c>
      <c r="B5" s="125" t="str">
        <f>IFERROR(__xludf.DUMMYFUNCTION("""COMPUTED_VALUE"""),"Sadia Binte Kamal")</f>
        <v>Sadia Binte Kamal</v>
      </c>
      <c r="C5" s="125" t="str">
        <f>IFERROR(__xludf.DUMMYFUNCTION("""COMPUTED_VALUE"""),"Assistant Director")</f>
        <v>Assistant Director</v>
      </c>
      <c r="D5" s="125" t="str">
        <f>IFERROR(__xludf.DUMMYFUNCTION("""COMPUTED_VALUE"""),"sadia.binte.kamal@g.bracu.ac.bd")</f>
        <v>sadia.binte.kamal@g.bracu.ac.bd</v>
      </c>
    </row>
    <row r="6" ht="22.5" customHeight="1">
      <c r="A6" s="125">
        <f>IFERROR(__xludf.DUMMYFUNCTION("""COMPUTED_VALUE"""),2.4301434E7)</f>
        <v>24301434</v>
      </c>
      <c r="B6" s="125" t="str">
        <f>IFERROR(__xludf.DUMMYFUNCTION("""COMPUTED_VALUE"""),"Nafiul Islam Nafis")</f>
        <v>Nafiul Islam Nafis</v>
      </c>
      <c r="C6" s="125" t="str">
        <f>IFERROR(__xludf.DUMMYFUNCTION("""COMPUTED_VALUE"""),"Senior Executive")</f>
        <v>Senior Executive</v>
      </c>
      <c r="D6" s="125" t="str">
        <f>IFERROR(__xludf.DUMMYFUNCTION("""COMPUTED_VALUE"""),"nafiul.islam.nafis@g.bracu.ac.bd")</f>
        <v>nafiul.islam.nafis@g.bracu.ac.bd</v>
      </c>
    </row>
    <row r="7" ht="22.5" customHeight="1">
      <c r="A7" s="125">
        <f>IFERROR(__xludf.DUMMYFUNCTION("""COMPUTED_VALUE"""),2.4101124E7)</f>
        <v>24101124</v>
      </c>
      <c r="B7" s="125" t="str">
        <f>IFERROR(__xludf.DUMMYFUNCTION("""COMPUTED_VALUE"""),"Md. Monazir Doha")</f>
        <v>Md. Monazir Doha</v>
      </c>
      <c r="C7" s="125" t="str">
        <f>IFERROR(__xludf.DUMMYFUNCTION("""COMPUTED_VALUE"""),"Senior Executive")</f>
        <v>Senior Executive</v>
      </c>
      <c r="D7" s="125" t="str">
        <f>IFERROR(__xludf.DUMMYFUNCTION("""COMPUTED_VALUE"""),"md.monazir.doha@g.bracu.ac.bd")</f>
        <v>md.monazir.doha@g.bracu.ac.bd</v>
      </c>
    </row>
    <row r="8" ht="22.5" customHeight="1">
      <c r="A8" s="125">
        <f>IFERROR(__xludf.DUMMYFUNCTION("""COMPUTED_VALUE"""),2.4101082E7)</f>
        <v>24101082</v>
      </c>
      <c r="B8" s="125" t="str">
        <f>IFERROR(__xludf.DUMMYFUNCTION("""COMPUTED_VALUE"""),"Zawad Ishmam Hriddo")</f>
        <v>Zawad Ishmam Hriddo</v>
      </c>
      <c r="C8" s="125" t="str">
        <f>IFERROR(__xludf.DUMMYFUNCTION("""COMPUTED_VALUE"""),"Senior Executive")</f>
        <v>Senior Executive</v>
      </c>
      <c r="D8" s="125" t="str">
        <f>IFERROR(__xludf.DUMMYFUNCTION("""COMPUTED_VALUE"""),"zawad.ishmam.hriddo@g.bracu.ac.bd")</f>
        <v>zawad.ishmam.hriddo@g.bracu.ac.bd</v>
      </c>
    </row>
    <row r="9" ht="22.5" customHeight="1">
      <c r="A9" s="125">
        <f>IFERROR(__xludf.DUMMYFUNCTION("""COMPUTED_VALUE"""),2.4201127E7)</f>
        <v>24201127</v>
      </c>
      <c r="B9" s="125" t="str">
        <f>IFERROR(__xludf.DUMMYFUNCTION("""COMPUTED_VALUE"""),"Ashraful Haque Shrabon")</f>
        <v>Ashraful Haque Shrabon</v>
      </c>
      <c r="C9" s="125" t="str">
        <f>IFERROR(__xludf.DUMMYFUNCTION("""COMPUTED_VALUE"""),"Senior Executive")</f>
        <v>Senior Executive</v>
      </c>
      <c r="D9" s="125" t="str">
        <f>IFERROR(__xludf.DUMMYFUNCTION("""COMPUTED_VALUE"""),"ashraful.haque.shrabon@g.bracu.ac.bd")</f>
        <v>ashraful.haque.shrabon@g.bracu.ac.bd</v>
      </c>
    </row>
    <row r="10" ht="22.5" customHeight="1">
      <c r="A10" s="125">
        <f>IFERROR(__xludf.DUMMYFUNCTION("""COMPUTED_VALUE"""),2.3201689E7)</f>
        <v>23201689</v>
      </c>
      <c r="B10" s="125" t="str">
        <f>IFERROR(__xludf.DUMMYFUNCTION("""COMPUTED_VALUE"""),"Iftekhar Hasan Palash")</f>
        <v>Iftekhar Hasan Palash</v>
      </c>
      <c r="C10" s="125" t="str">
        <f>IFERROR(__xludf.DUMMYFUNCTION("""COMPUTED_VALUE"""),"Senior Executive")</f>
        <v>Senior Executive</v>
      </c>
      <c r="D10" s="125" t="str">
        <f>IFERROR(__xludf.DUMMYFUNCTION("""COMPUTED_VALUE"""),"iftekhar.hasan.palash@g.bracu.ac.bd")</f>
        <v>iftekhar.hasan.palash@g.bracu.ac.bd</v>
      </c>
    </row>
    <row r="11" ht="22.5" customHeight="1">
      <c r="A11" s="125">
        <f>IFERROR(__xludf.DUMMYFUNCTION("""COMPUTED_VALUE"""),2.4341289E7)</f>
        <v>24341289</v>
      </c>
      <c r="B11" s="125" t="str">
        <f>IFERROR(__xludf.DUMMYFUNCTION("""COMPUTED_VALUE"""),"Abdullah Shamsul Arefin")</f>
        <v>Abdullah Shamsul Arefin</v>
      </c>
      <c r="C11" s="125" t="str">
        <f>IFERROR(__xludf.DUMMYFUNCTION("""COMPUTED_VALUE"""),"Senior Executive")</f>
        <v>Senior Executive</v>
      </c>
      <c r="D11" s="125" t="str">
        <f>IFERROR(__xludf.DUMMYFUNCTION("""COMPUTED_VALUE"""),"abdullah.shamsul.arefin@g.bracu.ac.bd")</f>
        <v>abdullah.shamsul.arefin@g.bracu.ac.bd</v>
      </c>
    </row>
    <row r="12" ht="22.5" customHeight="1">
      <c r="A12" s="125">
        <f>IFERROR(__xludf.DUMMYFUNCTION("""COMPUTED_VALUE"""),2.3301216E7)</f>
        <v>23301216</v>
      </c>
      <c r="B12" s="125" t="str">
        <f>IFERROR(__xludf.DUMMYFUNCTION("""COMPUTED_VALUE"""),"Tashfeen Azmaine")</f>
        <v>Tashfeen Azmaine</v>
      </c>
      <c r="C12" s="125" t="str">
        <f>IFERROR(__xludf.DUMMYFUNCTION("""COMPUTED_VALUE"""),"Senior Executive")</f>
        <v>Senior Executive</v>
      </c>
      <c r="D12" s="125" t="str">
        <f>IFERROR(__xludf.DUMMYFUNCTION("""COMPUTED_VALUE"""),"tashfeen.azmaine@g.bracu.ac.bd")</f>
        <v>tashfeen.azmaine@g.bracu.ac.bd</v>
      </c>
    </row>
    <row r="13" ht="22.5" customHeight="1">
      <c r="A13" s="125">
        <f>IFERROR(__xludf.DUMMYFUNCTION("""COMPUTED_VALUE"""),2.2299413E7)</f>
        <v>22299413</v>
      </c>
      <c r="B13" s="125" t="str">
        <f>IFERROR(__xludf.DUMMYFUNCTION("""COMPUTED_VALUE"""),"Lotifur Shabbir")</f>
        <v>Lotifur Shabbir</v>
      </c>
      <c r="C13" s="125" t="str">
        <f>IFERROR(__xludf.DUMMYFUNCTION("""COMPUTED_VALUE"""),"Senior Executive")</f>
        <v>Senior Executive</v>
      </c>
      <c r="D13" s="125" t="str">
        <f>IFERROR(__xludf.DUMMYFUNCTION("""COMPUTED_VALUE"""),"lotifur.shabbir@g.bracu.ac.bd")</f>
        <v>lotifur.shabbir@g.bracu.ac.bd</v>
      </c>
    </row>
    <row r="14" ht="22.5" customHeight="1">
      <c r="A14" s="125">
        <f>IFERROR(__xludf.DUMMYFUNCTION("""COMPUTED_VALUE"""),2.2299343E7)</f>
        <v>22299343</v>
      </c>
      <c r="B14" s="125" t="str">
        <f>IFERROR(__xludf.DUMMYFUNCTION("""COMPUTED_VALUE"""),"Emtiaz Ahmed")</f>
        <v>Emtiaz Ahmed</v>
      </c>
      <c r="C14" s="125" t="str">
        <f>IFERROR(__xludf.DUMMYFUNCTION("""COMPUTED_VALUE"""),"Senior Executive")</f>
        <v>Senior Executive</v>
      </c>
      <c r="D14" s="125" t="str">
        <f>IFERROR(__xludf.DUMMYFUNCTION("""COMPUTED_VALUE"""),"emtiaz.ahmed@g.bracu.ac.bd")</f>
        <v>emtiaz.ahmed@g.bracu.ac.bd</v>
      </c>
    </row>
    <row r="15" ht="22.5" customHeight="1">
      <c r="A15" s="125">
        <f>IFERROR(__xludf.DUMMYFUNCTION("""COMPUTED_VALUE"""),2.2299045E7)</f>
        <v>22299045</v>
      </c>
      <c r="B15" s="125" t="str">
        <f>IFERROR(__xludf.DUMMYFUNCTION("""COMPUTED_VALUE"""),"Anika Alamgir")</f>
        <v>Anika Alamgir</v>
      </c>
      <c r="C15" s="125" t="str">
        <f>IFERROR(__xludf.DUMMYFUNCTION("""COMPUTED_VALUE"""),"Senior Executive")</f>
        <v>Senior Executive</v>
      </c>
      <c r="D15" s="125" t="str">
        <f>IFERROR(__xludf.DUMMYFUNCTION("""COMPUTED_VALUE"""),"anika.alamgir@g.bracu.ac.bd")</f>
        <v>anika.alamgir@g.bracu.ac.bd</v>
      </c>
    </row>
    <row r="16" ht="22.5" customHeight="1">
      <c r="A16" s="125">
        <f>IFERROR(__xludf.DUMMYFUNCTION("""COMPUTED_VALUE"""),2.2299321E7)</f>
        <v>22299321</v>
      </c>
      <c r="B16" s="125" t="str">
        <f>IFERROR(__xludf.DUMMYFUNCTION("""COMPUTED_VALUE"""),"Nusrat Jahan Madhurzo")</f>
        <v>Nusrat Jahan Madhurzo</v>
      </c>
      <c r="C16" s="125" t="str">
        <f>IFERROR(__xludf.DUMMYFUNCTION("""COMPUTED_VALUE"""),"Senior Executive")</f>
        <v>Senior Executive</v>
      </c>
      <c r="D16" s="125" t="str">
        <f>IFERROR(__xludf.DUMMYFUNCTION("""COMPUTED_VALUE"""),"nusrat.jahan.madhurzo@g.bracu.ac.bd")</f>
        <v>nusrat.jahan.madhurzo@g.bracu.ac.bd</v>
      </c>
    </row>
    <row r="17" ht="22.5" customHeight="1">
      <c r="A17" s="125">
        <f>IFERROR(__xludf.DUMMYFUNCTION("""COMPUTED_VALUE"""),2.1201526E7)</f>
        <v>21201526</v>
      </c>
      <c r="B17" s="125" t="str">
        <f>IFERROR(__xludf.DUMMYFUNCTION("""COMPUTED_VALUE"""),"Siam Ferdous")</f>
        <v>Siam Ferdous</v>
      </c>
      <c r="C17" s="125" t="str">
        <f>IFERROR(__xludf.DUMMYFUNCTION("""COMPUTED_VALUE"""),"Senior Executive")</f>
        <v>Senior Executive</v>
      </c>
      <c r="D17" s="125" t="str">
        <f>IFERROR(__xludf.DUMMYFUNCTION("""COMPUTED_VALUE"""),"siam.ferdous@g.bracu.ac.bd")</f>
        <v>siam.ferdous@g.bracu.ac.bd</v>
      </c>
    </row>
    <row r="18" ht="22.5" customHeight="1">
      <c r="A18" s="125">
        <f>IFERROR(__xludf.DUMMYFUNCTION("""COMPUTED_VALUE"""),2.4141125E7)</f>
        <v>24141125</v>
      </c>
      <c r="B18" s="125" t="str">
        <f>IFERROR(__xludf.DUMMYFUNCTION("""COMPUTED_VALUE"""),"Khandaker Ziaur Rahman")</f>
        <v>Khandaker Ziaur Rahman</v>
      </c>
      <c r="C18" s="125" t="str">
        <f>IFERROR(__xludf.DUMMYFUNCTION("""COMPUTED_VALUE"""),"Senior Executive")</f>
        <v>Senior Executive</v>
      </c>
      <c r="D18" s="125" t="str">
        <f>IFERROR(__xludf.DUMMYFUNCTION("""COMPUTED_VALUE"""),"khandaker.ziaur.rahman@g.bracu.ac.bd")</f>
        <v>khandaker.ziaur.rahman@g.bracu.ac.bd</v>
      </c>
    </row>
    <row r="19" ht="22.5" customHeight="1">
      <c r="A19" s="125">
        <f>IFERROR(__xludf.DUMMYFUNCTION("""COMPUTED_VALUE"""),2.3301584E7)</f>
        <v>23301584</v>
      </c>
      <c r="B19" s="125" t="str">
        <f>IFERROR(__xludf.DUMMYFUNCTION("""COMPUTED_VALUE"""),"Mahir Dyan")</f>
        <v>Mahir Dyan</v>
      </c>
      <c r="C19" s="125" t="str">
        <f>IFERROR(__xludf.DUMMYFUNCTION("""COMPUTED_VALUE"""),"Senior Executive")</f>
        <v>Senior Executive</v>
      </c>
      <c r="D19" s="125" t="str">
        <f>IFERROR(__xludf.DUMMYFUNCTION("""COMPUTED_VALUE"""),"mahir.dyan@g.bracu.ac.bd")</f>
        <v>mahir.dyan@g.bracu.ac.bd</v>
      </c>
    </row>
    <row r="20" ht="22.5" customHeight="1">
      <c r="A20" s="125">
        <f>IFERROR(__xludf.DUMMYFUNCTION("""COMPUTED_VALUE"""),1.000055642E9)</f>
        <v>1000055642</v>
      </c>
      <c r="B20" s="125" t="str">
        <f>IFERROR(__xludf.DUMMYFUNCTION("""COMPUTED_VALUE"""),"MD. FAHIM HASSAN")</f>
        <v>MD. FAHIM HASSAN</v>
      </c>
      <c r="C20" s="125" t="str">
        <f>IFERROR(__xludf.DUMMYFUNCTION("""COMPUTED_VALUE"""),"Executive")</f>
        <v>Executive</v>
      </c>
      <c r="D20" s="125" t="str">
        <f>IFERROR(__xludf.DUMMYFUNCTION("""COMPUTED_VALUE"""),"md.fahim.hassan@g.bracu.ac.bd")</f>
        <v>md.fahim.hassan@g.bracu.ac.bd</v>
      </c>
    </row>
    <row r="21" ht="22.5" customHeight="1">
      <c r="A21" s="125">
        <f>IFERROR(__xludf.DUMMYFUNCTION("""COMPUTED_VALUE"""),2.4216005E7)</f>
        <v>24216005</v>
      </c>
      <c r="B21" s="125" t="str">
        <f>IFERROR(__xludf.DUMMYFUNCTION("""COMPUTED_VALUE"""),"Jarin Tasnim")</f>
        <v>Jarin Tasnim</v>
      </c>
      <c r="C21" s="125" t="str">
        <f>IFERROR(__xludf.DUMMYFUNCTION("""COMPUTED_VALUE"""),"Executive")</f>
        <v>Executive</v>
      </c>
      <c r="D21" s="125" t="str">
        <f>IFERROR(__xludf.DUMMYFUNCTION("""COMPUTED_VALUE"""),"jarin.tasnim18@g.bracu.ac.bd")</f>
        <v>jarin.tasnim18@g.bracu.ac.bd</v>
      </c>
    </row>
    <row r="22" ht="22.5" customHeight="1">
      <c r="A22" s="125">
        <f>IFERROR(__xludf.DUMMYFUNCTION("""COMPUTED_VALUE"""),2.4301068E7)</f>
        <v>24301068</v>
      </c>
      <c r="B22" s="125" t="str">
        <f>IFERROR(__xludf.DUMMYFUNCTION("""COMPUTED_VALUE"""),"Alif Hossain Sajib")</f>
        <v>Alif Hossain Sajib</v>
      </c>
      <c r="C22" s="125" t="str">
        <f>IFERROR(__xludf.DUMMYFUNCTION("""COMPUTED_VALUE"""),"Executive")</f>
        <v>Executive</v>
      </c>
      <c r="D22" s="125" t="str">
        <f>IFERROR(__xludf.DUMMYFUNCTION("""COMPUTED_VALUE"""),"alif.hossain.sajib@g.bracu.ac.bd")</f>
        <v>alif.hossain.sajib@g.bracu.ac.bd</v>
      </c>
    </row>
    <row r="23" ht="22.5" customHeight="1">
      <c r="A23" s="125">
        <f>IFERROR(__xludf.DUMMYFUNCTION("""COMPUTED_VALUE"""),2.3201017E7)</f>
        <v>23201017</v>
      </c>
      <c r="B23" s="125" t="str">
        <f>IFERROR(__xludf.DUMMYFUNCTION("""COMPUTED_VALUE"""),"Tanvir Ahmed")</f>
        <v>Tanvir Ahmed</v>
      </c>
      <c r="C23" s="125" t="str">
        <f>IFERROR(__xludf.DUMMYFUNCTION("""COMPUTED_VALUE"""),"Executive")</f>
        <v>Executive</v>
      </c>
      <c r="D23" s="125" t="str">
        <f>IFERROR(__xludf.DUMMYFUNCTION("""COMPUTED_VALUE"""),"tanvir.ahmed10@g.bracu.ac.bd")</f>
        <v>tanvir.ahmed10@g.bracu.ac.bd</v>
      </c>
    </row>
    <row r="24" ht="22.5" customHeight="1">
      <c r="A24" s="125" t="str">
        <f>IFERROR(__xludf.DUMMYFUNCTION("""COMPUTED_VALUE"""),"F")</f>
        <v>F</v>
      </c>
      <c r="B24" s="125" t="str">
        <f>IFERROR(__xludf.DUMMYFUNCTION("""COMPUTED_VALUE"""),"Ruhana Faijun Sajuti")</f>
        <v>Ruhana Faijun Sajuti</v>
      </c>
      <c r="C24" s="125" t="str">
        <f>IFERROR(__xludf.DUMMYFUNCTION("""COMPUTED_VALUE"""),"Executive")</f>
        <v>Executive</v>
      </c>
      <c r="D24" s="125" t="str">
        <f>IFERROR(__xludf.DUMMYFUNCTION("""COMPUTED_VALUE"""),"tasneem.bin.mahmood@g.bracu.ac.bd")</f>
        <v>tasneem.bin.mahmood@g.bracu.ac.bd</v>
      </c>
    </row>
    <row r="25" ht="22.5" customHeight="1">
      <c r="A25" s="125">
        <f>IFERROR(__xludf.DUMMYFUNCTION("""COMPUTED_VALUE"""),2.2101721E7)</f>
        <v>22101721</v>
      </c>
      <c r="B25" s="125" t="str">
        <f>IFERROR(__xludf.DUMMYFUNCTION("""COMPUTED_VALUE"""),"MD. Mostafijur Rahman")</f>
        <v>MD. Mostafijur Rahman</v>
      </c>
      <c r="C25" s="125" t="str">
        <f>IFERROR(__xludf.DUMMYFUNCTION("""COMPUTED_VALUE"""),"Executive")</f>
        <v>Executive</v>
      </c>
      <c r="D25" s="125" t="str">
        <f>IFERROR(__xludf.DUMMYFUNCTION("""COMPUTED_VALUE"""),"md.mostafijur.rahman@g.bracu.ac.bd")</f>
        <v>md.mostafijur.rahman@g.bracu.ac.bd</v>
      </c>
    </row>
    <row r="26" ht="22.5" customHeight="1">
      <c r="A26" s="125">
        <f>IFERROR(__xludf.DUMMYFUNCTION("""COMPUTED_VALUE"""),2.4101602E7)</f>
        <v>24101602</v>
      </c>
      <c r="B26" s="125" t="str">
        <f>IFERROR(__xludf.DUMMYFUNCTION("""COMPUTED_VALUE"""),"Ruhana Faijun Sajuti")</f>
        <v>Ruhana Faijun Sajuti</v>
      </c>
      <c r="C26" s="125" t="str">
        <f>IFERROR(__xludf.DUMMYFUNCTION("""COMPUTED_VALUE"""),"Executive")</f>
        <v>Executive</v>
      </c>
      <c r="D26" s="125" t="str">
        <f>IFERROR(__xludf.DUMMYFUNCTION("""COMPUTED_VALUE"""),"ruhana.faijun.sajuti@g.bracu.ac.bd")</f>
        <v>ruhana.faijun.sajuti@g.bracu.ac.bd</v>
      </c>
    </row>
    <row r="27" ht="22.5" customHeight="1">
      <c r="A27" s="125">
        <f>IFERROR(__xludf.DUMMYFUNCTION("""COMPUTED_VALUE"""),2.4341044E7)</f>
        <v>24341044</v>
      </c>
      <c r="B27" s="125" t="str">
        <f>IFERROR(__xludf.DUMMYFUNCTION("""COMPUTED_VALUE"""),"Badruddoza Kaif")</f>
        <v>Badruddoza Kaif</v>
      </c>
      <c r="C27" s="125" t="str">
        <f>IFERROR(__xludf.DUMMYFUNCTION("""COMPUTED_VALUE"""),"Executive")</f>
        <v>Executive</v>
      </c>
      <c r="D27" s="125" t="str">
        <f>IFERROR(__xludf.DUMMYFUNCTION("""COMPUTED_VALUE"""),"badruddoza.kaif@g.bracu.ac.bd")</f>
        <v>badruddoza.kaif@g.bracu.ac.bd</v>
      </c>
    </row>
    <row r="28" ht="22.5" customHeight="1">
      <c r="A28" s="125">
        <f>IFERROR(__xludf.DUMMYFUNCTION("""COMPUTED_VALUE"""),2.4301534E7)</f>
        <v>24301534</v>
      </c>
      <c r="B28" s="125" t="str">
        <f>IFERROR(__xludf.DUMMYFUNCTION("""COMPUTED_VALUE"""),"Abrar Shariar Kabir")</f>
        <v>Abrar Shariar Kabir</v>
      </c>
      <c r="C28" s="125" t="str">
        <f>IFERROR(__xludf.DUMMYFUNCTION("""COMPUTED_VALUE"""),"Executive")</f>
        <v>Executive</v>
      </c>
      <c r="D28" s="125" t="str">
        <f>IFERROR(__xludf.DUMMYFUNCTION("""COMPUTED_VALUE"""),"abrar.shariar.kabir@g.bracu.ac.bd")</f>
        <v>abrar.shariar.kabir@g.bracu.ac.bd</v>
      </c>
    </row>
    <row r="29" ht="22.5" customHeight="1">
      <c r="A29" s="125">
        <f>IFERROR(__xludf.DUMMYFUNCTION("""COMPUTED_VALUE"""),2.4321312E7)</f>
        <v>24321312</v>
      </c>
      <c r="B29" s="125" t="str">
        <f>IFERROR(__xludf.DUMMYFUNCTION("""COMPUTED_VALUE"""),"Muztahid Rahman")</f>
        <v>Muztahid Rahman</v>
      </c>
      <c r="C29" s="125" t="str">
        <f>IFERROR(__xludf.DUMMYFUNCTION("""COMPUTED_VALUE"""),"Executive")</f>
        <v>Executive</v>
      </c>
      <c r="D29" s="125" t="str">
        <f>IFERROR(__xludf.DUMMYFUNCTION("""COMPUTED_VALUE"""),"muztahid.rahman@g.bracu.ac.bd")</f>
        <v>muztahid.rahman@g.bracu.ac.bd</v>
      </c>
    </row>
    <row r="30" ht="22.5" customHeight="1">
      <c r="A30" s="125">
        <f>IFERROR(__xludf.DUMMYFUNCTION("""COMPUTED_VALUE"""),1.000055677E9)</f>
        <v>1000055677</v>
      </c>
      <c r="B30" s="125" t="str">
        <f>IFERROR(__xludf.DUMMYFUNCTION("""COMPUTED_VALUE"""),"Shahriar Islam Tawsif")</f>
        <v>Shahriar Islam Tawsif</v>
      </c>
      <c r="C30" s="125" t="str">
        <f>IFERROR(__xludf.DUMMYFUNCTION("""COMPUTED_VALUE"""),"Executive")</f>
        <v>Executive</v>
      </c>
      <c r="D30" s="125" t="str">
        <f>IFERROR(__xludf.DUMMYFUNCTION("""COMPUTED_VALUE"""),"shahriar.islam.tawsif@g.bracu.ac.bd")</f>
        <v>shahriar.islam.tawsif@g.bracu.ac.bd</v>
      </c>
    </row>
    <row r="31" ht="22.5" customHeight="1">
      <c r="A31" s="125">
        <f>IFERROR(__xludf.DUMMYFUNCTION("""COMPUTED_VALUE"""),2.4201403E7)</f>
        <v>24201403</v>
      </c>
      <c r="B31" s="125" t="str">
        <f>IFERROR(__xludf.DUMMYFUNCTION("""COMPUTED_VALUE"""),"Emtiaz Ahmed Siam")</f>
        <v>Emtiaz Ahmed Siam</v>
      </c>
      <c r="C31" s="125" t="str">
        <f>IFERROR(__xludf.DUMMYFUNCTION("""COMPUTED_VALUE"""),"Executive")</f>
        <v>Executive</v>
      </c>
      <c r="D31" s="125" t="str">
        <f>IFERROR(__xludf.DUMMYFUNCTION("""COMPUTED_VALUE"""),"emtiaz.ahmed.siam@g.bracu.ac.bd")</f>
        <v>emtiaz.ahmed.siam@g.bracu.ac.bd</v>
      </c>
    </row>
    <row r="32" ht="22.5" customHeight="1">
      <c r="A32" s="125">
        <f>IFERROR(__xludf.DUMMYFUNCTION("""COMPUTED_VALUE"""),2.4301518E7)</f>
        <v>24301518</v>
      </c>
      <c r="B32" s="125" t="str">
        <f>IFERROR(__xludf.DUMMYFUNCTION("""COMPUTED_VALUE"""),"Sadia Arifen Synthia")</f>
        <v>Sadia Arifen Synthia</v>
      </c>
      <c r="C32" s="125" t="str">
        <f>IFERROR(__xludf.DUMMYFUNCTION("""COMPUTED_VALUE"""),"Executive")</f>
        <v>Executive</v>
      </c>
      <c r="D32" s="125" t="str">
        <f>IFERROR(__xludf.DUMMYFUNCTION("""COMPUTED_VALUE"""),"sadia.arifen.synthia@g.bracu.ac.bd")</f>
        <v>sadia.arifen.synthia@g.bracu.ac.bd</v>
      </c>
    </row>
    <row r="33" ht="22.5" customHeight="1">
      <c r="A33" s="125">
        <f>IFERROR(__xludf.DUMMYFUNCTION("""COMPUTED_VALUE"""),2.32012E7)</f>
        <v>23201200</v>
      </c>
      <c r="B33" s="125" t="str">
        <f>IFERROR(__xludf.DUMMYFUNCTION("""COMPUTED_VALUE"""),"MD. Araby Hassan")</f>
        <v>MD. Araby Hassan</v>
      </c>
      <c r="C33" s="125" t="str">
        <f>IFERROR(__xludf.DUMMYFUNCTION("""COMPUTED_VALUE"""),"Executive")</f>
        <v>Executive</v>
      </c>
      <c r="D33" s="125" t="str">
        <f>IFERROR(__xludf.DUMMYFUNCTION("""COMPUTED_VALUE"""),"md.araby.hassan@g.bracu.ac.bd")</f>
        <v>md.araby.hassan@g.bracu.ac.bd</v>
      </c>
    </row>
    <row r="34" ht="22.5" customHeight="1">
      <c r="A34" s="125">
        <f>IFERROR(__xludf.DUMMYFUNCTION("""COMPUTED_VALUE"""),2.2201465E7)</f>
        <v>22201465</v>
      </c>
      <c r="B34" s="125" t="str">
        <f>IFERROR(__xludf.DUMMYFUNCTION("""COMPUTED_VALUE"""),"Johra-E-Jannat Oishy")</f>
        <v>Johra-E-Jannat Oishy</v>
      </c>
      <c r="C34" s="125" t="str">
        <f>IFERROR(__xludf.DUMMYFUNCTION("""COMPUTED_VALUE"""),"Executive")</f>
        <v>Executive</v>
      </c>
      <c r="D34" s="125" t="str">
        <f>IFERROR(__xludf.DUMMYFUNCTION("""COMPUTED_VALUE"""),"johra.e.jannatoishy@g.bracu.ac.bd")</f>
        <v>johra.e.jannatoishy@g.bracu.ac.bd</v>
      </c>
    </row>
    <row r="35" ht="22.5" customHeight="1">
      <c r="A35" s="125">
        <f>IFERROR(__xludf.DUMMYFUNCTION("""COMPUTED_VALUE"""),2.4101175E7)</f>
        <v>24101175</v>
      </c>
      <c r="B35" s="125" t="str">
        <f>IFERROR(__xludf.DUMMYFUNCTION("""COMPUTED_VALUE"""),"Tanvir Muhtady")</f>
        <v>Tanvir Muhtady</v>
      </c>
      <c r="C35" s="125" t="str">
        <f>IFERROR(__xludf.DUMMYFUNCTION("""COMPUTED_VALUE"""),"Executive")</f>
        <v>Executive</v>
      </c>
      <c r="D35" s="125" t="str">
        <f>IFERROR(__xludf.DUMMYFUNCTION("""COMPUTED_VALUE"""),"tanvir.muhtady@g.bracu.ac.bd")</f>
        <v>tanvir.muhtady@g.bracu.ac.bd</v>
      </c>
    </row>
    <row r="36" ht="22.5" customHeight="1">
      <c r="A36" s="125">
        <f>IFERROR(__xludf.DUMMYFUNCTION("""COMPUTED_VALUE"""),2.4241029E7)</f>
        <v>24241029</v>
      </c>
      <c r="B36" s="125" t="str">
        <f>IFERROR(__xludf.DUMMYFUNCTION("""COMPUTED_VALUE"""),"Fardin Emran")</f>
        <v>Fardin Emran</v>
      </c>
      <c r="C36" s="125" t="str">
        <f>IFERROR(__xludf.DUMMYFUNCTION("""COMPUTED_VALUE"""),"Executive")</f>
        <v>Executive</v>
      </c>
      <c r="D36" s="125" t="str">
        <f>IFERROR(__xludf.DUMMYFUNCTION("""COMPUTED_VALUE"""),"fardin.emran@g.bracu.ac.bd")</f>
        <v>fardin.emran@g.bracu.ac.bd</v>
      </c>
    </row>
    <row r="37" ht="22.5" customHeight="1">
      <c r="A37" s="125">
        <f>IFERROR(__xludf.DUMMYFUNCTION("""COMPUTED_VALUE"""),1.000054082E9)</f>
        <v>1000054082</v>
      </c>
      <c r="B37" s="125" t="str">
        <f>IFERROR(__xludf.DUMMYFUNCTION("""COMPUTED_VALUE"""),"Kamruzzaman Chowdhury")</f>
        <v>Kamruzzaman Chowdhury</v>
      </c>
      <c r="C37" s="125" t="str">
        <f>IFERROR(__xludf.DUMMYFUNCTION("""COMPUTED_VALUE"""),"Executive")</f>
        <v>Executive</v>
      </c>
      <c r="D37" s="125" t="str">
        <f>IFERROR(__xludf.DUMMYFUNCTION("""COMPUTED_VALUE"""),"kamruzzaman.chowdhury@g.bracu.ac.bd")</f>
        <v>kamruzzaman.chowdhury@g.bracu.ac.bd</v>
      </c>
    </row>
    <row r="38" ht="22.5" customHeight="1">
      <c r="A38" s="125">
        <f>IFERROR(__xludf.DUMMYFUNCTION("""COMPUTED_VALUE"""),2.4101504E7)</f>
        <v>24101504</v>
      </c>
      <c r="B38" s="125" t="str">
        <f>IFERROR(__xludf.DUMMYFUNCTION("""COMPUTED_VALUE"""),"KM Fahim Ashab")</f>
        <v>KM Fahim Ashab</v>
      </c>
      <c r="C38" s="125" t="str">
        <f>IFERROR(__xludf.DUMMYFUNCTION("""COMPUTED_VALUE"""),"Executive")</f>
        <v>Executive</v>
      </c>
      <c r="D38" s="125" t="str">
        <f>IFERROR(__xludf.DUMMYFUNCTION("""COMPUTED_VALUE"""),"khandker.md.fahim@g.bracu.ac.bd")</f>
        <v>khandker.md.fahim@g.bracu.ac.bd</v>
      </c>
    </row>
    <row r="39" ht="22.5" customHeight="1">
      <c r="A39" s="125">
        <f>IFERROR(__xludf.DUMMYFUNCTION("""COMPUTED_VALUE"""),2.3101265E7)</f>
        <v>23101265</v>
      </c>
      <c r="B39" s="125" t="str">
        <f>IFERROR(__xludf.DUMMYFUNCTION("""COMPUTED_VALUE"""),"Mahdi Hasan Shadi")</f>
        <v>Mahdi Hasan Shadi</v>
      </c>
      <c r="C39" s="125" t="str">
        <f>IFERROR(__xludf.DUMMYFUNCTION("""COMPUTED_VALUE"""),"General Member")</f>
        <v>General Member</v>
      </c>
      <c r="D39" s="125" t="str">
        <f>IFERROR(__xludf.DUMMYFUNCTION("""COMPUTED_VALUE"""),"mahdi.hasan.shadi@g.bracu.ac.bd")</f>
        <v>mahdi.hasan.shadi@g.bracu.ac.bd</v>
      </c>
    </row>
    <row r="40" ht="22.5" customHeight="1">
      <c r="A40" s="125">
        <f>IFERROR(__xludf.DUMMYFUNCTION("""COMPUTED_VALUE"""),2.4101638E7)</f>
        <v>24101638</v>
      </c>
      <c r="B40" s="125" t="str">
        <f>IFERROR(__xludf.DUMMYFUNCTION("""COMPUTED_VALUE"""),"Niloy Saha")</f>
        <v>Niloy Saha</v>
      </c>
      <c r="C40" s="125" t="str">
        <f>IFERROR(__xludf.DUMMYFUNCTION("""COMPUTED_VALUE"""),"General Member")</f>
        <v>General Member</v>
      </c>
      <c r="D40" s="125" t="str">
        <f>IFERROR(__xludf.DUMMYFUNCTION("""COMPUTED_VALUE"""),"niloy.saha2@g.bracu.ac.bd")</f>
        <v>niloy.saha2@g.bracu.ac.bd</v>
      </c>
    </row>
    <row r="41" ht="22.5" customHeight="1">
      <c r="A41" s="125">
        <f>IFERROR(__xludf.DUMMYFUNCTION("""COMPUTED_VALUE"""),2.4141021E7)</f>
        <v>24141021</v>
      </c>
      <c r="B41" s="125" t="str">
        <f>IFERROR(__xludf.DUMMYFUNCTION("""COMPUTED_VALUE"""),"Aditya Ghose")</f>
        <v>Aditya Ghose</v>
      </c>
      <c r="C41" s="125" t="str">
        <f>IFERROR(__xludf.DUMMYFUNCTION("""COMPUTED_VALUE"""),"General Member")</f>
        <v>General Member</v>
      </c>
      <c r="D41" s="125" t="str">
        <f>IFERROR(__xludf.DUMMYFUNCTION("""COMPUTED_VALUE"""),"aditya.ghose@g.bracu.ac.bd")</f>
        <v>aditya.ghose@g.bracu.ac.bd</v>
      </c>
    </row>
    <row r="42" ht="22.5" customHeight="1">
      <c r="A42" s="125">
        <f>IFERROR(__xludf.DUMMYFUNCTION("""COMPUTED_VALUE"""),2.2201423E7)</f>
        <v>22201423</v>
      </c>
      <c r="B42" s="125" t="str">
        <f>IFERROR(__xludf.DUMMYFUNCTION("""COMPUTED_VALUE"""),"Samiha Nowrin Nikita")</f>
        <v>Samiha Nowrin Nikita</v>
      </c>
      <c r="C42" s="125" t="str">
        <f>IFERROR(__xludf.DUMMYFUNCTION("""COMPUTED_VALUE"""),"General Member")</f>
        <v>General Member</v>
      </c>
      <c r="D42" s="125" t="str">
        <f>IFERROR(__xludf.DUMMYFUNCTION("""COMPUTED_VALUE"""),"samiha.nowrin.nikita@g.bracu.ac.bd")</f>
        <v>samiha.nowrin.nikita@g.bracu.ac.bd</v>
      </c>
    </row>
    <row r="43" ht="22.5" customHeight="1">
      <c r="A43" s="125">
        <f>IFERROR(__xludf.DUMMYFUNCTION("""COMPUTED_VALUE"""),2.4101636E7)</f>
        <v>24101636</v>
      </c>
      <c r="B43" s="125" t="str">
        <f>IFERROR(__xludf.DUMMYFUNCTION("""COMPUTED_VALUE"""),"Tasneem Bin Mahmood")</f>
        <v>Tasneem Bin Mahmood</v>
      </c>
      <c r="C43" s="125" t="str">
        <f>IFERROR(__xludf.DUMMYFUNCTION("""COMPUTED_VALUE"""),"General Member")</f>
        <v>General Member</v>
      </c>
      <c r="D43" s="125" t="str">
        <f>IFERROR(__xludf.DUMMYFUNCTION("""COMPUTED_VALUE"""),"tasneem.bin.mahmood@g.bracu.ac.bd")</f>
        <v>tasneem.bin.mahmood@g.bracu.ac.bd</v>
      </c>
    </row>
    <row r="44" ht="22.5" customHeight="1">
      <c r="A44" s="125">
        <f>IFERROR(__xludf.DUMMYFUNCTION("""COMPUTED_VALUE"""),2.0)</f>
        <v>2</v>
      </c>
      <c r="B44" s="125" t="str">
        <f>IFERROR(__xludf.DUMMYFUNCTION("""COMPUTED_VALUE"""),"Tasneem Mahmood")</f>
        <v>Tasneem Mahmood</v>
      </c>
      <c r="C44" s="125" t="str">
        <f>IFERROR(__xludf.DUMMYFUNCTION("""COMPUTED_VALUE"""),"General Member")</f>
        <v>General Member</v>
      </c>
      <c r="D44" s="125" t="str">
        <f>IFERROR(__xludf.DUMMYFUNCTION("""COMPUTED_VALUE"""),"tasneem.bin.mahmood@g.bracu.ac.bd")</f>
        <v>tasneem.bin.mahmood@g.bracu.ac.bd</v>
      </c>
    </row>
    <row r="45" ht="22.5" customHeight="1">
      <c r="A45" s="125">
        <f>IFERROR(__xludf.DUMMYFUNCTION("""COMPUTED_VALUE"""),2.410149E7)</f>
        <v>24101490</v>
      </c>
      <c r="B45" s="125" t="str">
        <f>IFERROR(__xludf.DUMMYFUNCTION("""COMPUTED_VALUE"""),"Md. Khalid Mahmud")</f>
        <v>Md. Khalid Mahmud</v>
      </c>
      <c r="C45" s="125" t="str">
        <f>IFERROR(__xludf.DUMMYFUNCTION("""COMPUTED_VALUE"""),"General Member")</f>
        <v>General Member</v>
      </c>
      <c r="D45" s="125" t="str">
        <f>IFERROR(__xludf.DUMMYFUNCTION("""COMPUTED_VALUE"""),"md.khalid.mahmud@g.bracu.ac.bd")</f>
        <v>md.khalid.mahmud@g.bracu.ac.bd</v>
      </c>
    </row>
    <row r="46" ht="22.5" customHeight="1">
      <c r="A46" s="125">
        <f>IFERROR(__xludf.DUMMYFUNCTION("""COMPUTED_VALUE"""),2.4321239E7)</f>
        <v>24321239</v>
      </c>
      <c r="B46" s="125" t="str">
        <f>IFERROR(__xludf.DUMMYFUNCTION("""COMPUTED_VALUE"""),"Khalid Bin Alam Pronoy")</f>
        <v>Khalid Bin Alam Pronoy</v>
      </c>
      <c r="C46" s="125" t="str">
        <f>IFERROR(__xludf.DUMMYFUNCTION("""COMPUTED_VALUE"""),"General Member")</f>
        <v>General Member</v>
      </c>
      <c r="D46" s="125" t="str">
        <f>IFERROR(__xludf.DUMMYFUNCTION("""COMPUTED_VALUE"""),"khalid.bin.alampronoy@g.bracu.ac.bd")</f>
        <v>khalid.bin.alampronoy@g.bracu.ac.bd</v>
      </c>
    </row>
    <row r="47" ht="22.5" customHeight="1">
      <c r="A47" s="125">
        <f>IFERROR(__xludf.DUMMYFUNCTION("""COMPUTED_VALUE"""),2.4101165E7)</f>
        <v>24101165</v>
      </c>
      <c r="B47" s="125" t="str">
        <f>IFERROR(__xludf.DUMMYFUNCTION("""COMPUTED_VALUE"""),"Ahnaf Ashique Adi")</f>
        <v>Ahnaf Ashique Adi</v>
      </c>
      <c r="C47" s="125" t="str">
        <f>IFERROR(__xludf.DUMMYFUNCTION("""COMPUTED_VALUE"""),"General Member")</f>
        <v>General Member</v>
      </c>
      <c r="D47" s="125" t="str">
        <f>IFERROR(__xludf.DUMMYFUNCTION("""COMPUTED_VALUE"""),"ahnaf.ashique.adi@g.bracu.ac.bd")</f>
        <v>ahnaf.ashique.adi@g.bracu.ac.bd</v>
      </c>
    </row>
    <row r="48" ht="22.5" customHeight="1">
      <c r="A48" s="125">
        <f>IFERROR(__xludf.DUMMYFUNCTION("""COMPUTED_VALUE"""),2.4301538E7)</f>
        <v>24301538</v>
      </c>
      <c r="B48" s="125" t="str">
        <f>IFERROR(__xludf.DUMMYFUNCTION("""COMPUTED_VALUE"""),"Tahsin Ashraf")</f>
        <v>Tahsin Ashraf</v>
      </c>
      <c r="C48" s="125" t="str">
        <f>IFERROR(__xludf.DUMMYFUNCTION("""COMPUTED_VALUE"""),"General Member")</f>
        <v>General Member</v>
      </c>
      <c r="D48" s="125" t="str">
        <f>IFERROR(__xludf.DUMMYFUNCTION("""COMPUTED_VALUE"""),"tahsin.ashraf@g.bracu.ac.bd")</f>
        <v>tahsin.ashraf@g.bracu.ac.bd</v>
      </c>
    </row>
    <row r="49" ht="22.5" customHeight="1">
      <c r="A49" s="125">
        <f>IFERROR(__xludf.DUMMYFUNCTION("""COMPUTED_VALUE"""),2.3101314E7)</f>
        <v>23101314</v>
      </c>
      <c r="B49" s="125" t="str">
        <f>IFERROR(__xludf.DUMMYFUNCTION("""COMPUTED_VALUE"""),"Aditi Roy Adri")</f>
        <v>Aditi Roy Adri</v>
      </c>
      <c r="C49" s="125" t="str">
        <f>IFERROR(__xludf.DUMMYFUNCTION("""COMPUTED_VALUE"""),"General Member")</f>
        <v>General Member</v>
      </c>
      <c r="D49" s="125" t="str">
        <f>IFERROR(__xludf.DUMMYFUNCTION("""COMPUTED_VALUE"""),"aditi.roy.adri@g.bracu.ac.bd")</f>
        <v>aditi.roy.adri@g.bracu.ac.bd</v>
      </c>
    </row>
    <row r="50" ht="22.5" customHeight="1">
      <c r="A50" s="125">
        <f>IFERROR(__xludf.DUMMYFUNCTION("""COMPUTED_VALUE"""),2.4101346E7)</f>
        <v>24101346</v>
      </c>
      <c r="B50" s="125" t="str">
        <f>IFERROR(__xludf.DUMMYFUNCTION("""COMPUTED_VALUE"""),"Jarin Sultana")</f>
        <v>Jarin Sultana</v>
      </c>
      <c r="C50" s="125" t="str">
        <f>IFERROR(__xludf.DUMMYFUNCTION("""COMPUTED_VALUE"""),"General Member")</f>
        <v>General Member</v>
      </c>
      <c r="D50" s="125" t="str">
        <f>IFERROR(__xludf.DUMMYFUNCTION("""COMPUTED_VALUE"""),"jarin.sultana@g.bracu.ac.bd")</f>
        <v>jarin.sultana@g.bracu.ac.bd</v>
      </c>
    </row>
    <row r="51" ht="22.5" customHeight="1">
      <c r="A51" s="125">
        <f>IFERROR(__xludf.DUMMYFUNCTION("""COMPUTED_VALUE"""),2.43015E7)</f>
        <v>24301500</v>
      </c>
      <c r="B51" s="125" t="str">
        <f>IFERROR(__xludf.DUMMYFUNCTION("""COMPUTED_VALUE"""),"MD. Mazidul Islam Kabbo")</f>
        <v>MD. Mazidul Islam Kabbo</v>
      </c>
      <c r="C51" s="125" t="str">
        <f>IFERROR(__xludf.DUMMYFUNCTION("""COMPUTED_VALUE"""),"General Member")</f>
        <v>General Member</v>
      </c>
      <c r="D51" s="125" t="str">
        <f>IFERROR(__xludf.DUMMYFUNCTION("""COMPUTED_VALUE"""),"mazidul.islam.kabbo@g.bracu.ac.bd")</f>
        <v>mazidul.islam.kabbo@g.bracu.ac.bd</v>
      </c>
    </row>
    <row r="52" ht="22.5" customHeight="1">
      <c r="A52" s="125">
        <f>IFERROR(__xludf.DUMMYFUNCTION("""COMPUTED_VALUE"""),2.4301062E7)</f>
        <v>24301062</v>
      </c>
      <c r="B52" s="125" t="str">
        <f>IFERROR(__xludf.DUMMYFUNCTION("""COMPUTED_VALUE"""),"Tahseen Zaman")</f>
        <v>Tahseen Zaman</v>
      </c>
      <c r="C52" s="125" t="str">
        <f>IFERROR(__xludf.DUMMYFUNCTION("""COMPUTED_VALUE"""),"General Member")</f>
        <v>General Member</v>
      </c>
      <c r="D52" s="125" t="str">
        <f>IFERROR(__xludf.DUMMYFUNCTION("""COMPUTED_VALUE"""),"tahseen.zaman@g.bracu.ac.bd")</f>
        <v>tahseen.zaman@g.bracu.ac.bd</v>
      </c>
    </row>
    <row r="53" ht="22.5" customHeight="1">
      <c r="A53" s="125">
        <f>IFERROR(__xludf.DUMMYFUNCTION("""COMPUTED_VALUE"""),2.4301295E7)</f>
        <v>24301295</v>
      </c>
      <c r="B53" s="125" t="str">
        <f>IFERROR(__xludf.DUMMYFUNCTION("""COMPUTED_VALUE"""),"Rajesh Saha Roy")</f>
        <v>Rajesh Saha Roy</v>
      </c>
      <c r="C53" s="125" t="str">
        <f>IFERROR(__xludf.DUMMYFUNCTION("""COMPUTED_VALUE"""),"General Member")</f>
        <v>General Member</v>
      </c>
      <c r="D53" s="125" t="str">
        <f>IFERROR(__xludf.DUMMYFUNCTION("""COMPUTED_VALUE"""),"rajesh.saha.roy@g.bracu.ac.bd")</f>
        <v>rajesh.saha.roy@g.bracu.ac.bd</v>
      </c>
    </row>
    <row r="54" ht="22.5" customHeight="1">
      <c r="A54" s="125">
        <f>IFERROR(__xludf.DUMMYFUNCTION("""COMPUTED_VALUE"""),2.4341017E7)</f>
        <v>24341017</v>
      </c>
      <c r="B54" s="125" t="str">
        <f>IFERROR(__xludf.DUMMYFUNCTION("""COMPUTED_VALUE"""),"S. M. Tahmidul Hoque")</f>
        <v>S. M. Tahmidul Hoque</v>
      </c>
      <c r="C54" s="125" t="str">
        <f>IFERROR(__xludf.DUMMYFUNCTION("""COMPUTED_VALUE"""),"General Member")</f>
        <v>General Member</v>
      </c>
      <c r="D54" s="125" t="str">
        <f>IFERROR(__xludf.DUMMYFUNCTION("""COMPUTED_VALUE"""),"sm.tahmidul.hoque@g.bracu.ac.bd")</f>
        <v>sm.tahmidul.hoque@g.bracu.ac.bd</v>
      </c>
    </row>
    <row r="55" ht="22.5" customHeight="1">
      <c r="A55" s="125">
        <f>IFERROR(__xludf.DUMMYFUNCTION("""COMPUTED_VALUE"""),2.2141021E7)</f>
        <v>22141021</v>
      </c>
      <c r="B55" s="125" t="str">
        <f>IFERROR(__xludf.DUMMYFUNCTION("""COMPUTED_VALUE"""),"Muhtasim Hossain Musanna")</f>
        <v>Muhtasim Hossain Musanna</v>
      </c>
      <c r="C55" s="125" t="str">
        <f>IFERROR(__xludf.DUMMYFUNCTION("""COMPUTED_VALUE"""),"General Member")</f>
        <v>General Member</v>
      </c>
      <c r="D55" s="125" t="str">
        <f>IFERROR(__xludf.DUMMYFUNCTION("""COMPUTED_VALUE"""),"muhtasim.hossain.musanna@g.bracu.ac.bd")</f>
        <v>muhtasim.hossain.musanna@g.bracu.ac.bd</v>
      </c>
    </row>
    <row r="56" ht="22.5" customHeight="1">
      <c r="A56" s="125">
        <f>IFERROR(__xludf.DUMMYFUNCTION("""COMPUTED_VALUE"""),2.3101302E7)</f>
        <v>23101302</v>
      </c>
      <c r="B56" s="125" t="str">
        <f>IFERROR(__xludf.DUMMYFUNCTION("""COMPUTED_VALUE"""),"Shiva Prasad Sarkar")</f>
        <v>Shiva Prasad Sarkar</v>
      </c>
      <c r="C56" s="125" t="str">
        <f>IFERROR(__xludf.DUMMYFUNCTION("""COMPUTED_VALUE"""),"General Member")</f>
        <v>General Member</v>
      </c>
      <c r="D56" s="125" t="str">
        <f>IFERROR(__xludf.DUMMYFUNCTION("""COMPUTED_VALUE"""),"shiva.prasad.sarkar@g.bracu.ac.bd")</f>
        <v>shiva.prasad.sarkar@g.bracu.ac.bd</v>
      </c>
    </row>
    <row r="57" ht="22.5" customHeight="1">
      <c r="A57" s="125">
        <f>IFERROR(__xludf.DUMMYFUNCTION("""COMPUTED_VALUE"""),2.4301431E7)</f>
        <v>24301431</v>
      </c>
      <c r="B57" s="125" t="str">
        <f>IFERROR(__xludf.DUMMYFUNCTION("""COMPUTED_VALUE"""),"MD.Alvi Chowdhury")</f>
        <v>MD.Alvi Chowdhury</v>
      </c>
      <c r="C57" s="125" t="str">
        <f>IFERROR(__xludf.DUMMYFUNCTION("""COMPUTED_VALUE"""),"General Member")</f>
        <v>General Member</v>
      </c>
      <c r="D57" s="125" t="str">
        <f>IFERROR(__xludf.DUMMYFUNCTION("""COMPUTED_VALUE"""),"md.alvi.chowdhury@g.bracu.ac.bd")</f>
        <v>md.alvi.chowdhury@g.bracu.ac.bd</v>
      </c>
    </row>
    <row r="58" ht="22.5" customHeight="1">
      <c r="A58" s="125">
        <f>IFERROR(__xludf.DUMMYFUNCTION("""COMPUTED_VALUE"""),2.4241098E7)</f>
        <v>24241098</v>
      </c>
      <c r="B58" s="125" t="str">
        <f>IFERROR(__xludf.DUMMYFUNCTION("""COMPUTED_VALUE"""),"Yeasar Arefin")</f>
        <v>Yeasar Arefin</v>
      </c>
      <c r="C58" s="125" t="str">
        <f>IFERROR(__xludf.DUMMYFUNCTION("""COMPUTED_VALUE"""),"General Member")</f>
        <v>General Member</v>
      </c>
      <c r="D58" s="125" t="str">
        <f>IFERROR(__xludf.DUMMYFUNCTION("""COMPUTED_VALUE"""),"yeasar.arefin@g.bracu.ac.bd")</f>
        <v>yeasar.arefin@g.bracu.ac.bd</v>
      </c>
    </row>
    <row r="59" ht="22.5" customHeight="1">
      <c r="A59" s="125">
        <f>IFERROR(__xludf.DUMMYFUNCTION("""COMPUTED_VALUE"""),2.430153E7)</f>
        <v>24301530</v>
      </c>
      <c r="B59" s="125" t="str">
        <f>IFERROR(__xludf.DUMMYFUNCTION("""COMPUTED_VALUE"""),"Md Sajid Khan")</f>
        <v>Md Sajid Khan</v>
      </c>
      <c r="C59" s="125" t="str">
        <f>IFERROR(__xludf.DUMMYFUNCTION("""COMPUTED_VALUE"""),"General Member")</f>
        <v>General Member</v>
      </c>
      <c r="D59" s="125" t="str">
        <f>IFERROR(__xludf.DUMMYFUNCTION("""COMPUTED_VALUE"""),"md.sajid.khan@g.bracu.ac.bd")</f>
        <v>md.sajid.khan@g.bracu.ac.bd</v>
      </c>
    </row>
    <row r="60" ht="22.5" customHeight="1">
      <c r="A60" s="125">
        <f>IFERROR(__xludf.DUMMYFUNCTION("""COMPUTED_VALUE"""),2.330141E7)</f>
        <v>23301410</v>
      </c>
      <c r="B60" s="125" t="str">
        <f>IFERROR(__xludf.DUMMYFUNCTION("""COMPUTED_VALUE"""),"Rafid Shahriar Auvro")</f>
        <v>Rafid Shahriar Auvro</v>
      </c>
      <c r="C60" s="125" t="str">
        <f>IFERROR(__xludf.DUMMYFUNCTION("""COMPUTED_VALUE"""),"General Member")</f>
        <v>General Member</v>
      </c>
      <c r="D60" s="125" t="str">
        <f>IFERROR(__xludf.DUMMYFUNCTION("""COMPUTED_VALUE"""),"rafid.shahriar.auvro@g.bracu.ac.bd")</f>
        <v>rafid.shahriar.auvro@g.bracu.ac.bd</v>
      </c>
    </row>
    <row r="61" ht="22.5" customHeight="1">
      <c r="A61" s="125">
        <f>IFERROR(__xludf.DUMMYFUNCTION("""COMPUTED_VALUE"""),2.4301039E7)</f>
        <v>24301039</v>
      </c>
      <c r="B61" s="125" t="str">
        <f>IFERROR(__xludf.DUMMYFUNCTION("""COMPUTED_VALUE"""),"Srijon Kumar Mondal")</f>
        <v>Srijon Kumar Mondal</v>
      </c>
      <c r="C61" s="125" t="str">
        <f>IFERROR(__xludf.DUMMYFUNCTION("""COMPUTED_VALUE"""),"General Member")</f>
        <v>General Member</v>
      </c>
      <c r="D61" s="125" t="str">
        <f>IFERROR(__xludf.DUMMYFUNCTION("""COMPUTED_VALUE"""),"srijon.kumar.mondal@g.bracu.ac.bd")</f>
        <v>srijon.kumar.mondal@g.bracu.ac.bd</v>
      </c>
    </row>
    <row r="62" ht="22.5" customHeight="1">
      <c r="A62" s="125">
        <f>IFERROR(__xludf.DUMMYFUNCTION("""COMPUTED_VALUE"""),2.430125E7)</f>
        <v>24301250</v>
      </c>
      <c r="B62" s="125" t="str">
        <f>IFERROR(__xludf.DUMMYFUNCTION("""COMPUTED_VALUE"""),"Labib Wadi Sopan")</f>
        <v>Labib Wadi Sopan</v>
      </c>
      <c r="C62" s="125" t="str">
        <f>IFERROR(__xludf.DUMMYFUNCTION("""COMPUTED_VALUE"""),"General Member")</f>
        <v>General Member</v>
      </c>
      <c r="D62" s="125" t="str">
        <f>IFERROR(__xludf.DUMMYFUNCTION("""COMPUTED_VALUE"""),"labib.wadi.sopan@g.bracu.ac.bd")</f>
        <v>labib.wadi.sopan@g.bracu.ac.bd</v>
      </c>
    </row>
    <row r="63" ht="22.5" customHeight="1">
      <c r="A63" s="125">
        <f>IFERROR(__xludf.DUMMYFUNCTION("""COMPUTED_VALUE"""),2.4301301E7)</f>
        <v>24301301</v>
      </c>
      <c r="B63" s="125" t="str">
        <f>IFERROR(__xludf.DUMMYFUNCTION("""COMPUTED_VALUE"""),"Abu Talha")</f>
        <v>Abu Talha</v>
      </c>
      <c r="C63" s="125" t="str">
        <f>IFERROR(__xludf.DUMMYFUNCTION("""COMPUTED_VALUE"""),"General Member")</f>
        <v>General Member</v>
      </c>
      <c r="D63" s="125" t="str">
        <f>IFERROR(__xludf.DUMMYFUNCTION("""COMPUTED_VALUE"""),"abu.talha2@g.bracu.ac.bd")</f>
        <v>abu.talha2@g.bracu.ac.bd</v>
      </c>
    </row>
    <row r="64" ht="22.5" customHeight="1">
      <c r="A64" s="125">
        <f>IFERROR(__xludf.DUMMYFUNCTION("""COMPUTED_VALUE"""),2.4211002E7)</f>
        <v>24211002</v>
      </c>
      <c r="B64" s="125" t="str">
        <f>IFERROR(__xludf.DUMMYFUNCTION("""COMPUTED_VALUE"""),"Sameer Roy")</f>
        <v>Sameer Roy</v>
      </c>
      <c r="C64" s="125" t="str">
        <f>IFERROR(__xludf.DUMMYFUNCTION("""COMPUTED_VALUE"""),"General Member")</f>
        <v>General Member</v>
      </c>
      <c r="D64" s="125" t="str">
        <f>IFERROR(__xludf.DUMMYFUNCTION("""COMPUTED_VALUE"""),"sameer.roy@g.bracu.ac.bd")</f>
        <v>sameer.roy@g.bracu.ac.bd</v>
      </c>
    </row>
    <row r="65" ht="22.5" customHeight="1">
      <c r="A65" s="125">
        <f>IFERROR(__xludf.DUMMYFUNCTION("""COMPUTED_VALUE"""),2.4201275E7)</f>
        <v>24201275</v>
      </c>
      <c r="B65" s="125" t="str">
        <f>IFERROR(__xludf.DUMMYFUNCTION("""COMPUTED_VALUE"""),"Sania Rudra Mumu")</f>
        <v>Sania Rudra Mumu</v>
      </c>
      <c r="C65" s="125" t="str">
        <f>IFERROR(__xludf.DUMMYFUNCTION("""COMPUTED_VALUE"""),"General Member")</f>
        <v>General Member</v>
      </c>
      <c r="D65" s="125" t="str">
        <f>IFERROR(__xludf.DUMMYFUNCTION("""COMPUTED_VALUE"""),"sania.rudra.mumu@g.bracu.ac.bd")</f>
        <v>sania.rudra.mumu@g.bracu.ac.bd</v>
      </c>
    </row>
    <row r="66" ht="22.5" customHeight="1">
      <c r="A66" s="125">
        <f>IFERROR(__xludf.DUMMYFUNCTION("""COMPUTED_VALUE"""),2.4101567E7)</f>
        <v>24101567</v>
      </c>
      <c r="B66" s="125" t="str">
        <f>IFERROR(__xludf.DUMMYFUNCTION("""COMPUTED_VALUE"""),"Jarin Tasnim Sinigdha")</f>
        <v>Jarin Tasnim Sinigdha</v>
      </c>
      <c r="C66" s="125" t="str">
        <f>IFERROR(__xludf.DUMMYFUNCTION("""COMPUTED_VALUE"""),"General Member")</f>
        <v>General Member</v>
      </c>
      <c r="D66" s="125" t="str">
        <f>IFERROR(__xludf.DUMMYFUNCTION("""COMPUTED_VALUE"""),"jarin.tasnim.sinigdha@g.bracu.ac.bd")</f>
        <v>jarin.tasnim.sinigdha@g.bracu.ac.bd</v>
      </c>
    </row>
    <row r="67" ht="22.5" customHeight="1">
      <c r="A67" s="125">
        <f>IFERROR(__xludf.DUMMYFUNCTION("""COMPUTED_VALUE"""),2.4201346E7)</f>
        <v>24201346</v>
      </c>
      <c r="B67" s="125" t="str">
        <f>IFERROR(__xludf.DUMMYFUNCTION("""COMPUTED_VALUE"""),"Ritwik Bhowmik")</f>
        <v>Ritwik Bhowmik</v>
      </c>
      <c r="C67" s="125" t="str">
        <f>IFERROR(__xludf.DUMMYFUNCTION("""COMPUTED_VALUE"""),"General Member")</f>
        <v>General Member</v>
      </c>
      <c r="D67" s="125" t="str">
        <f>IFERROR(__xludf.DUMMYFUNCTION("""COMPUTED_VALUE"""),"ritwik.bhowmik@g.bracu.ac.bd")</f>
        <v>ritwik.bhowmik@g.bracu.ac.bd</v>
      </c>
    </row>
    <row r="68" ht="22.5" customHeight="1">
      <c r="A68" s="125">
        <f>IFERROR(__xludf.DUMMYFUNCTION("""COMPUTED_VALUE"""),2.4201426E7)</f>
        <v>24201426</v>
      </c>
      <c r="B68" s="125" t="str">
        <f>IFERROR(__xludf.DUMMYFUNCTION("""COMPUTED_VALUE"""),"Partha Chakraborty")</f>
        <v>Partha Chakraborty</v>
      </c>
      <c r="C68" s="125" t="str">
        <f>IFERROR(__xludf.DUMMYFUNCTION("""COMPUTED_VALUE"""),"General Member")</f>
        <v>General Member</v>
      </c>
      <c r="D68" s="125" t="str">
        <f>IFERROR(__xludf.DUMMYFUNCTION("""COMPUTED_VALUE"""),"partha.chakraborty@g.bracu.ac.bd")</f>
        <v>partha.chakraborty@g.bracu.ac.bd</v>
      </c>
    </row>
    <row r="69" ht="22.5" customHeight="1">
      <c r="A69" s="125">
        <f>IFERROR(__xludf.DUMMYFUNCTION("""COMPUTED_VALUE"""),2.3101527E7)</f>
        <v>23101527</v>
      </c>
      <c r="B69" s="125" t="str">
        <f>IFERROR(__xludf.DUMMYFUNCTION("""COMPUTED_VALUE"""),"MD. MAYNUDDEN")</f>
        <v>MD. MAYNUDDEN</v>
      </c>
      <c r="C69" s="125" t="str">
        <f>IFERROR(__xludf.DUMMYFUNCTION("""COMPUTED_VALUE"""),"General Member")</f>
        <v>General Member</v>
      </c>
      <c r="D69" s="125" t="str">
        <f>IFERROR(__xludf.DUMMYFUNCTION("""COMPUTED_VALUE"""),"md.maynudden@g.bracu.ac.bd")</f>
        <v>md.maynudden@g.bracu.ac.bd</v>
      </c>
    </row>
    <row r="70" ht="22.5" customHeight="1">
      <c r="A70" s="125">
        <f>IFERROR(__xludf.DUMMYFUNCTION("""COMPUTED_VALUE"""),2.3201089E7)</f>
        <v>23201089</v>
      </c>
      <c r="B70" s="125" t="str">
        <f>IFERROR(__xludf.DUMMYFUNCTION("""COMPUTED_VALUE"""),"Md Sakib Khandaker")</f>
        <v>Md Sakib Khandaker</v>
      </c>
      <c r="C70" s="125" t="str">
        <f>IFERROR(__xludf.DUMMYFUNCTION("""COMPUTED_VALUE"""),"General Member")</f>
        <v>General Member</v>
      </c>
      <c r="D70" s="125" t="str">
        <f>IFERROR(__xludf.DUMMYFUNCTION("""COMPUTED_VALUE"""),"md.sakib.khandaker@g.bracu.ac.bd")</f>
        <v>md.sakib.khandaker@g.bracu.ac.bd</v>
      </c>
    </row>
    <row r="71" ht="22.5" customHeight="1">
      <c r="A71" s="125">
        <f>IFERROR(__xludf.DUMMYFUNCTION("""COMPUTED_VALUE"""),2.3201229E7)</f>
        <v>23201229</v>
      </c>
      <c r="B71" s="125" t="str">
        <f>IFERROR(__xludf.DUMMYFUNCTION("""COMPUTED_VALUE"""),"Syed Aousaf Tajwar")</f>
        <v>Syed Aousaf Tajwar</v>
      </c>
      <c r="C71" s="125" t="str">
        <f>IFERROR(__xludf.DUMMYFUNCTION("""COMPUTED_VALUE"""),"General Member")</f>
        <v>General Member</v>
      </c>
      <c r="D71" s="125" t="str">
        <f>IFERROR(__xludf.DUMMYFUNCTION("""COMPUTED_VALUE"""),"syed.aousaf.tajwar@g.bracu.ac.bd")</f>
        <v>syed.aousaf.tajwar@g.bracu.ac.bd</v>
      </c>
    </row>
    <row r="72" ht="22.5" customHeight="1">
      <c r="A72" s="125">
        <f>IFERROR(__xludf.DUMMYFUNCTION("""COMPUTED_VALUE"""),2.3201318E7)</f>
        <v>23201318</v>
      </c>
      <c r="B72" s="125" t="str">
        <f>IFERROR(__xludf.DUMMYFUNCTION("""COMPUTED_VALUE"""),"Sanchary Roy")</f>
        <v>Sanchary Roy</v>
      </c>
      <c r="C72" s="125" t="str">
        <f>IFERROR(__xludf.DUMMYFUNCTION("""COMPUTED_VALUE"""),"General Member")</f>
        <v>General Member</v>
      </c>
      <c r="D72" s="125" t="str">
        <f>IFERROR(__xludf.DUMMYFUNCTION("""COMPUTED_VALUE"""),"sanchary.roy@g.bracu.ac.bd")</f>
        <v>sanchary.roy@g.bracu.ac.bd</v>
      </c>
    </row>
    <row r="73" ht="22.5" customHeight="1">
      <c r="A73" s="125">
        <f>IFERROR(__xludf.DUMMYFUNCTION("""COMPUTED_VALUE"""),2.3201618E7)</f>
        <v>23201618</v>
      </c>
      <c r="B73" s="125" t="str">
        <f>IFERROR(__xludf.DUMMYFUNCTION("""COMPUTED_VALUE"""),"Tasnima Bintay Azad Antika")</f>
        <v>Tasnima Bintay Azad Antika</v>
      </c>
      <c r="C73" s="125" t="str">
        <f>IFERROR(__xludf.DUMMYFUNCTION("""COMPUTED_VALUE"""),"General Member")</f>
        <v>General Member</v>
      </c>
      <c r="D73" s="125" t="str">
        <f>IFERROR(__xludf.DUMMYFUNCTION("""COMPUTED_VALUE"""),"tasnima.bintay.azadantika@g.bracu.ac.bd")</f>
        <v>tasnima.bintay.azadantika@g.bracu.ac.bd</v>
      </c>
    </row>
    <row r="74" ht="22.5" customHeight="1">
      <c r="A74" s="125">
        <f>IFERROR(__xludf.DUMMYFUNCTION("""COMPUTED_VALUE"""),2.3201671E7)</f>
        <v>23201671</v>
      </c>
      <c r="B74" s="125" t="str">
        <f>IFERROR(__xludf.DUMMYFUNCTION("""COMPUTED_VALUE"""),"Ahsanur Rahman Niloy")</f>
        <v>Ahsanur Rahman Niloy</v>
      </c>
      <c r="C74" s="125" t="str">
        <f>IFERROR(__xludf.DUMMYFUNCTION("""COMPUTED_VALUE"""),"General Member")</f>
        <v>General Member</v>
      </c>
      <c r="D74" s="125" t="str">
        <f>IFERROR(__xludf.DUMMYFUNCTION("""COMPUTED_VALUE"""),"ahsanur.rahman.niloy@g.bracu.ac.bd")</f>
        <v>ahsanur.rahman.niloy@g.bracu.ac.bd</v>
      </c>
    </row>
    <row r="75" ht="22.5" customHeight="1">
      <c r="A75" s="125">
        <f>IFERROR(__xludf.DUMMYFUNCTION("""COMPUTED_VALUE"""),2.330135E7)</f>
        <v>23301350</v>
      </c>
      <c r="B75" s="125" t="str">
        <f>IFERROR(__xludf.DUMMYFUNCTION("""COMPUTED_VALUE"""),"Tisam Sajran")</f>
        <v>Tisam Sajran</v>
      </c>
      <c r="C75" s="125" t="str">
        <f>IFERROR(__xludf.DUMMYFUNCTION("""COMPUTED_VALUE"""),"General Member")</f>
        <v>General Member</v>
      </c>
      <c r="D75" s="125" t="str">
        <f>IFERROR(__xludf.DUMMYFUNCTION("""COMPUTED_VALUE"""),"tisam.sajran@g.bracu.ac.bd")</f>
        <v>tisam.sajran@g.bracu.ac.bd</v>
      </c>
    </row>
    <row r="76" ht="22.5" customHeight="1">
      <c r="A76" s="125">
        <f>IFERROR(__xludf.DUMMYFUNCTION("""COMPUTED_VALUE"""),2.4101225E7)</f>
        <v>24101225</v>
      </c>
      <c r="B76" s="125" t="str">
        <f>IFERROR(__xludf.DUMMYFUNCTION("""COMPUTED_VALUE"""),"Rahib Kibria Choudhury")</f>
        <v>Rahib Kibria Choudhury</v>
      </c>
      <c r="C76" s="125" t="str">
        <f>IFERROR(__xludf.DUMMYFUNCTION("""COMPUTED_VALUE"""),"General Member")</f>
        <v>General Member</v>
      </c>
      <c r="D76" s="125" t="str">
        <f>IFERROR(__xludf.DUMMYFUNCTION("""COMPUTED_VALUE"""),"rahib.kibria.choudhury@g.bracu.ac.bd")</f>
        <v>rahib.kibria.choudhury@g.bracu.ac.bd</v>
      </c>
    </row>
    <row r="77" ht="22.5" customHeight="1">
      <c r="A77" s="125">
        <f>IFERROR(__xludf.DUMMYFUNCTION("""COMPUTED_VALUE"""),2.4101279E7)</f>
        <v>24101279</v>
      </c>
      <c r="B77" s="125" t="str">
        <f>IFERROR(__xludf.DUMMYFUNCTION("""COMPUTED_VALUE"""),"Dhrubojyoti Saha")</f>
        <v>Dhrubojyoti Saha</v>
      </c>
      <c r="C77" s="125" t="str">
        <f>IFERROR(__xludf.DUMMYFUNCTION("""COMPUTED_VALUE"""),"General Member")</f>
        <v>General Member</v>
      </c>
      <c r="D77" s="125" t="str">
        <f>IFERROR(__xludf.DUMMYFUNCTION("""COMPUTED_VALUE"""),"dhrubojyoti.saha@g.bracu.ac.bd")</f>
        <v>dhrubojyoti.saha@g.bracu.ac.bd</v>
      </c>
    </row>
    <row r="78" ht="22.5" customHeight="1">
      <c r="A78" s="125">
        <f>IFERROR(__xludf.DUMMYFUNCTION("""COMPUTED_VALUE"""),2.4121043E7)</f>
        <v>24121043</v>
      </c>
      <c r="B78" s="125" t="str">
        <f>IFERROR(__xludf.DUMMYFUNCTION("""COMPUTED_VALUE"""),"Prachya Biswas")</f>
        <v>Prachya Biswas</v>
      </c>
      <c r="C78" s="125" t="str">
        <f>IFERROR(__xludf.DUMMYFUNCTION("""COMPUTED_VALUE"""),"General Member")</f>
        <v>General Member</v>
      </c>
      <c r="D78" s="125" t="str">
        <f>IFERROR(__xludf.DUMMYFUNCTION("""COMPUTED_VALUE"""),"prachya.biswas@g.bracu.ac.bd")</f>
        <v>prachya.biswas@g.bracu.ac.bd</v>
      </c>
    </row>
    <row r="79" ht="22.5" customHeight="1">
      <c r="A79" s="125">
        <f>IFERROR(__xludf.DUMMYFUNCTION("""COMPUTED_VALUE"""),2.4201102E7)</f>
        <v>24201102</v>
      </c>
      <c r="B79" s="125" t="str">
        <f>IFERROR(__xludf.DUMMYFUNCTION("""COMPUTED_VALUE"""),"Jayed Yeameen")</f>
        <v>Jayed Yeameen</v>
      </c>
      <c r="C79" s="125" t="str">
        <f>IFERROR(__xludf.DUMMYFUNCTION("""COMPUTED_VALUE"""),"General Member")</f>
        <v>General Member</v>
      </c>
      <c r="D79" s="125" t="str">
        <f>IFERROR(__xludf.DUMMYFUNCTION("""COMPUTED_VALUE"""),"jayed.yeameen@g.bracu.ac.bd")</f>
        <v>jayed.yeameen@g.bracu.ac.bd</v>
      </c>
    </row>
    <row r="80" ht="22.5" customHeight="1">
      <c r="A80" s="125">
        <f>IFERROR(__xludf.DUMMYFUNCTION("""COMPUTED_VALUE"""),2.4201151E7)</f>
        <v>24201151</v>
      </c>
      <c r="B80" s="125" t="str">
        <f>IFERROR(__xludf.DUMMYFUNCTION("""COMPUTED_VALUE"""),"Samirul Karim")</f>
        <v>Samirul Karim</v>
      </c>
      <c r="C80" s="125" t="str">
        <f>IFERROR(__xludf.DUMMYFUNCTION("""COMPUTED_VALUE"""),"General Member")</f>
        <v>General Member</v>
      </c>
      <c r="D80" s="125" t="str">
        <f>IFERROR(__xludf.DUMMYFUNCTION("""COMPUTED_VALUE"""),"Samirul.karim@g.bracu.ac.bd")</f>
        <v>Samirul.karim@g.bracu.ac.bd</v>
      </c>
    </row>
    <row r="81" ht="22.5" customHeight="1">
      <c r="A81" s="125">
        <f>IFERROR(__xludf.DUMMYFUNCTION("""COMPUTED_VALUE"""),2.4201263E7)</f>
        <v>24201263</v>
      </c>
      <c r="B81" s="125" t="str">
        <f>IFERROR(__xludf.DUMMYFUNCTION("""COMPUTED_VALUE"""),"Fuad Hasan Khan")</f>
        <v>Fuad Hasan Khan</v>
      </c>
      <c r="C81" s="125" t="str">
        <f>IFERROR(__xludf.DUMMYFUNCTION("""COMPUTED_VALUE"""),"General Member")</f>
        <v>General Member</v>
      </c>
      <c r="D81" s="125" t="str">
        <f>IFERROR(__xludf.DUMMYFUNCTION("""COMPUTED_VALUE"""),"fuad.hasan.khan@g.bracu.ac.bd")</f>
        <v>fuad.hasan.khan@g.bracu.ac.bd</v>
      </c>
    </row>
    <row r="82" ht="22.5" customHeight="1">
      <c r="A82" s="125">
        <f>IFERROR(__xludf.DUMMYFUNCTION("""COMPUTED_VALUE"""),2.4201367E7)</f>
        <v>24201367</v>
      </c>
      <c r="B82" s="125" t="str">
        <f>IFERROR(__xludf.DUMMYFUNCTION("""COMPUTED_VALUE"""),"Sabikun nahar monira")</f>
        <v>Sabikun nahar monira</v>
      </c>
      <c r="C82" s="125" t="str">
        <f>IFERROR(__xludf.DUMMYFUNCTION("""COMPUTED_VALUE"""),"General Member")</f>
        <v>General Member</v>
      </c>
      <c r="D82" s="125" t="str">
        <f>IFERROR(__xludf.DUMMYFUNCTION("""COMPUTED_VALUE"""),"sabikun.nahar.monira@g.bracu.ac.bd")</f>
        <v>sabikun.nahar.monira@g.bracu.ac.bd</v>
      </c>
    </row>
    <row r="83" ht="22.5" customHeight="1">
      <c r="A83" s="125">
        <f>IFERROR(__xludf.DUMMYFUNCTION("""COMPUTED_VALUE"""),2.4201374E7)</f>
        <v>24201374</v>
      </c>
      <c r="B83" s="125" t="str">
        <f>IFERROR(__xludf.DUMMYFUNCTION("""COMPUTED_VALUE"""),"Md. Moshiur Rahman")</f>
        <v>Md. Moshiur Rahman</v>
      </c>
      <c r="C83" s="125" t="str">
        <f>IFERROR(__xludf.DUMMYFUNCTION("""COMPUTED_VALUE"""),"General Member")</f>
        <v>General Member</v>
      </c>
      <c r="D83" s="125" t="str">
        <f>IFERROR(__xludf.DUMMYFUNCTION("""COMPUTED_VALUE"""),"md.moshiur.rahman2@g.bracu.ac.bd")</f>
        <v>md.moshiur.rahman2@g.bracu.ac.bd</v>
      </c>
    </row>
    <row r="84" ht="22.5" customHeight="1">
      <c r="A84" s="125">
        <f>IFERROR(__xludf.DUMMYFUNCTION("""COMPUTED_VALUE"""),2.4204199E7)</f>
        <v>24204199</v>
      </c>
      <c r="B84" s="125" t="str">
        <f>IFERROR(__xludf.DUMMYFUNCTION("""COMPUTED_VALUE"""),"Abdul Mumit BIn Jafor")</f>
        <v>Abdul Mumit BIn Jafor</v>
      </c>
      <c r="C84" s="125" t="str">
        <f>IFERROR(__xludf.DUMMYFUNCTION("""COMPUTED_VALUE"""),"General Member")</f>
        <v>General Member</v>
      </c>
      <c r="D84" s="125" t="str">
        <f>IFERROR(__xludf.DUMMYFUNCTION("""COMPUTED_VALUE"""),"abdulmumit.bin.jafor@g.bracu.ac.bd")</f>
        <v>abdulmumit.bin.jafor@g.bracu.ac.bd</v>
      </c>
    </row>
    <row r="85" ht="22.5" customHeight="1">
      <c r="A85" s="125">
        <f>IFERROR(__xludf.DUMMYFUNCTION("""COMPUTED_VALUE"""),2.4341232E7)</f>
        <v>24341232</v>
      </c>
      <c r="B85" s="125" t="str">
        <f>IFERROR(__xludf.DUMMYFUNCTION("""COMPUTED_VALUE"""),"MD.Fahim Habib")</f>
        <v>MD.Fahim Habib</v>
      </c>
      <c r="C85" s="125" t="str">
        <f>IFERROR(__xludf.DUMMYFUNCTION("""COMPUTED_VALUE"""),"General Member")</f>
        <v>General Member</v>
      </c>
      <c r="D85" s="125" t="str">
        <f>IFERROR(__xludf.DUMMYFUNCTION("""COMPUTED_VALUE"""),"md.fahim.habib@g.bracu.ac.bd")</f>
        <v>md.fahim.habib@g.bracu.ac.bd</v>
      </c>
    </row>
    <row r="86" ht="22.5" customHeight="1">
      <c r="A86" s="125">
        <f>IFERROR(__xludf.DUMMYFUNCTION("""COMPUTED_VALUE"""),1.000054024E9)</f>
        <v>1000054024</v>
      </c>
      <c r="B86" s="125" t="str">
        <f>IFERROR(__xludf.DUMMYFUNCTION("""COMPUTED_VALUE"""),"Rasheed Kabir Darpan")</f>
        <v>Rasheed Kabir Darpan</v>
      </c>
      <c r="C86" s="125" t="str">
        <f>IFERROR(__xludf.DUMMYFUNCTION("""COMPUTED_VALUE"""),"General Member")</f>
        <v>General Member</v>
      </c>
      <c r="D86" s="125" t="str">
        <f>IFERROR(__xludf.DUMMYFUNCTION("""COMPUTED_VALUE"""),"rasheed.kabir.darpan@g.bracu.ac.bd")</f>
        <v>rasheed.kabir.darpan@g.bracu.ac.bd</v>
      </c>
    </row>
    <row r="87" ht="22.5" customHeight="1">
      <c r="A87" s="125">
        <f>IFERROR(__xludf.DUMMYFUNCTION("""COMPUTED_VALUE"""),1.000054261E9)</f>
        <v>1000054261</v>
      </c>
      <c r="B87" s="125" t="str">
        <f>IFERROR(__xludf.DUMMYFUNCTION("""COMPUTED_VALUE"""),"MD. TAHMID HASAN")</f>
        <v>MD. TAHMID HASAN</v>
      </c>
      <c r="C87" s="125" t="str">
        <f>IFERROR(__xludf.DUMMYFUNCTION("""COMPUTED_VALUE"""),"General Member")</f>
        <v>General Member</v>
      </c>
      <c r="D87" s="125" t="str">
        <f>IFERROR(__xludf.DUMMYFUNCTION("""COMPUTED_VALUE"""),"md.tahmid.hasan1@g.bracu.ac.bd")</f>
        <v>md.tahmid.hasan1@g.bracu.ac.bd</v>
      </c>
    </row>
    <row r="88" ht="22.5" customHeight="1">
      <c r="A88" s="125">
        <f>IFERROR(__xludf.DUMMYFUNCTION("""COMPUTED_VALUE"""),1.000054396E9)</f>
        <v>1000054396</v>
      </c>
      <c r="B88" s="125" t="str">
        <f>IFERROR(__xludf.DUMMYFUNCTION("""COMPUTED_VALUE"""),"Azmyeen Nahian")</f>
        <v>Azmyeen Nahian</v>
      </c>
      <c r="C88" s="125" t="str">
        <f>IFERROR(__xludf.DUMMYFUNCTION("""COMPUTED_VALUE"""),"General Member")</f>
        <v>General Member</v>
      </c>
      <c r="D88" s="125" t="str">
        <f>IFERROR(__xludf.DUMMYFUNCTION("""COMPUTED_VALUE"""),"azmyeen.nahian@g.bracu.ac.bd")</f>
        <v>azmyeen.nahian@g.bracu.ac.bd</v>
      </c>
    </row>
    <row r="89" ht="22.5" customHeight="1">
      <c r="A89" s="125">
        <f>IFERROR(__xludf.DUMMYFUNCTION("""COMPUTED_VALUE"""),1.00005442E9)</f>
        <v>1000054420</v>
      </c>
      <c r="B89" s="125" t="str">
        <f>IFERROR(__xludf.DUMMYFUNCTION("""COMPUTED_VALUE"""),"Fahim Mehtab")</f>
        <v>Fahim Mehtab</v>
      </c>
      <c r="C89" s="125" t="str">
        <f>IFERROR(__xludf.DUMMYFUNCTION("""COMPUTED_VALUE"""),"General Member")</f>
        <v>General Member</v>
      </c>
      <c r="D89" s="125" t="str">
        <f>IFERROR(__xludf.DUMMYFUNCTION("""COMPUTED_VALUE"""),"fahim@g.bracu.ac.bd")</f>
        <v>fahim@g.bracu.ac.bd</v>
      </c>
    </row>
    <row r="90" ht="22.5" customHeight="1">
      <c r="A90" s="125">
        <f>IFERROR(__xludf.DUMMYFUNCTION("""COMPUTED_VALUE"""),1.00005527E9)</f>
        <v>1000055270</v>
      </c>
      <c r="B90" s="125" t="str">
        <f>IFERROR(__xludf.DUMMYFUNCTION("""COMPUTED_VALUE"""),"Arnob Roy")</f>
        <v>Arnob Roy</v>
      </c>
      <c r="C90" s="125" t="str">
        <f>IFERROR(__xludf.DUMMYFUNCTION("""COMPUTED_VALUE"""),"General Member")</f>
        <v>General Member</v>
      </c>
      <c r="D90" s="125" t="str">
        <f>IFERROR(__xludf.DUMMYFUNCTION("""COMPUTED_VALUE"""),"arnob.roy@g.bracu.ac.bd")</f>
        <v>arnob.roy@g.bracu.ac.bd</v>
      </c>
    </row>
    <row r="91" ht="22.5" customHeight="1">
      <c r="A91" s="125">
        <f>IFERROR(__xludf.DUMMYFUNCTION("""COMPUTED_VALUE"""),1.000055418E9)</f>
        <v>1000055418</v>
      </c>
      <c r="B91" s="125" t="str">
        <f>IFERROR(__xludf.DUMMYFUNCTION("""COMPUTED_VALUE"""),"SYED ARHAM FAIYAZ")</f>
        <v>SYED ARHAM FAIYAZ</v>
      </c>
      <c r="C91" s="125" t="str">
        <f>IFERROR(__xludf.DUMMYFUNCTION("""COMPUTED_VALUE"""),"General Member")</f>
        <v>General Member</v>
      </c>
      <c r="D91" s="125" t="str">
        <f>IFERROR(__xludf.DUMMYFUNCTION("""COMPUTED_VALUE"""),"syed.arham.faiyaz@g.bracu.ac.bd")</f>
        <v>syed.arham.faiyaz@g.bracu.ac.bd</v>
      </c>
    </row>
    <row r="92" ht="22.5" customHeight="1">
      <c r="A92" s="125">
        <f>IFERROR(__xludf.DUMMYFUNCTION("""COMPUTED_VALUE"""),2.3201463E7)</f>
        <v>23201463</v>
      </c>
      <c r="B92" s="125" t="str">
        <f>IFERROR(__xludf.DUMMYFUNCTION("""COMPUTED_VALUE"""),"Saadmaan Al Naser")</f>
        <v>Saadmaan Al Naser</v>
      </c>
      <c r="C92" s="125" t="str">
        <f>IFERROR(__xludf.DUMMYFUNCTION("""COMPUTED_VALUE"""),"General Member")</f>
        <v>General Member</v>
      </c>
      <c r="D92" s="125" t="str">
        <f>IFERROR(__xludf.DUMMYFUNCTION("""COMPUTED_VALUE"""),"saadmaan.al.naser@g.bracu.ac.bd")</f>
        <v>saadmaan.al.naser@g.bracu.ac.bd</v>
      </c>
    </row>
    <row r="93" ht="22.5" customHeight="1">
      <c r="A93" s="125">
        <f>IFERROR(__xludf.DUMMYFUNCTION("""COMPUTED_VALUE"""),2.3201465E7)</f>
        <v>23201465</v>
      </c>
      <c r="B93" s="125" t="str">
        <f>IFERROR(__xludf.DUMMYFUNCTION("""COMPUTED_VALUE"""),"Shanid Sajjatuz islam")</f>
        <v>Shanid Sajjatuz islam</v>
      </c>
      <c r="C93" s="125" t="str">
        <f>IFERROR(__xludf.DUMMYFUNCTION("""COMPUTED_VALUE"""),"General Member")</f>
        <v>General Member</v>
      </c>
      <c r="D93" s="125" t="str">
        <f>IFERROR(__xludf.DUMMYFUNCTION("""COMPUTED_VALUE"""),"Shanid.sajjatuz.islam@g.bracu.ac.bd")</f>
        <v>Shanid.sajjatuz.islam@g.bracu.ac.bd</v>
      </c>
    </row>
    <row r="94" ht="22.5" customHeight="1">
      <c r="A94" s="125">
        <f>IFERROR(__xludf.DUMMYFUNCTION("""COMPUTED_VALUE"""),2.414101E7)</f>
        <v>24141010</v>
      </c>
      <c r="B94" s="125" t="str">
        <f>IFERROR(__xludf.DUMMYFUNCTION("""COMPUTED_VALUE"""),"Ishtiaq Shahriar Rayed")</f>
        <v>Ishtiaq Shahriar Rayed</v>
      </c>
      <c r="C94" s="125" t="str">
        <f>IFERROR(__xludf.DUMMYFUNCTION("""COMPUTED_VALUE"""),"General Member")</f>
        <v>General Member</v>
      </c>
      <c r="D94" s="125" t="str">
        <f>IFERROR(__xludf.DUMMYFUNCTION("""COMPUTED_VALUE"""),"ishtiaq.shahriar.rayed@g.bracu.ac.bd")</f>
        <v>ishtiaq.shahriar.rayed@g.bracu.ac.bd</v>
      </c>
    </row>
    <row r="95" ht="22.5" customHeight="1">
      <c r="A95" s="125">
        <f>IFERROR(__xludf.DUMMYFUNCTION("""COMPUTED_VALUE"""),2.4301443E7)</f>
        <v>24301443</v>
      </c>
      <c r="B95" s="125" t="str">
        <f>IFERROR(__xludf.DUMMYFUNCTION("""COMPUTED_VALUE"""),"Talha Jubaer Khan")</f>
        <v>Talha Jubaer Khan</v>
      </c>
      <c r="C95" s="125" t="str">
        <f>IFERROR(__xludf.DUMMYFUNCTION("""COMPUTED_VALUE"""),"General Member")</f>
        <v>General Member</v>
      </c>
      <c r="D95" s="125" t="str">
        <f>IFERROR(__xludf.DUMMYFUNCTION("""COMPUTED_VALUE"""),"talha.jubaer.khan@g.bracu.ac.bd")</f>
        <v>talha.jubaer.khan@g.bracu.ac.bd</v>
      </c>
    </row>
    <row r="96" ht="22.5" customHeight="1">
      <c r="A96" s="125">
        <f>IFERROR(__xludf.DUMMYFUNCTION("""COMPUTED_VALUE"""),2.4301496E7)</f>
        <v>24301496</v>
      </c>
      <c r="B96" s="125" t="str">
        <f>IFERROR(__xludf.DUMMYFUNCTION("""COMPUTED_VALUE"""),"Ahmed Ashfaq Mahi")</f>
        <v>Ahmed Ashfaq Mahi</v>
      </c>
      <c r="C96" s="125" t="str">
        <f>IFERROR(__xludf.DUMMYFUNCTION("""COMPUTED_VALUE"""),"General Member")</f>
        <v>General Member</v>
      </c>
      <c r="D96" s="125" t="str">
        <f>IFERROR(__xludf.DUMMYFUNCTION("""COMPUTED_VALUE"""),"ahmed.ashfaq.mahi@g.bracu.ac.bd")</f>
        <v>ahmed.ashfaq.mahi@g.bracu.ac.bd</v>
      </c>
    </row>
    <row r="97" ht="22.5" customHeight="1">
      <c r="A97" s="125">
        <f>IFERROR(__xludf.DUMMYFUNCTION("""COMPUTED_VALUE"""),1.000054079E9)</f>
        <v>1000054079</v>
      </c>
      <c r="B97" s="125" t="str">
        <f>IFERROR(__xludf.DUMMYFUNCTION("""COMPUTED_VALUE"""),"Md. Abu Naif Siam")</f>
        <v>Md. Abu Naif Siam</v>
      </c>
      <c r="C97" s="125" t="str">
        <f>IFERROR(__xludf.DUMMYFUNCTION("""COMPUTED_VALUE"""),"General Member")</f>
        <v>General Member</v>
      </c>
      <c r="D97" s="125" t="str">
        <f>IFERROR(__xludf.DUMMYFUNCTION("""COMPUTED_VALUE"""),"abu.naif.siam@g.bracu.ac.bd")</f>
        <v>abu.naif.siam@g.bracu.ac.bd</v>
      </c>
    </row>
    <row r="98" ht="22.5" customHeight="1">
      <c r="A98" s="125">
        <f>IFERROR(__xludf.DUMMYFUNCTION("""COMPUTED_VALUE"""),1.000054199E9)</f>
        <v>1000054199</v>
      </c>
      <c r="B98" s="125" t="str">
        <f>IFERROR(__xludf.DUMMYFUNCTION("""COMPUTED_VALUE"""),"Jaeem Islam")</f>
        <v>Jaeem Islam</v>
      </c>
      <c r="C98" s="125" t="str">
        <f>IFERROR(__xludf.DUMMYFUNCTION("""COMPUTED_VALUE"""),"General Member")</f>
        <v>General Member</v>
      </c>
      <c r="D98" s="125" t="str">
        <f>IFERROR(__xludf.DUMMYFUNCTION("""COMPUTED_VALUE"""),"jaeem.islam@g.bracu.ac.bd")</f>
        <v>jaeem.islam@g.bracu.ac.bd</v>
      </c>
    </row>
    <row r="99" ht="22.5" customHeight="1">
      <c r="A99" s="125">
        <f>IFERROR(__xludf.DUMMYFUNCTION("""COMPUTED_VALUE"""),1.000055158E9)</f>
        <v>1000055158</v>
      </c>
      <c r="B99" s="125" t="str">
        <f>IFERROR(__xludf.DUMMYFUNCTION("""COMPUTED_VALUE"""),"Syed Farjad Arefeen")</f>
        <v>Syed Farjad Arefeen</v>
      </c>
      <c r="C99" s="125" t="str">
        <f>IFERROR(__xludf.DUMMYFUNCTION("""COMPUTED_VALUE"""),"General Member")</f>
        <v>General Member</v>
      </c>
      <c r="D99" s="125" t="str">
        <f>IFERROR(__xludf.DUMMYFUNCTION("""COMPUTED_VALUE"""),"syed.farjad.arefeen@g.bracu.ac.bd")</f>
        <v>syed.farjad.arefeen@g.bracu.ac.bd</v>
      </c>
    </row>
    <row r="100" ht="22.5" customHeight="1">
      <c r="A100" s="125">
        <f>IFERROR(__xludf.DUMMYFUNCTION("""COMPUTED_VALUE"""),1.000055225E9)</f>
        <v>1000055225</v>
      </c>
      <c r="B100" s="125" t="str">
        <f>IFERROR(__xludf.DUMMYFUNCTION("""COMPUTED_VALUE"""),"Rezuanul Hoque Siddike")</f>
        <v>Rezuanul Hoque Siddike</v>
      </c>
      <c r="C100" s="125" t="str">
        <f>IFERROR(__xludf.DUMMYFUNCTION("""COMPUTED_VALUE"""),"General Member")</f>
        <v>General Member</v>
      </c>
      <c r="D100" s="125" t="str">
        <f>IFERROR(__xludf.DUMMYFUNCTION("""COMPUTED_VALUE"""),"rezuanul.hoque.siddike@g.bracu.ac.bd")</f>
        <v>rezuanul.hoque.siddike@g.bracu.ac.bd</v>
      </c>
    </row>
    <row r="101" ht="22.5" customHeight="1">
      <c r="A101" s="125">
        <f>IFERROR(__xludf.DUMMYFUNCTION("""COMPUTED_VALUE"""),1.000055639E9)</f>
        <v>1000055639</v>
      </c>
      <c r="B101" s="125" t="str">
        <f>IFERROR(__xludf.DUMMYFUNCTION("""COMPUTED_VALUE"""),"Md. Tamzid Ahsan")</f>
        <v>Md. Tamzid Ahsan</v>
      </c>
      <c r="C101" s="125" t="str">
        <f>IFERROR(__xludf.DUMMYFUNCTION("""COMPUTED_VALUE"""),"General Member")</f>
        <v>General Member</v>
      </c>
      <c r="D101" s="125" t="str">
        <f>IFERROR(__xludf.DUMMYFUNCTION("""COMPUTED_VALUE"""),"tamzid@g.bracu.ac.bd")</f>
        <v>tamzid@g.bracu.ac.bd</v>
      </c>
    </row>
    <row r="102" ht="22.5" customHeight="1">
      <c r="A102" s="125">
        <f>IFERROR(__xludf.DUMMYFUNCTION("""COMPUTED_VALUE"""),1.000055775E9)</f>
        <v>1000055775</v>
      </c>
      <c r="B102" s="125" t="str">
        <f>IFERROR(__xludf.DUMMYFUNCTION("""COMPUTED_VALUE"""),"S M Sadat Anam Pahlowan")</f>
        <v>S M Sadat Anam Pahlowan</v>
      </c>
      <c r="C102" s="125" t="str">
        <f>IFERROR(__xludf.DUMMYFUNCTION("""COMPUTED_VALUE"""),"General Member")</f>
        <v>General Member</v>
      </c>
      <c r="D102" s="125" t="str">
        <f>IFERROR(__xludf.DUMMYFUNCTION("""COMPUTED_VALUE"""),"sadat.anam.pahlowan@g.bracu.ac.bd")</f>
        <v>sadat.anam.pahlowan@g.bracu.ac.bd</v>
      </c>
    </row>
    <row r="103" ht="22.5" customHeight="1">
      <c r="A103" s="125">
        <f>IFERROR(__xludf.DUMMYFUNCTION("""COMPUTED_VALUE"""),1.00005617E9)</f>
        <v>1000056170</v>
      </c>
      <c r="B103" s="125" t="str">
        <f>IFERROR(__xludf.DUMMYFUNCTION("""COMPUTED_VALUE"""),"Zarin Tasnim")</f>
        <v>Zarin Tasnim</v>
      </c>
      <c r="C103" s="125" t="str">
        <f>IFERROR(__xludf.DUMMYFUNCTION("""COMPUTED_VALUE"""),"General Member")</f>
        <v>General Member</v>
      </c>
      <c r="D103" s="125" t="str">
        <f>IFERROR(__xludf.DUMMYFUNCTION("""COMPUTED_VALUE"""),"zarin.tasnim42@g.bracu.ac.bd")</f>
        <v>zarin.tasnim42@g.bracu.ac.bd</v>
      </c>
    </row>
    <row r="104" ht="22.5" customHeight="1">
      <c r="A104" s="125">
        <f>IFERROR(__xludf.DUMMYFUNCTION("""COMPUTED_VALUE"""),1.000057088E9)</f>
        <v>1000057088</v>
      </c>
      <c r="B104" s="125" t="str">
        <f>IFERROR(__xludf.DUMMYFUNCTION("""COMPUTED_VALUE"""),"Anamika Khan Moshi")</f>
        <v>Anamika Khan Moshi</v>
      </c>
      <c r="C104" s="125" t="str">
        <f>IFERROR(__xludf.DUMMYFUNCTION("""COMPUTED_VALUE"""),"General Member")</f>
        <v>General Member</v>
      </c>
      <c r="D104" s="125" t="str">
        <f>IFERROR(__xludf.DUMMYFUNCTION("""COMPUTED_VALUE"""),"anamika.khan.moshi@g.bracu.ac.bd")</f>
        <v>anamika.khan.moshi@g.bracu.ac.bd</v>
      </c>
    </row>
    <row r="105" ht="22.5" customHeight="1">
      <c r="A105" s="125">
        <f>IFERROR(__xludf.DUMMYFUNCTION("""COMPUTED_VALUE"""),1.000057216E9)</f>
        <v>1000057216</v>
      </c>
      <c r="B105" s="125" t="str">
        <f>IFERROR(__xludf.DUMMYFUNCTION("""COMPUTED_VALUE"""),"Md. Washikur Rahman")</f>
        <v>Md. Washikur Rahman</v>
      </c>
      <c r="C105" s="125" t="str">
        <f>IFERROR(__xludf.DUMMYFUNCTION("""COMPUTED_VALUE"""),"General Member")</f>
        <v>General Member</v>
      </c>
      <c r="D105" s="125" t="str">
        <f>IFERROR(__xludf.DUMMYFUNCTION("""COMPUTED_VALUE"""),"md.washikur.rahman@g.bracu.ac.bd")</f>
        <v>md.washikur.rahman@g.bracu.ac.bd</v>
      </c>
    </row>
    <row r="106" ht="22.5" customHeight="1">
      <c r="A106" s="125">
        <f>IFERROR(__xludf.DUMMYFUNCTION("""COMPUTED_VALUE"""),2.320105E7)</f>
        <v>23201050</v>
      </c>
      <c r="B106" s="125" t="str">
        <f>IFERROR(__xludf.DUMMYFUNCTION("""COMPUTED_VALUE"""),"Mumtahina Mahbub Chowdhury")</f>
        <v>Mumtahina Mahbub Chowdhury</v>
      </c>
      <c r="C106" s="125" t="str">
        <f>IFERROR(__xludf.DUMMYFUNCTION("""COMPUTED_VALUE"""),"General Member")</f>
        <v>General Member</v>
      </c>
      <c r="D106" s="125" t="str">
        <f>IFERROR(__xludf.DUMMYFUNCTION("""COMPUTED_VALUE"""),"mumtahina.mahbub.chowdhury@g.bracu.ac.bd")</f>
        <v>mumtahina.mahbub.chowdhury@g.bracu.ac.bd</v>
      </c>
    </row>
    <row r="107" ht="22.5" customHeight="1">
      <c r="A107" s="125">
        <f>IFERROR(__xludf.DUMMYFUNCTION("""COMPUTED_VALUE"""),2.4201287E7)</f>
        <v>24201287</v>
      </c>
      <c r="B107" s="125" t="str">
        <f>IFERROR(__xludf.DUMMYFUNCTION("""COMPUTED_VALUE"""),"Tasnia Binte Mustafiz")</f>
        <v>Tasnia Binte Mustafiz</v>
      </c>
      <c r="C107" s="125" t="str">
        <f>IFERROR(__xludf.DUMMYFUNCTION("""COMPUTED_VALUE"""),"General Member")</f>
        <v>General Member</v>
      </c>
      <c r="D107" s="125" t="str">
        <f>IFERROR(__xludf.DUMMYFUNCTION("""COMPUTED_VALUE"""),"tasnia.binte.mustafiz@g.bracu.ac.bd")</f>
        <v>tasnia.binte.mustafiz@g.bracu.ac.bd</v>
      </c>
    </row>
    <row r="108" ht="22.5" customHeight="1">
      <c r="A108" s="125">
        <f>IFERROR(__xludf.DUMMYFUNCTION("""COMPUTED_VALUE"""),1.000058038E9)</f>
        <v>1000058038</v>
      </c>
      <c r="B108" s="125" t="str">
        <f>IFERROR(__xludf.DUMMYFUNCTION("""COMPUTED_VALUE"""),"Mohammad Rafiul Hasan")</f>
        <v>Mohammad Rafiul Hasan</v>
      </c>
      <c r="C108" s="125" t="str">
        <f>IFERROR(__xludf.DUMMYFUNCTION("""COMPUTED_VALUE"""),"General Member")</f>
        <v>General Member</v>
      </c>
      <c r="D108" s="125" t="str">
        <f>IFERROR(__xludf.DUMMYFUNCTION("""COMPUTED_VALUE"""),"mohammad.rafiul.hasan@g.bracu.ac.bd")</f>
        <v>mohammad.rafiul.hasan@g.bracu.ac.bd</v>
      </c>
    </row>
    <row r="109" ht="22.5" customHeight="1">
      <c r="A109" s="125">
        <f>IFERROR(__xludf.DUMMYFUNCTION("""COMPUTED_VALUE"""),1.000057618E9)</f>
        <v>1000057618</v>
      </c>
      <c r="B109" s="125" t="str">
        <f>IFERROR(__xludf.DUMMYFUNCTION("""COMPUTED_VALUE"""),"Shajed Mohiuddin")</f>
        <v>Shajed Mohiuddin</v>
      </c>
      <c r="C109" s="125" t="str">
        <f>IFERROR(__xludf.DUMMYFUNCTION("""COMPUTED_VALUE"""),"General Member")</f>
        <v>General Member</v>
      </c>
      <c r="D109" s="125" t="str">
        <f>IFERROR(__xludf.DUMMYFUNCTION("""COMPUTED_VALUE"""),"shajed.mohiuddin@g.bracu.ac.bd")</f>
        <v>shajed.mohiuddin@g.bracu.ac.bd</v>
      </c>
    </row>
    <row r="110" ht="22.5" customHeight="1">
      <c r="A110" s="125">
        <f>IFERROR(__xludf.DUMMYFUNCTION("""COMPUTED_VALUE"""),1.000055698E9)</f>
        <v>1000055698</v>
      </c>
      <c r="B110" s="125" t="str">
        <f>IFERROR(__xludf.DUMMYFUNCTION("""COMPUTED_VALUE"""),"Tafhim Mohammad Safwan")</f>
        <v>Tafhim Mohammad Safwan</v>
      </c>
      <c r="C110" s="125" t="str">
        <f>IFERROR(__xludf.DUMMYFUNCTION("""COMPUTED_VALUE"""),"General Member")</f>
        <v>General Member</v>
      </c>
      <c r="D110" s="125" t="str">
        <f>IFERROR(__xludf.DUMMYFUNCTION("""COMPUTED_VALUE"""),"tafhim.mohammad.safwan@g.bracu.ac.bd")</f>
        <v>tafhim.mohammad.safwan@g.bracu.ac.bd</v>
      </c>
    </row>
    <row r="111" ht="22.5" customHeight="1">
      <c r="A111" s="125">
        <f>IFERROR(__xludf.DUMMYFUNCTION("""COMPUTED_VALUE"""),1.000058859E9)</f>
        <v>1000058859</v>
      </c>
      <c r="B111" s="125" t="str">
        <f>IFERROR(__xludf.DUMMYFUNCTION("""COMPUTED_VALUE"""),"Md. Abu Rezoan Simanto")</f>
        <v>Md. Abu Rezoan Simanto</v>
      </c>
      <c r="C111" s="125" t="str">
        <f>IFERROR(__xludf.DUMMYFUNCTION("""COMPUTED_VALUE"""),"General Member")</f>
        <v>General Member</v>
      </c>
      <c r="D111" s="125" t="str">
        <f>IFERROR(__xludf.DUMMYFUNCTION("""COMPUTED_VALUE"""),"abu.rezoan.simanto@g.bracu.ac.bd")</f>
        <v>abu.rezoan.simanto@g.bracu.ac.bd</v>
      </c>
    </row>
    <row r="112" ht="22.5" customHeight="1">
      <c r="A112" s="125">
        <f>IFERROR(__xludf.DUMMYFUNCTION("""COMPUTED_VALUE"""),1.000057567E9)</f>
        <v>1000057567</v>
      </c>
      <c r="B112" s="125" t="str">
        <f>IFERROR(__xludf.DUMMYFUNCTION("""COMPUTED_VALUE"""),"Aziz Abdullah")</f>
        <v>Aziz Abdullah</v>
      </c>
      <c r="C112" s="125" t="str">
        <f>IFERROR(__xludf.DUMMYFUNCTION("""COMPUTED_VALUE"""),"General Member")</f>
        <v>General Member</v>
      </c>
      <c r="D112" s="125" t="str">
        <f>IFERROR(__xludf.DUMMYFUNCTION("""COMPUTED_VALUE"""),"aziz.abdullah@g.bracu.ac.bd")</f>
        <v>aziz.abdullah@g.bracu.ac.bd</v>
      </c>
    </row>
    <row r="113" ht="22.5" customHeight="1">
      <c r="A113" s="125">
        <f>IFERROR(__xludf.DUMMYFUNCTION("""COMPUTED_VALUE"""),2.4301012E7)</f>
        <v>24301012</v>
      </c>
      <c r="B113" s="125" t="str">
        <f>IFERROR(__xludf.DUMMYFUNCTION("""COMPUTED_VALUE"""),"Jareen Samiha Karim")</f>
        <v>Jareen Samiha Karim</v>
      </c>
      <c r="C113" s="125" t="str">
        <f>IFERROR(__xludf.DUMMYFUNCTION("""COMPUTED_VALUE"""),"General Member")</f>
        <v>General Member</v>
      </c>
      <c r="D113" s="125" t="str">
        <f>IFERROR(__xludf.DUMMYFUNCTION("""COMPUTED_VALUE"""),"jareen.samiha.karim@g.bracu.ac.bd")</f>
        <v>jareen.samiha.karim@g.bracu.ac.bd</v>
      </c>
    </row>
    <row r="114" ht="22.5" customHeight="1">
      <c r="A114" s="125">
        <f>IFERROR(__xludf.DUMMYFUNCTION("""COMPUTED_VALUE"""),1.000055781E9)</f>
        <v>1000055781</v>
      </c>
      <c r="B114" s="125" t="str">
        <f>IFERROR(__xludf.DUMMYFUNCTION("""COMPUTED_VALUE"""),"Ifraj Ahmed")</f>
        <v>Ifraj Ahmed</v>
      </c>
      <c r="C114" s="125" t="str">
        <f>IFERROR(__xludf.DUMMYFUNCTION("""COMPUTED_VALUE"""),"General Member")</f>
        <v>General Member</v>
      </c>
      <c r="D114" s="125" t="str">
        <f>IFERROR(__xludf.DUMMYFUNCTION("""COMPUTED_VALUE"""),"ifraj.ahmed@g.bracu.ac.bd")</f>
        <v>ifraj.ahmed@g.bracu.ac.bd</v>
      </c>
    </row>
    <row r="115" ht="22.5" customHeight="1">
      <c r="A115" s="125">
        <f>IFERROR(__xludf.DUMMYFUNCTION("""COMPUTED_VALUE"""),2.4201361E7)</f>
        <v>24201361</v>
      </c>
      <c r="B115" s="125" t="str">
        <f>IFERROR(__xludf.DUMMYFUNCTION("""COMPUTED_VALUE"""),"Raiyan Ibne Mehraj")</f>
        <v>Raiyan Ibne Mehraj</v>
      </c>
      <c r="C115" s="125" t="str">
        <f>IFERROR(__xludf.DUMMYFUNCTION("""COMPUTED_VALUE"""),"General Member")</f>
        <v>General Member</v>
      </c>
      <c r="D115" s="125" t="str">
        <f>IFERROR(__xludf.DUMMYFUNCTION("""COMPUTED_VALUE"""),"raiyan.ibne.mehraj@g.bracu.ac.bd")</f>
        <v>raiyan.ibne.mehraj@g.bracu.ac.bd</v>
      </c>
    </row>
    <row r="116" ht="22.5" customHeight="1">
      <c r="A116" s="125">
        <f>IFERROR(__xludf.DUMMYFUNCTION("""COMPUTED_VALUE"""),2.4321237E7)</f>
        <v>24321237</v>
      </c>
      <c r="B116" s="125" t="str">
        <f>IFERROR(__xludf.DUMMYFUNCTION("""COMPUTED_VALUE"""),"Abdullah Al Abir Shafin")</f>
        <v>Abdullah Al Abir Shafin</v>
      </c>
      <c r="C116" s="125" t="str">
        <f>IFERROR(__xludf.DUMMYFUNCTION("""COMPUTED_VALUE"""),"General Member")</f>
        <v>General Member</v>
      </c>
      <c r="D116" s="125" t="str">
        <f>IFERROR(__xludf.DUMMYFUNCTION("""COMPUTED_VALUE"""),"abdullah.al.abirshafin@g.bracu.ac.bd")</f>
        <v>abdullah.al.abirshafin@g.bracu.ac.bd</v>
      </c>
    </row>
    <row r="117" ht="22.5" customHeight="1">
      <c r="A117" s="125">
        <f>IFERROR(__xludf.DUMMYFUNCTION("""COMPUTED_VALUE"""),1.0000578E9)</f>
        <v>1000057800</v>
      </c>
      <c r="B117" s="125" t="str">
        <f>IFERROR(__xludf.DUMMYFUNCTION("""COMPUTED_VALUE"""),"Maliha Ferdaws")</f>
        <v>Maliha Ferdaws</v>
      </c>
      <c r="C117" s="125" t="str">
        <f>IFERROR(__xludf.DUMMYFUNCTION("""COMPUTED_VALUE"""),"General Member")</f>
        <v>General Member</v>
      </c>
      <c r="D117" s="125" t="str">
        <f>IFERROR(__xludf.DUMMYFUNCTION("""COMPUTED_VALUE"""),"maliha.ferdaws@g.bracu.ac.bd")</f>
        <v>maliha.ferdaws@g.bracu.ac.bd</v>
      </c>
    </row>
    <row r="118" ht="22.5" customHeight="1">
      <c r="A118" s="125">
        <f>IFERROR(__xludf.DUMMYFUNCTION("""COMPUTED_VALUE"""),2.4141013E7)</f>
        <v>24141013</v>
      </c>
      <c r="B118" s="125" t="str">
        <f>IFERROR(__xludf.DUMMYFUNCTION("""COMPUTED_VALUE"""),"Muhammad Ibrahim")</f>
        <v>Muhammad Ibrahim</v>
      </c>
      <c r="C118" s="125" t="str">
        <f>IFERROR(__xludf.DUMMYFUNCTION("""COMPUTED_VALUE"""),"General Member")</f>
        <v>General Member</v>
      </c>
      <c r="D118" s="125" t="str">
        <f>IFERROR(__xludf.DUMMYFUNCTION("""COMPUTED_VALUE"""),"muhammad.ibrahim@g.bracu.ac.bd")</f>
        <v>muhammad.ibrahim@g.bracu.ac.bd</v>
      </c>
    </row>
    <row r="119" ht="22.5" customHeight="1">
      <c r="A119" s="125">
        <f>IFERROR(__xludf.DUMMYFUNCTION("""COMPUTED_VALUE"""),1.000059675E9)</f>
        <v>1000059675</v>
      </c>
      <c r="B119" s="125" t="str">
        <f>IFERROR(__xludf.DUMMYFUNCTION("""COMPUTED_VALUE"""),"Shariar Mahmud Oni")</f>
        <v>Shariar Mahmud Oni</v>
      </c>
      <c r="C119" s="125" t="str">
        <f>IFERROR(__xludf.DUMMYFUNCTION("""COMPUTED_VALUE"""),"General Member")</f>
        <v>General Member</v>
      </c>
      <c r="D119" s="125" t="str">
        <f>IFERROR(__xludf.DUMMYFUNCTION("""COMPUTED_VALUE"""),"shariar.mahmud.oni@g.bracu.ac.bd")</f>
        <v>shariar.mahmud.oni@g.bracu.ac.bd</v>
      </c>
    </row>
    <row r="120" ht="22.5" customHeight="1">
      <c r="A120" s="125">
        <f>IFERROR(__xludf.DUMMYFUNCTION("""COMPUTED_VALUE"""),1.000057599E9)</f>
        <v>1000057599</v>
      </c>
      <c r="B120" s="125" t="str">
        <f>IFERROR(__xludf.DUMMYFUNCTION("""COMPUTED_VALUE"""),"Saleh Mahmud Shahriar")</f>
        <v>Saleh Mahmud Shahriar</v>
      </c>
      <c r="C120" s="125" t="str">
        <f>IFERROR(__xludf.DUMMYFUNCTION("""COMPUTED_VALUE"""),"General Member")</f>
        <v>General Member</v>
      </c>
      <c r="D120" s="125" t="str">
        <f>IFERROR(__xludf.DUMMYFUNCTION("""COMPUTED_VALUE"""),"saleh.mahmud.shahriar@g.bracu.ac.bd")</f>
        <v>saleh.mahmud.shahriar@g.bracu.ac.bd</v>
      </c>
    </row>
    <row r="121" ht="22.5" customHeight="1">
      <c r="A121" s="125">
        <f>IFERROR(__xludf.DUMMYFUNCTION("""COMPUTED_VALUE"""),1.000058773E9)</f>
        <v>1000058773</v>
      </c>
      <c r="B121" s="125" t="str">
        <f>IFERROR(__xludf.DUMMYFUNCTION("""COMPUTED_VALUE"""),"MOHAMMAD ISMAIL ARAFAT")</f>
        <v>MOHAMMAD ISMAIL ARAFAT</v>
      </c>
      <c r="C121" s="125" t="str">
        <f>IFERROR(__xludf.DUMMYFUNCTION("""COMPUTED_VALUE"""),"General Member")</f>
        <v>General Member</v>
      </c>
      <c r="D121" s="125" t="str">
        <f>IFERROR(__xludf.DUMMYFUNCTION("""COMPUTED_VALUE"""),"mohammad.ismail.arafat@g.bracu.ac.bd")</f>
        <v>mohammad.ismail.arafat@g.bracu.ac.bd</v>
      </c>
    </row>
    <row r="122" ht="22.5" customHeight="1">
      <c r="A122" s="125">
        <f>IFERROR(__xludf.DUMMYFUNCTION("""COMPUTED_VALUE"""),1.000059497E9)</f>
        <v>1000059497</v>
      </c>
      <c r="B122" s="125" t="str">
        <f>IFERROR(__xludf.DUMMYFUNCTION("""COMPUTED_VALUE"""),"Anisur Rahman Ovi")</f>
        <v>Anisur Rahman Ovi</v>
      </c>
      <c r="C122" s="125" t="str">
        <f>IFERROR(__xludf.DUMMYFUNCTION("""COMPUTED_VALUE"""),"General Member")</f>
        <v>General Member</v>
      </c>
      <c r="D122" s="125" t="str">
        <f>IFERROR(__xludf.DUMMYFUNCTION("""COMPUTED_VALUE"""),"anisur.rahman.ovi@g.bracu.ac.bd")</f>
        <v>anisur.rahman.ovi@g.bracu.ac.bd</v>
      </c>
    </row>
    <row r="123" ht="22.5" customHeight="1">
      <c r="A123" s="125">
        <f>IFERROR(__xludf.DUMMYFUNCTION("""COMPUTED_VALUE"""),2.4201016E7)</f>
        <v>24201016</v>
      </c>
      <c r="B123" s="125" t="str">
        <f>IFERROR(__xludf.DUMMYFUNCTION("""COMPUTED_VALUE"""),"Anjum Jahan")</f>
        <v>Anjum Jahan</v>
      </c>
      <c r="C123" s="125" t="str">
        <f>IFERROR(__xludf.DUMMYFUNCTION("""COMPUTED_VALUE"""),"General Member")</f>
        <v>General Member</v>
      </c>
      <c r="D123" s="125" t="str">
        <f>IFERROR(__xludf.DUMMYFUNCTION("""COMPUTED_VALUE"""),"anjum.jahan@g.bracu.ac.bd")</f>
        <v>anjum.jahan@g.bracu.ac.bd</v>
      </c>
    </row>
    <row r="124" ht="22.5" customHeight="1">
      <c r="A124" s="125">
        <f>IFERROR(__xludf.DUMMYFUNCTION("""COMPUTED_VALUE"""),2.4321211E7)</f>
        <v>24321211</v>
      </c>
      <c r="B124" s="125" t="str">
        <f>IFERROR(__xludf.DUMMYFUNCTION("""COMPUTED_VALUE"""),"A.S.M. Raj Uddin")</f>
        <v>A.S.M. Raj Uddin</v>
      </c>
      <c r="C124" s="125" t="str">
        <f>IFERROR(__xludf.DUMMYFUNCTION("""COMPUTED_VALUE"""),"General Member")</f>
        <v>General Member</v>
      </c>
      <c r="D124" s="125" t="str">
        <f>IFERROR(__xludf.DUMMYFUNCTION("""COMPUTED_VALUE"""),"asm.raj.uddin@g.bracu.ac.bd")</f>
        <v>asm.raj.uddin@g.bracu.ac.bd</v>
      </c>
    </row>
    <row r="125" ht="22.5" customHeight="1">
      <c r="A125" s="125">
        <f>IFERROR(__xludf.DUMMYFUNCTION("""COMPUTED_VALUE"""),1.000055244E9)</f>
        <v>1000055244</v>
      </c>
      <c r="B125" s="125" t="str">
        <f>IFERROR(__xludf.DUMMYFUNCTION("""COMPUTED_VALUE"""),"Md Nayan Parvej")</f>
        <v>Md Nayan Parvej</v>
      </c>
      <c r="C125" s="125" t="str">
        <f>IFERROR(__xludf.DUMMYFUNCTION("""COMPUTED_VALUE"""),"General Member")</f>
        <v>General Member</v>
      </c>
      <c r="D125" s="125" t="str">
        <f>IFERROR(__xludf.DUMMYFUNCTION("""COMPUTED_VALUE"""),"nayan.parvej@g.bracu.ac.bd")</f>
        <v>nayan.parvej@g.bracu.ac.bd</v>
      </c>
    </row>
    <row r="126" ht="22.5" customHeight="1">
      <c r="A126" s="125">
        <f>IFERROR(__xludf.DUMMYFUNCTION("""COMPUTED_VALUE"""),1.000060257E9)</f>
        <v>1000060257</v>
      </c>
      <c r="B126" s="125" t="str">
        <f>IFERROR(__xludf.DUMMYFUNCTION("""COMPUTED_VALUE"""),"Akkhor Dash Aditya")</f>
        <v>Akkhor Dash Aditya</v>
      </c>
      <c r="C126" s="125" t="str">
        <f>IFERROR(__xludf.DUMMYFUNCTION("""COMPUTED_VALUE"""),"General Member")</f>
        <v>General Member</v>
      </c>
      <c r="D126" s="125" t="str">
        <f>IFERROR(__xludf.DUMMYFUNCTION("""COMPUTED_VALUE"""),"akkhor.dash@g.bracu.ac.bd")</f>
        <v>akkhor.dash@g.bracu.ac.bd</v>
      </c>
    </row>
    <row r="127" ht="22.5" customHeight="1">
      <c r="A127" s="125">
        <f>IFERROR(__xludf.DUMMYFUNCTION("""COMPUTED_VALUE"""),1.000054114E9)</f>
        <v>1000054114</v>
      </c>
      <c r="B127" s="125" t="str">
        <f>IFERROR(__xludf.DUMMYFUNCTION("""COMPUTED_VALUE"""),"Noor Mohammed Taief")</f>
        <v>Noor Mohammed Taief</v>
      </c>
      <c r="C127" s="125" t="str">
        <f>IFERROR(__xludf.DUMMYFUNCTION("""COMPUTED_VALUE"""),"General Member")</f>
        <v>General Member</v>
      </c>
      <c r="D127" s="125" t="str">
        <f>IFERROR(__xludf.DUMMYFUNCTION("""COMPUTED_VALUE"""),"noor.mohammed.taief@g.bracu.ac.bd")</f>
        <v>noor.mohammed.taief@g.bracu.ac.bd</v>
      </c>
    </row>
    <row r="128" ht="22.5" customHeight="1">
      <c r="A128" s="125">
        <f>IFERROR(__xludf.DUMMYFUNCTION("""COMPUTED_VALUE"""),2.4301213E7)</f>
        <v>24301213</v>
      </c>
      <c r="B128" s="125" t="str">
        <f>IFERROR(__xludf.DUMMYFUNCTION("""COMPUTED_VALUE"""),"Mohd. Tirtho Rahman")</f>
        <v>Mohd. Tirtho Rahman</v>
      </c>
      <c r="C128" s="125" t="str">
        <f>IFERROR(__xludf.DUMMYFUNCTION("""COMPUTED_VALUE"""),"General Member")</f>
        <v>General Member</v>
      </c>
      <c r="D128" s="125" t="str">
        <f>IFERROR(__xludf.DUMMYFUNCTION("""COMPUTED_VALUE"""),"mohd.tirtho.rahman@g.bracu.ac.bd")</f>
        <v>mohd.tirtho.rahman@g.bracu.ac.bd</v>
      </c>
    </row>
    <row r="129" ht="22.5" customHeight="1">
      <c r="A129" s="125">
        <f>IFERROR(__xludf.DUMMYFUNCTION("""COMPUTED_VALUE"""),2.4301109E7)</f>
        <v>24301109</v>
      </c>
      <c r="B129" s="125" t="str">
        <f>IFERROR(__xludf.DUMMYFUNCTION("""COMPUTED_VALUE"""),"Ahlam Binte Ahmed")</f>
        <v>Ahlam Binte Ahmed</v>
      </c>
      <c r="C129" s="125" t="str">
        <f>IFERROR(__xludf.DUMMYFUNCTION("""COMPUTED_VALUE"""),"General Member")</f>
        <v>General Member</v>
      </c>
      <c r="D129" s="125" t="str">
        <f>IFERROR(__xludf.DUMMYFUNCTION("""COMPUTED_VALUE"""),"ahlam.binte.ahmed@g.bracu.ac.bd")</f>
        <v>ahlam.binte.ahmed@g.bracu.ac.bd</v>
      </c>
    </row>
    <row r="130" ht="22.5" customHeight="1">
      <c r="A130" s="125">
        <f>IFERROR(__xludf.DUMMYFUNCTION("""COMPUTED_VALUE"""),1.000054825E9)</f>
        <v>1000054825</v>
      </c>
      <c r="B130" s="125" t="str">
        <f>IFERROR(__xludf.DUMMYFUNCTION("""COMPUTED_VALUE"""),"K.M Mahir Labib")</f>
        <v>K.M Mahir Labib</v>
      </c>
      <c r="C130" s="125" t="str">
        <f>IFERROR(__xludf.DUMMYFUNCTION("""COMPUTED_VALUE"""),"General Member")</f>
        <v>General Member</v>
      </c>
      <c r="D130" s="125" t="str">
        <f>IFERROR(__xludf.DUMMYFUNCTION("""COMPUTED_VALUE"""),"km.mahir.labib@g.bracu.ac.bd")</f>
        <v>km.mahir.labib@g.bracu.ac.bd</v>
      </c>
    </row>
    <row r="131" ht="22.5" customHeight="1">
      <c r="A131" s="125"/>
      <c r="B131" s="125"/>
      <c r="C131" s="125"/>
      <c r="D131" s="125"/>
    </row>
    <row r="132" ht="22.5" customHeight="1">
      <c r="A132" s="125"/>
      <c r="B132" s="125"/>
      <c r="C132" s="125"/>
      <c r="D132" s="125"/>
    </row>
    <row r="133" ht="22.5" customHeight="1">
      <c r="A133" s="125"/>
      <c r="B133" s="125"/>
      <c r="C133" s="125"/>
      <c r="D133" s="125"/>
    </row>
    <row r="134" ht="22.5" customHeight="1">
      <c r="A134" s="125"/>
      <c r="B134" s="125"/>
      <c r="C134" s="125"/>
      <c r="D134" s="125"/>
    </row>
    <row r="135" ht="22.5" customHeight="1">
      <c r="A135" s="125"/>
      <c r="B135" s="125"/>
      <c r="C135" s="125"/>
      <c r="D135" s="125"/>
    </row>
    <row r="136" ht="22.5" customHeight="1">
      <c r="A136" s="125"/>
      <c r="B136" s="125"/>
      <c r="C136" s="125"/>
      <c r="D136" s="125"/>
    </row>
    <row r="137" ht="22.5" customHeight="1">
      <c r="A137" s="125"/>
      <c r="B137" s="125"/>
      <c r="C137" s="125"/>
      <c r="D137" s="125"/>
    </row>
    <row r="138" ht="22.5" customHeight="1">
      <c r="A138" s="125"/>
      <c r="B138" s="125"/>
      <c r="C138" s="125"/>
      <c r="D138" s="125"/>
    </row>
    <row r="139" ht="22.5" customHeight="1">
      <c r="A139" s="125"/>
      <c r="B139" s="125"/>
      <c r="C139" s="125"/>
      <c r="D139" s="125"/>
    </row>
    <row r="140" ht="22.5" customHeight="1">
      <c r="A140" s="125"/>
      <c r="B140" s="125"/>
      <c r="C140" s="125"/>
      <c r="D140" s="125"/>
    </row>
    <row r="141" ht="22.5" customHeight="1">
      <c r="A141" s="125"/>
      <c r="B141" s="125"/>
      <c r="C141" s="125"/>
      <c r="D141" s="125"/>
    </row>
    <row r="142" ht="22.5" customHeight="1">
      <c r="A142" s="125"/>
      <c r="B142" s="125"/>
      <c r="C142" s="125"/>
      <c r="D142" s="125"/>
    </row>
    <row r="143" ht="22.5" customHeight="1">
      <c r="A143" s="125"/>
      <c r="B143" s="125"/>
      <c r="C143" s="125"/>
      <c r="D143" s="125"/>
    </row>
    <row r="144" ht="22.5" customHeight="1">
      <c r="A144" s="125"/>
      <c r="B144" s="125"/>
      <c r="C144" s="125"/>
      <c r="D144" s="125"/>
    </row>
    <row r="145" ht="22.5" customHeight="1">
      <c r="A145" s="125"/>
      <c r="B145" s="125"/>
      <c r="C145" s="125"/>
      <c r="D145" s="125"/>
    </row>
    <row r="146" ht="22.5" customHeight="1">
      <c r="A146" s="125"/>
      <c r="B146" s="125"/>
      <c r="C146" s="125"/>
      <c r="D146" s="125"/>
    </row>
    <row r="147" ht="22.5" customHeight="1">
      <c r="A147" s="125"/>
      <c r="B147" s="125"/>
      <c r="C147" s="125"/>
      <c r="D147" s="125"/>
    </row>
    <row r="148" ht="22.5" customHeight="1">
      <c r="A148" s="125"/>
      <c r="B148" s="125"/>
      <c r="C148" s="125"/>
      <c r="D148" s="125"/>
    </row>
    <row r="149" ht="22.5" customHeight="1">
      <c r="A149" s="125"/>
      <c r="B149" s="125"/>
      <c r="C149" s="125"/>
      <c r="D149" s="125"/>
    </row>
    <row r="150" ht="22.5" customHeight="1">
      <c r="A150" s="125"/>
      <c r="B150" s="125"/>
      <c r="C150" s="125"/>
      <c r="D150" s="125"/>
    </row>
    <row r="151" ht="22.5" customHeight="1">
      <c r="A151" s="125"/>
      <c r="B151" s="125"/>
      <c r="C151" s="125"/>
      <c r="D151" s="125"/>
    </row>
    <row r="152" ht="22.5" customHeight="1">
      <c r="A152" s="125"/>
      <c r="B152" s="125"/>
      <c r="C152" s="125"/>
      <c r="D152" s="125"/>
    </row>
    <row r="153" ht="22.5" customHeight="1">
      <c r="A153" s="125"/>
      <c r="B153" s="125"/>
      <c r="C153" s="125"/>
      <c r="D153" s="125"/>
    </row>
    <row r="154" ht="22.5" customHeight="1">
      <c r="A154" s="125"/>
      <c r="B154" s="125"/>
      <c r="C154" s="125"/>
      <c r="D154" s="125"/>
    </row>
    <row r="155" ht="22.5" customHeight="1">
      <c r="A155" s="125"/>
      <c r="B155" s="125"/>
      <c r="C155" s="125"/>
      <c r="D155" s="125"/>
    </row>
    <row r="156" ht="22.5" customHeight="1">
      <c r="A156" s="125"/>
      <c r="B156" s="125"/>
      <c r="C156" s="125"/>
      <c r="D156" s="125"/>
    </row>
    <row r="157" ht="22.5" customHeight="1">
      <c r="A157" s="125"/>
      <c r="B157" s="125"/>
      <c r="C157" s="125"/>
      <c r="D157" s="125"/>
    </row>
    <row r="158" ht="22.5" customHeight="1">
      <c r="A158" s="125"/>
      <c r="B158" s="125"/>
      <c r="C158" s="125"/>
      <c r="D158" s="125"/>
    </row>
    <row r="159" ht="22.5" customHeight="1">
      <c r="A159" s="125"/>
      <c r="B159" s="125"/>
      <c r="C159" s="125"/>
      <c r="D159" s="125"/>
    </row>
    <row r="160" ht="22.5" customHeight="1">
      <c r="A160" s="125"/>
      <c r="B160" s="125"/>
      <c r="C160" s="125"/>
      <c r="D160" s="125"/>
    </row>
    <row r="161" ht="22.5" customHeight="1">
      <c r="A161" s="125"/>
      <c r="B161" s="125"/>
      <c r="C161" s="125"/>
      <c r="D161" s="125"/>
    </row>
    <row r="162" ht="22.5" customHeight="1">
      <c r="A162" s="125"/>
      <c r="B162" s="125"/>
      <c r="C162" s="125"/>
      <c r="D162" s="125"/>
    </row>
    <row r="163" ht="22.5" customHeight="1">
      <c r="A163" s="125"/>
      <c r="B163" s="125"/>
      <c r="C163" s="125"/>
      <c r="D163" s="125"/>
    </row>
    <row r="164" ht="22.5" customHeight="1">
      <c r="A164" s="125"/>
      <c r="B164" s="125"/>
      <c r="C164" s="125"/>
      <c r="D164" s="125"/>
    </row>
    <row r="165" ht="22.5" customHeight="1">
      <c r="A165" s="125"/>
      <c r="B165" s="125"/>
      <c r="C165" s="125"/>
      <c r="D165" s="125"/>
    </row>
    <row r="166" ht="22.5" customHeight="1">
      <c r="A166" s="125"/>
      <c r="B166" s="125"/>
      <c r="C166" s="125"/>
      <c r="D166" s="125"/>
    </row>
    <row r="167" ht="22.5" customHeight="1">
      <c r="A167" s="125"/>
      <c r="B167" s="125"/>
      <c r="C167" s="125"/>
      <c r="D167" s="125"/>
    </row>
    <row r="168" ht="22.5" customHeight="1">
      <c r="A168" s="125"/>
      <c r="B168" s="125"/>
      <c r="C168" s="125"/>
      <c r="D168" s="125"/>
    </row>
    <row r="169" ht="22.5" customHeight="1">
      <c r="A169" s="125"/>
      <c r="B169" s="125"/>
      <c r="C169" s="125"/>
      <c r="D169" s="125"/>
    </row>
    <row r="170" ht="22.5" customHeight="1">
      <c r="A170" s="125"/>
      <c r="B170" s="125"/>
      <c r="C170" s="125"/>
      <c r="D170" s="125"/>
    </row>
    <row r="171" ht="22.5" customHeight="1">
      <c r="A171" s="125"/>
      <c r="B171" s="125"/>
      <c r="C171" s="125"/>
      <c r="D171" s="125"/>
    </row>
    <row r="172" ht="22.5" customHeight="1">
      <c r="A172" s="125"/>
      <c r="B172" s="125"/>
      <c r="C172" s="125"/>
      <c r="D172" s="125"/>
    </row>
    <row r="173" ht="22.5" customHeight="1">
      <c r="A173" s="125"/>
      <c r="B173" s="125"/>
      <c r="C173" s="125"/>
      <c r="D173" s="125"/>
    </row>
    <row r="174" ht="22.5" customHeight="1">
      <c r="A174" s="125"/>
      <c r="B174" s="125"/>
      <c r="C174" s="125"/>
      <c r="D174" s="125"/>
    </row>
    <row r="175" ht="22.5" customHeight="1">
      <c r="A175" s="125"/>
      <c r="B175" s="125"/>
      <c r="C175" s="125"/>
      <c r="D175" s="125"/>
    </row>
    <row r="176" ht="22.5" customHeight="1">
      <c r="A176" s="125"/>
      <c r="B176" s="125"/>
      <c r="C176" s="125"/>
      <c r="D176" s="125"/>
    </row>
    <row r="177" ht="22.5" customHeight="1">
      <c r="A177" s="125"/>
      <c r="B177" s="125"/>
      <c r="C177" s="125"/>
      <c r="D177" s="125"/>
    </row>
    <row r="178" ht="22.5" customHeight="1">
      <c r="A178" s="125"/>
      <c r="B178" s="125"/>
      <c r="C178" s="125"/>
      <c r="D178" s="125"/>
    </row>
    <row r="179" ht="22.5" customHeight="1">
      <c r="A179" s="125"/>
      <c r="B179" s="125"/>
      <c r="C179" s="125"/>
      <c r="D179" s="125"/>
    </row>
    <row r="180" ht="22.5" customHeight="1">
      <c r="A180" s="125"/>
      <c r="B180" s="125"/>
      <c r="C180" s="125"/>
      <c r="D180" s="125"/>
    </row>
    <row r="181" ht="22.5" customHeight="1">
      <c r="A181" s="125"/>
      <c r="B181" s="125"/>
      <c r="C181" s="125"/>
      <c r="D181" s="125"/>
    </row>
    <row r="182" ht="22.5" customHeight="1">
      <c r="A182" s="125"/>
      <c r="B182" s="125"/>
      <c r="C182" s="125"/>
      <c r="D182" s="125"/>
    </row>
    <row r="183" ht="22.5" customHeight="1">
      <c r="A183" s="125"/>
      <c r="B183" s="125"/>
      <c r="C183" s="125"/>
      <c r="D183" s="125"/>
    </row>
    <row r="184" ht="22.5" customHeight="1">
      <c r="A184" s="125"/>
      <c r="B184" s="125"/>
      <c r="C184" s="125"/>
      <c r="D184" s="125"/>
    </row>
    <row r="185" ht="22.5" customHeight="1">
      <c r="A185" s="125"/>
      <c r="B185" s="125"/>
      <c r="C185" s="125"/>
      <c r="D185" s="125"/>
    </row>
    <row r="186" ht="22.5" customHeight="1">
      <c r="A186" s="125"/>
      <c r="B186" s="125"/>
      <c r="C186" s="125"/>
      <c r="D186" s="125"/>
    </row>
    <row r="187" ht="22.5" customHeight="1">
      <c r="A187" s="125"/>
      <c r="B187" s="125"/>
      <c r="C187" s="125"/>
      <c r="D187" s="125"/>
    </row>
    <row r="188" ht="22.5" customHeight="1">
      <c r="A188" s="125"/>
      <c r="B188" s="125"/>
      <c r="C188" s="125"/>
      <c r="D188" s="125"/>
    </row>
    <row r="189" ht="22.5" customHeight="1">
      <c r="A189" s="125"/>
      <c r="B189" s="125"/>
      <c r="C189" s="125"/>
      <c r="D189" s="125"/>
    </row>
    <row r="190" ht="22.5" customHeight="1">
      <c r="A190" s="125"/>
      <c r="B190" s="125"/>
      <c r="C190" s="125"/>
      <c r="D190" s="125"/>
    </row>
    <row r="191" ht="22.5" customHeight="1">
      <c r="A191" s="125"/>
      <c r="B191" s="125"/>
      <c r="C191" s="125"/>
      <c r="D191" s="125"/>
    </row>
    <row r="192" ht="22.5" customHeight="1">
      <c r="A192" s="125"/>
      <c r="B192" s="125"/>
      <c r="C192" s="125"/>
      <c r="D192" s="125"/>
    </row>
    <row r="193" ht="22.5" customHeight="1">
      <c r="A193" s="125"/>
      <c r="B193" s="125"/>
      <c r="C193" s="125"/>
      <c r="D193" s="125"/>
    </row>
    <row r="194" ht="22.5" customHeight="1">
      <c r="A194" s="125"/>
      <c r="B194" s="125"/>
      <c r="C194" s="125"/>
      <c r="D194" s="125"/>
    </row>
    <row r="195" ht="22.5" customHeight="1">
      <c r="A195" s="125"/>
      <c r="B195" s="125"/>
      <c r="C195" s="125"/>
      <c r="D195" s="125"/>
    </row>
    <row r="196" ht="22.5" customHeight="1">
      <c r="A196" s="125"/>
      <c r="B196" s="125"/>
      <c r="C196" s="125"/>
      <c r="D196" s="125"/>
    </row>
    <row r="197" ht="22.5" customHeight="1">
      <c r="A197" s="125"/>
      <c r="B197" s="125"/>
      <c r="C197" s="125"/>
      <c r="D197" s="125"/>
    </row>
    <row r="198" ht="22.5" customHeight="1">
      <c r="A198" s="125"/>
      <c r="B198" s="125"/>
      <c r="C198" s="125"/>
      <c r="D198" s="125"/>
    </row>
    <row r="199" ht="22.5" customHeight="1">
      <c r="A199" s="125"/>
      <c r="B199" s="125"/>
      <c r="C199" s="125"/>
      <c r="D199" s="125"/>
    </row>
    <row r="200" ht="22.5" customHeight="1">
      <c r="A200" s="125"/>
      <c r="B200" s="125"/>
      <c r="C200" s="125"/>
      <c r="D200" s="125"/>
    </row>
    <row r="201" ht="22.5" customHeight="1">
      <c r="A201" s="125"/>
      <c r="B201" s="125"/>
      <c r="C201" s="125"/>
      <c r="D201" s="125"/>
    </row>
    <row r="202" ht="22.5" customHeight="1">
      <c r="A202" s="125"/>
      <c r="B202" s="125"/>
      <c r="C202" s="125"/>
      <c r="D202" s="125"/>
    </row>
    <row r="203" ht="22.5" customHeight="1">
      <c r="A203" s="125"/>
      <c r="B203" s="125"/>
      <c r="C203" s="125"/>
      <c r="D203" s="125"/>
    </row>
    <row r="204" ht="22.5" customHeight="1">
      <c r="A204" s="125"/>
      <c r="B204" s="125"/>
      <c r="C204" s="125"/>
      <c r="D204" s="125"/>
    </row>
    <row r="205" ht="22.5" customHeight="1">
      <c r="A205" s="125"/>
      <c r="B205" s="125"/>
      <c r="C205" s="125"/>
      <c r="D205" s="125"/>
    </row>
    <row r="206" ht="22.5" customHeight="1">
      <c r="A206" s="125"/>
      <c r="B206" s="125"/>
      <c r="C206" s="125"/>
      <c r="D206" s="125"/>
    </row>
    <row r="207" ht="22.5" customHeight="1">
      <c r="A207" s="125"/>
      <c r="B207" s="125"/>
      <c r="C207" s="125"/>
      <c r="D207" s="125"/>
    </row>
    <row r="208" ht="22.5" customHeight="1">
      <c r="A208" s="125"/>
      <c r="B208" s="125"/>
      <c r="C208" s="125"/>
      <c r="D208" s="125"/>
    </row>
    <row r="209" ht="22.5" customHeight="1">
      <c r="A209" s="125"/>
      <c r="B209" s="125"/>
      <c r="C209" s="125"/>
      <c r="D209" s="125"/>
    </row>
    <row r="210" ht="22.5" customHeight="1">
      <c r="A210" s="125"/>
      <c r="B210" s="125"/>
      <c r="C210" s="125"/>
      <c r="D210" s="125"/>
    </row>
    <row r="211" ht="22.5" customHeight="1">
      <c r="A211" s="125"/>
      <c r="B211" s="125"/>
      <c r="C211" s="125"/>
      <c r="D211" s="125"/>
    </row>
    <row r="212" ht="22.5" customHeight="1">
      <c r="A212" s="125"/>
      <c r="B212" s="125"/>
      <c r="C212" s="125"/>
      <c r="D212" s="125"/>
    </row>
    <row r="213" ht="22.5" customHeight="1">
      <c r="A213" s="125"/>
      <c r="B213" s="125"/>
      <c r="C213" s="125"/>
      <c r="D213" s="125"/>
    </row>
    <row r="214" ht="22.5" customHeight="1">
      <c r="A214" s="125"/>
      <c r="B214" s="125"/>
      <c r="C214" s="125"/>
      <c r="D214" s="125"/>
    </row>
    <row r="215" ht="22.5" customHeight="1">
      <c r="A215" s="125"/>
      <c r="B215" s="125"/>
      <c r="C215" s="125"/>
      <c r="D215" s="125"/>
    </row>
    <row r="216" ht="22.5" customHeight="1">
      <c r="A216" s="125"/>
      <c r="B216" s="125"/>
      <c r="C216" s="125"/>
      <c r="D216" s="125"/>
    </row>
    <row r="217" ht="22.5" customHeight="1">
      <c r="A217" s="125"/>
      <c r="B217" s="125"/>
      <c r="C217" s="125"/>
      <c r="D217" s="125"/>
    </row>
    <row r="218" ht="22.5" customHeight="1">
      <c r="A218" s="125"/>
      <c r="B218" s="125"/>
      <c r="C218" s="125"/>
      <c r="D218" s="125"/>
    </row>
    <row r="219" ht="22.5" customHeight="1">
      <c r="A219" s="125"/>
      <c r="B219" s="125"/>
      <c r="C219" s="125"/>
      <c r="D219" s="125"/>
    </row>
    <row r="220" ht="22.5" customHeight="1">
      <c r="A220" s="125"/>
      <c r="B220" s="125"/>
      <c r="C220" s="125"/>
      <c r="D220" s="125"/>
    </row>
    <row r="221" ht="22.5" customHeight="1">
      <c r="A221" s="125"/>
      <c r="B221" s="125"/>
      <c r="C221" s="125"/>
      <c r="D221" s="125"/>
    </row>
    <row r="222" ht="22.5" customHeight="1">
      <c r="A222" s="125"/>
      <c r="B222" s="125"/>
      <c r="C222" s="125"/>
      <c r="D222" s="125"/>
    </row>
    <row r="223" ht="22.5" customHeight="1">
      <c r="A223" s="125"/>
      <c r="B223" s="125"/>
      <c r="C223" s="125"/>
      <c r="D223" s="125"/>
    </row>
    <row r="224" ht="22.5" customHeight="1">
      <c r="A224" s="125"/>
      <c r="B224" s="125"/>
      <c r="C224" s="125"/>
      <c r="D224" s="125"/>
    </row>
    <row r="225" ht="22.5" customHeight="1">
      <c r="A225" s="125"/>
      <c r="B225" s="125"/>
      <c r="C225" s="125"/>
      <c r="D225" s="125"/>
    </row>
    <row r="226" ht="22.5" customHeight="1">
      <c r="A226" s="125"/>
      <c r="B226" s="125"/>
      <c r="C226" s="125"/>
      <c r="D226" s="125"/>
    </row>
    <row r="227" ht="22.5" customHeight="1">
      <c r="A227" s="125"/>
      <c r="B227" s="125"/>
      <c r="C227" s="125"/>
      <c r="D227" s="125"/>
    </row>
    <row r="228" ht="22.5" customHeight="1">
      <c r="A228" s="125"/>
      <c r="B228" s="125"/>
      <c r="C228" s="125"/>
      <c r="D228" s="125"/>
    </row>
    <row r="229" ht="22.5" customHeight="1">
      <c r="A229" s="125"/>
      <c r="B229" s="125"/>
      <c r="C229" s="125"/>
      <c r="D229" s="125"/>
    </row>
    <row r="230" ht="22.5" customHeight="1">
      <c r="A230" s="125"/>
      <c r="B230" s="125"/>
      <c r="C230" s="125"/>
      <c r="D230" s="125"/>
    </row>
    <row r="231" ht="22.5" customHeight="1">
      <c r="A231" s="125"/>
      <c r="B231" s="125"/>
      <c r="C231" s="125"/>
      <c r="D231" s="125"/>
    </row>
    <row r="232" ht="22.5" customHeight="1">
      <c r="A232" s="125"/>
      <c r="B232" s="125"/>
      <c r="C232" s="125"/>
      <c r="D232" s="125"/>
    </row>
    <row r="233" ht="22.5" customHeight="1">
      <c r="A233" s="125"/>
      <c r="B233" s="125"/>
      <c r="C233" s="125"/>
      <c r="D233" s="125"/>
    </row>
    <row r="234" ht="22.5" customHeight="1">
      <c r="A234" s="125"/>
      <c r="B234" s="125"/>
      <c r="C234" s="125"/>
      <c r="D234" s="125"/>
    </row>
    <row r="235" ht="22.5" customHeight="1">
      <c r="A235" s="125"/>
      <c r="B235" s="125"/>
      <c r="C235" s="125"/>
      <c r="D235" s="125"/>
    </row>
    <row r="236" ht="22.5" customHeight="1">
      <c r="A236" s="125"/>
      <c r="B236" s="125"/>
      <c r="C236" s="125"/>
      <c r="D236" s="125"/>
    </row>
    <row r="237" ht="22.5" customHeight="1">
      <c r="A237" s="125"/>
      <c r="B237" s="125"/>
      <c r="C237" s="125"/>
      <c r="D237" s="125"/>
    </row>
    <row r="238" ht="22.5" customHeight="1">
      <c r="A238" s="125"/>
      <c r="B238" s="125"/>
      <c r="C238" s="125"/>
      <c r="D238" s="125"/>
    </row>
    <row r="239" ht="22.5" customHeight="1">
      <c r="A239" s="125"/>
      <c r="B239" s="125"/>
      <c r="C239" s="125"/>
      <c r="D239" s="125"/>
    </row>
    <row r="240" ht="22.5" customHeight="1">
      <c r="A240" s="125"/>
      <c r="B240" s="125"/>
      <c r="C240" s="125"/>
      <c r="D240" s="125"/>
    </row>
    <row r="241" ht="22.5" customHeight="1">
      <c r="A241" s="125"/>
      <c r="B241" s="125"/>
      <c r="C241" s="125"/>
      <c r="D241" s="125"/>
    </row>
    <row r="242" ht="22.5" customHeight="1">
      <c r="A242" s="125"/>
      <c r="B242" s="125"/>
      <c r="C242" s="125"/>
      <c r="D242" s="125"/>
    </row>
    <row r="243" ht="22.5" customHeight="1">
      <c r="A243" s="125"/>
      <c r="B243" s="125"/>
      <c r="C243" s="125"/>
      <c r="D243" s="125"/>
    </row>
    <row r="244" ht="22.5" customHeight="1">
      <c r="A244" s="125"/>
      <c r="B244" s="125"/>
      <c r="C244" s="125"/>
      <c r="D244" s="125"/>
    </row>
    <row r="245" ht="22.5" customHeight="1">
      <c r="A245" s="125"/>
      <c r="B245" s="125"/>
      <c r="C245" s="125"/>
      <c r="D245" s="125"/>
    </row>
    <row r="246" ht="22.5" customHeight="1">
      <c r="A246" s="125"/>
      <c r="B246" s="125"/>
      <c r="C246" s="125"/>
      <c r="D246" s="125"/>
    </row>
    <row r="247" ht="22.5" customHeight="1">
      <c r="A247" s="125"/>
      <c r="B247" s="125"/>
      <c r="C247" s="125"/>
      <c r="D247" s="125"/>
    </row>
    <row r="248" ht="22.5" customHeight="1">
      <c r="A248" s="125"/>
      <c r="B248" s="125"/>
      <c r="C248" s="125"/>
      <c r="D248" s="125"/>
    </row>
    <row r="249" ht="22.5" customHeight="1">
      <c r="A249" s="125"/>
      <c r="B249" s="125"/>
      <c r="C249" s="125"/>
      <c r="D249" s="125"/>
    </row>
    <row r="250" ht="22.5" customHeight="1">
      <c r="A250" s="125"/>
      <c r="B250" s="125"/>
      <c r="C250" s="125"/>
      <c r="D250" s="125"/>
    </row>
    <row r="251" ht="22.5" customHeight="1">
      <c r="A251" s="125"/>
      <c r="B251" s="125"/>
      <c r="C251" s="125"/>
      <c r="D251" s="125"/>
    </row>
    <row r="252" ht="22.5" customHeight="1">
      <c r="A252" s="125"/>
      <c r="B252" s="125"/>
      <c r="C252" s="125"/>
      <c r="D252" s="125"/>
    </row>
    <row r="253" ht="22.5" customHeight="1">
      <c r="A253" s="125"/>
      <c r="B253" s="125"/>
      <c r="C253" s="125"/>
      <c r="D253" s="125"/>
    </row>
    <row r="254" ht="22.5" customHeight="1">
      <c r="A254" s="125"/>
      <c r="B254" s="125"/>
      <c r="C254" s="125"/>
      <c r="D254" s="125"/>
    </row>
    <row r="255" ht="22.5" customHeight="1">
      <c r="A255" s="125"/>
      <c r="B255" s="125"/>
      <c r="C255" s="125"/>
      <c r="D255" s="125"/>
    </row>
    <row r="256" ht="22.5" customHeight="1">
      <c r="A256" s="125"/>
      <c r="B256" s="125"/>
      <c r="C256" s="125"/>
      <c r="D256" s="125"/>
    </row>
    <row r="257" ht="22.5" customHeight="1">
      <c r="A257" s="125"/>
      <c r="B257" s="125"/>
      <c r="C257" s="125"/>
      <c r="D257" s="125"/>
    </row>
    <row r="258" ht="22.5" customHeight="1">
      <c r="A258" s="125"/>
      <c r="B258" s="125"/>
      <c r="C258" s="125"/>
      <c r="D258" s="125"/>
    </row>
    <row r="259" ht="22.5" customHeight="1">
      <c r="A259" s="125"/>
      <c r="B259" s="125"/>
      <c r="C259" s="125"/>
      <c r="D259" s="125"/>
    </row>
    <row r="260" ht="22.5" customHeight="1">
      <c r="A260" s="125"/>
      <c r="B260" s="125"/>
      <c r="C260" s="125"/>
      <c r="D260" s="125"/>
    </row>
    <row r="261" ht="22.5" customHeight="1">
      <c r="A261" s="125"/>
      <c r="B261" s="125"/>
      <c r="C261" s="125"/>
      <c r="D261" s="125"/>
    </row>
    <row r="262" ht="22.5" customHeight="1">
      <c r="A262" s="125"/>
      <c r="B262" s="125"/>
      <c r="C262" s="125"/>
      <c r="D262" s="125"/>
    </row>
    <row r="263" ht="22.5" customHeight="1">
      <c r="A263" s="125"/>
      <c r="B263" s="125"/>
      <c r="C263" s="125"/>
      <c r="D263" s="125"/>
    </row>
    <row r="264" ht="22.5" customHeight="1">
      <c r="A264" s="125"/>
      <c r="B264" s="125"/>
      <c r="C264" s="125"/>
      <c r="D264" s="125"/>
    </row>
    <row r="265" ht="22.5" customHeight="1">
      <c r="A265" s="125"/>
      <c r="B265" s="125"/>
      <c r="C265" s="125"/>
      <c r="D265" s="125"/>
    </row>
    <row r="266" ht="22.5" customHeight="1">
      <c r="A266" s="125"/>
      <c r="B266" s="125"/>
      <c r="C266" s="125"/>
      <c r="D266" s="125"/>
    </row>
    <row r="267" ht="22.5" customHeight="1">
      <c r="A267" s="125"/>
      <c r="B267" s="125"/>
      <c r="C267" s="125"/>
      <c r="D267" s="125"/>
    </row>
    <row r="268" ht="22.5" customHeight="1">
      <c r="A268" s="125"/>
      <c r="B268" s="125"/>
      <c r="C268" s="125"/>
      <c r="D268" s="125"/>
    </row>
    <row r="269" ht="22.5" customHeight="1">
      <c r="A269" s="125"/>
      <c r="B269" s="125"/>
      <c r="C269" s="125"/>
      <c r="D269" s="125"/>
    </row>
    <row r="270" ht="22.5" customHeight="1">
      <c r="A270" s="125"/>
      <c r="B270" s="125"/>
      <c r="C270" s="125"/>
      <c r="D270" s="125"/>
    </row>
    <row r="271" ht="22.5" customHeight="1">
      <c r="A271" s="125"/>
      <c r="B271" s="125"/>
      <c r="C271" s="125"/>
      <c r="D271" s="125"/>
    </row>
    <row r="272" ht="22.5" customHeight="1">
      <c r="A272" s="125"/>
      <c r="B272" s="125"/>
      <c r="C272" s="125"/>
      <c r="D272" s="125"/>
    </row>
    <row r="273" ht="22.5" customHeight="1">
      <c r="A273" s="125"/>
      <c r="B273" s="125"/>
      <c r="C273" s="125"/>
      <c r="D273" s="125"/>
    </row>
    <row r="274" ht="22.5" customHeight="1">
      <c r="A274" s="125"/>
      <c r="B274" s="125"/>
      <c r="C274" s="125"/>
      <c r="D274" s="125"/>
    </row>
    <row r="275" ht="22.5" customHeight="1">
      <c r="A275" s="125"/>
      <c r="B275" s="125"/>
      <c r="C275" s="125"/>
      <c r="D275" s="125"/>
    </row>
    <row r="276" ht="22.5" customHeight="1">
      <c r="A276" s="125"/>
      <c r="B276" s="125"/>
      <c r="C276" s="125"/>
      <c r="D276" s="125"/>
    </row>
    <row r="277" ht="22.5" customHeight="1">
      <c r="A277" s="125"/>
      <c r="B277" s="125"/>
      <c r="C277" s="125"/>
      <c r="D277" s="125"/>
    </row>
    <row r="278" ht="22.5" customHeight="1">
      <c r="A278" s="125"/>
      <c r="B278" s="125"/>
      <c r="C278" s="125"/>
      <c r="D278" s="125"/>
    </row>
    <row r="279" ht="22.5" customHeight="1">
      <c r="A279" s="125"/>
      <c r="B279" s="125"/>
      <c r="C279" s="125"/>
      <c r="D279" s="125"/>
    </row>
    <row r="280" ht="22.5" customHeight="1">
      <c r="A280" s="125"/>
      <c r="B280" s="125"/>
      <c r="C280" s="125"/>
      <c r="D280" s="125"/>
    </row>
    <row r="281" ht="22.5" customHeight="1">
      <c r="A281" s="125"/>
      <c r="B281" s="125"/>
      <c r="C281" s="125"/>
      <c r="D281" s="125"/>
    </row>
    <row r="282" ht="22.5" customHeight="1">
      <c r="A282" s="125"/>
      <c r="B282" s="125"/>
      <c r="C282" s="125"/>
      <c r="D282" s="125"/>
    </row>
    <row r="283" ht="22.5" customHeight="1">
      <c r="A283" s="125"/>
      <c r="B283" s="125"/>
      <c r="C283" s="125"/>
      <c r="D283" s="125"/>
    </row>
    <row r="284" ht="22.5" customHeight="1">
      <c r="A284" s="125"/>
      <c r="B284" s="125"/>
      <c r="C284" s="125"/>
      <c r="D284" s="125"/>
    </row>
    <row r="285" ht="22.5" customHeight="1">
      <c r="A285" s="125"/>
      <c r="B285" s="125"/>
      <c r="C285" s="125"/>
      <c r="D285" s="125"/>
    </row>
    <row r="286" ht="22.5" customHeight="1">
      <c r="A286" s="125"/>
      <c r="B286" s="125"/>
      <c r="C286" s="125"/>
      <c r="D286" s="125"/>
    </row>
    <row r="287" ht="22.5" customHeight="1">
      <c r="A287" s="125"/>
      <c r="B287" s="125"/>
      <c r="C287" s="125"/>
      <c r="D287" s="125"/>
    </row>
    <row r="288" ht="22.5" customHeight="1">
      <c r="A288" s="125"/>
      <c r="B288" s="125"/>
      <c r="C288" s="125"/>
      <c r="D288" s="125"/>
    </row>
    <row r="289" ht="22.5" customHeight="1">
      <c r="A289" s="125"/>
      <c r="B289" s="125"/>
      <c r="C289" s="125"/>
      <c r="D289" s="125"/>
    </row>
    <row r="290" ht="22.5" customHeight="1">
      <c r="A290" s="125"/>
      <c r="B290" s="125"/>
      <c r="C290" s="125"/>
      <c r="D290" s="125"/>
    </row>
    <row r="291" ht="22.5" customHeight="1">
      <c r="A291" s="125"/>
      <c r="B291" s="125"/>
      <c r="C291" s="125"/>
      <c r="D291" s="125"/>
    </row>
    <row r="292" ht="22.5" customHeight="1">
      <c r="A292" s="125"/>
      <c r="B292" s="125"/>
      <c r="C292" s="125"/>
      <c r="D292" s="125"/>
    </row>
    <row r="293" ht="22.5" customHeight="1">
      <c r="A293" s="125"/>
      <c r="B293" s="125"/>
      <c r="C293" s="125"/>
      <c r="D293" s="125"/>
    </row>
    <row r="294" ht="22.5" customHeight="1">
      <c r="A294" s="125"/>
      <c r="B294" s="125"/>
      <c r="C294" s="125"/>
      <c r="D294" s="125"/>
    </row>
    <row r="295" ht="22.5" customHeight="1">
      <c r="A295" s="125"/>
      <c r="B295" s="125"/>
      <c r="C295" s="125"/>
      <c r="D295" s="125"/>
    </row>
    <row r="296" ht="22.5" customHeight="1">
      <c r="A296" s="125"/>
      <c r="B296" s="125"/>
      <c r="C296" s="125"/>
      <c r="D296" s="125"/>
    </row>
    <row r="297" ht="22.5" customHeight="1">
      <c r="A297" s="125"/>
      <c r="B297" s="125"/>
      <c r="C297" s="125"/>
      <c r="D297" s="125"/>
    </row>
    <row r="298" ht="22.5" customHeight="1">
      <c r="A298" s="125"/>
      <c r="B298" s="125"/>
      <c r="C298" s="125"/>
      <c r="D298" s="125"/>
    </row>
    <row r="299" ht="22.5" customHeight="1">
      <c r="A299" s="125"/>
      <c r="B299" s="125"/>
      <c r="C299" s="125"/>
      <c r="D299" s="125"/>
    </row>
    <row r="300" ht="22.5" customHeight="1">
      <c r="A300" s="125"/>
      <c r="B300" s="125"/>
      <c r="C300" s="125"/>
      <c r="D300" s="125"/>
    </row>
    <row r="301" ht="22.5" customHeight="1">
      <c r="A301" s="125"/>
      <c r="B301" s="125"/>
      <c r="C301" s="125"/>
      <c r="D301" s="125"/>
    </row>
    <row r="302" ht="22.5" customHeight="1">
      <c r="A302" s="125"/>
      <c r="B302" s="125"/>
      <c r="C302" s="125"/>
      <c r="D302" s="125"/>
    </row>
    <row r="303" ht="22.5" customHeight="1">
      <c r="A303" s="125"/>
      <c r="B303" s="125"/>
      <c r="C303" s="125"/>
      <c r="D303" s="125"/>
    </row>
    <row r="304" ht="22.5" customHeight="1">
      <c r="A304" s="125"/>
      <c r="B304" s="125"/>
      <c r="C304" s="125"/>
      <c r="D304" s="125"/>
    </row>
    <row r="305" ht="22.5" customHeight="1">
      <c r="A305" s="125"/>
      <c r="B305" s="125"/>
      <c r="C305" s="125"/>
      <c r="D305" s="125"/>
    </row>
    <row r="306" ht="22.5" customHeight="1">
      <c r="A306" s="125"/>
      <c r="B306" s="125"/>
      <c r="C306" s="125"/>
      <c r="D306" s="125"/>
    </row>
    <row r="307" ht="22.5" customHeight="1">
      <c r="A307" s="125"/>
      <c r="B307" s="125"/>
      <c r="C307" s="125"/>
      <c r="D307" s="125"/>
    </row>
    <row r="308" ht="22.5" customHeight="1">
      <c r="A308" s="125"/>
      <c r="B308" s="125"/>
      <c r="C308" s="125"/>
      <c r="D308" s="125"/>
    </row>
    <row r="309" ht="22.5" customHeight="1">
      <c r="A309" s="125"/>
      <c r="B309" s="125"/>
      <c r="C309" s="125"/>
      <c r="D309" s="125"/>
    </row>
    <row r="310" ht="22.5" customHeight="1">
      <c r="A310" s="125"/>
      <c r="B310" s="125"/>
      <c r="C310" s="125"/>
      <c r="D310" s="125"/>
    </row>
    <row r="311" ht="22.5" customHeight="1">
      <c r="A311" s="125"/>
      <c r="B311" s="125"/>
      <c r="C311" s="125"/>
      <c r="D311" s="125"/>
    </row>
    <row r="312" ht="22.5" customHeight="1">
      <c r="A312" s="125"/>
      <c r="B312" s="125"/>
      <c r="C312" s="125"/>
      <c r="D312" s="125"/>
    </row>
    <row r="313" ht="22.5" customHeight="1">
      <c r="A313" s="125"/>
      <c r="B313" s="125"/>
      <c r="C313" s="125"/>
      <c r="D313" s="125"/>
    </row>
    <row r="314" ht="22.5" customHeight="1">
      <c r="A314" s="125"/>
      <c r="B314" s="125"/>
      <c r="C314" s="125"/>
      <c r="D314" s="125"/>
    </row>
    <row r="315" ht="22.5" customHeight="1">
      <c r="A315" s="125"/>
      <c r="B315" s="125"/>
      <c r="C315" s="125"/>
      <c r="D315" s="125"/>
    </row>
    <row r="316" ht="22.5" customHeight="1">
      <c r="A316" s="125"/>
      <c r="B316" s="125"/>
      <c r="C316" s="125"/>
      <c r="D316" s="125"/>
    </row>
    <row r="317" ht="22.5" customHeight="1">
      <c r="A317" s="125"/>
      <c r="B317" s="125"/>
      <c r="C317" s="125"/>
      <c r="D317" s="125"/>
    </row>
    <row r="318" ht="22.5" customHeight="1">
      <c r="A318" s="125"/>
      <c r="B318" s="125"/>
      <c r="C318" s="125"/>
      <c r="D318" s="125"/>
    </row>
    <row r="319" ht="22.5" customHeight="1">
      <c r="A319" s="125"/>
      <c r="B319" s="125"/>
      <c r="C319" s="125"/>
      <c r="D319" s="125"/>
    </row>
    <row r="320" ht="22.5" customHeight="1">
      <c r="A320" s="125"/>
      <c r="B320" s="125"/>
      <c r="C320" s="125"/>
      <c r="D320" s="125"/>
    </row>
    <row r="321" ht="22.5" customHeight="1">
      <c r="A321" s="125"/>
      <c r="B321" s="125"/>
      <c r="C321" s="125"/>
      <c r="D321" s="125"/>
    </row>
    <row r="322" ht="22.5" customHeight="1">
      <c r="A322" s="125"/>
      <c r="B322" s="125"/>
      <c r="C322" s="125"/>
      <c r="D322" s="125"/>
    </row>
    <row r="323" ht="22.5" customHeight="1">
      <c r="A323" s="125"/>
      <c r="B323" s="125"/>
      <c r="C323" s="125"/>
      <c r="D323" s="125"/>
    </row>
    <row r="324" ht="22.5" customHeight="1">
      <c r="A324" s="125"/>
      <c r="B324" s="125"/>
      <c r="C324" s="125"/>
      <c r="D324" s="125"/>
    </row>
    <row r="325" ht="22.5" customHeight="1">
      <c r="A325" s="125"/>
      <c r="B325" s="125"/>
      <c r="C325" s="125"/>
      <c r="D325" s="125"/>
    </row>
    <row r="326" ht="22.5" customHeight="1">
      <c r="A326" s="125"/>
      <c r="B326" s="125"/>
      <c r="C326" s="125"/>
      <c r="D326" s="125"/>
    </row>
    <row r="327" ht="22.5" customHeight="1">
      <c r="A327" s="125"/>
      <c r="B327" s="125"/>
      <c r="C327" s="125"/>
      <c r="D327" s="125"/>
    </row>
    <row r="328" ht="22.5" customHeight="1">
      <c r="A328" s="125"/>
      <c r="B328" s="125"/>
      <c r="C328" s="125"/>
      <c r="D328" s="125"/>
    </row>
    <row r="329" ht="22.5" customHeight="1">
      <c r="A329" s="125"/>
      <c r="B329" s="125"/>
      <c r="C329" s="125"/>
      <c r="D329" s="125"/>
    </row>
    <row r="330" ht="22.5" customHeight="1">
      <c r="A330" s="125"/>
      <c r="B330" s="125"/>
      <c r="C330" s="125"/>
      <c r="D330" s="125"/>
    </row>
    <row r="331" ht="22.5" customHeight="1">
      <c r="A331" s="125"/>
      <c r="B331" s="125"/>
      <c r="C331" s="125"/>
      <c r="D331" s="125"/>
    </row>
    <row r="332" ht="22.5" customHeight="1">
      <c r="A332" s="125"/>
      <c r="B332" s="125"/>
      <c r="C332" s="125"/>
      <c r="D332" s="125"/>
    </row>
    <row r="333" ht="22.5" customHeight="1">
      <c r="A333" s="125"/>
      <c r="B333" s="125"/>
      <c r="C333" s="125"/>
      <c r="D333" s="125"/>
    </row>
    <row r="334" ht="22.5" customHeight="1">
      <c r="A334" s="125"/>
      <c r="B334" s="125"/>
      <c r="C334" s="125"/>
      <c r="D334" s="125"/>
    </row>
    <row r="335" ht="22.5" customHeight="1">
      <c r="A335" s="125"/>
      <c r="B335" s="125"/>
      <c r="C335" s="125"/>
      <c r="D335" s="125"/>
    </row>
    <row r="336" ht="22.5" customHeight="1">
      <c r="A336" s="125"/>
      <c r="B336" s="125"/>
      <c r="C336" s="125"/>
      <c r="D336" s="125"/>
    </row>
    <row r="337" ht="22.5" customHeight="1">
      <c r="A337" s="125"/>
      <c r="B337" s="125"/>
      <c r="C337" s="125"/>
      <c r="D337" s="125"/>
    </row>
    <row r="338" ht="22.5" customHeight="1">
      <c r="A338" s="125"/>
      <c r="B338" s="125"/>
      <c r="C338" s="125"/>
      <c r="D338" s="125"/>
    </row>
    <row r="339" ht="22.5" customHeight="1">
      <c r="A339" s="125"/>
      <c r="B339" s="125"/>
      <c r="C339" s="125"/>
      <c r="D339" s="125"/>
    </row>
    <row r="340" ht="22.5" customHeight="1">
      <c r="A340" s="125"/>
      <c r="B340" s="125"/>
      <c r="C340" s="125"/>
      <c r="D340" s="125"/>
    </row>
    <row r="341" ht="22.5" customHeight="1">
      <c r="A341" s="125"/>
      <c r="B341" s="125"/>
      <c r="C341" s="125"/>
      <c r="D341" s="125"/>
    </row>
    <row r="342" ht="22.5" customHeight="1">
      <c r="A342" s="125"/>
      <c r="B342" s="125"/>
      <c r="C342" s="125"/>
      <c r="D342" s="125"/>
    </row>
    <row r="343" ht="22.5" customHeight="1">
      <c r="A343" s="125"/>
      <c r="B343" s="125"/>
      <c r="C343" s="125"/>
      <c r="D343" s="125"/>
    </row>
    <row r="344" ht="22.5" customHeight="1">
      <c r="A344" s="125"/>
      <c r="B344" s="125"/>
      <c r="C344" s="125"/>
      <c r="D344" s="125"/>
    </row>
    <row r="345" ht="22.5" customHeight="1">
      <c r="A345" s="125"/>
      <c r="B345" s="125"/>
      <c r="C345" s="125"/>
      <c r="D345" s="125"/>
    </row>
    <row r="346" ht="22.5" customHeight="1">
      <c r="A346" s="125"/>
      <c r="B346" s="125"/>
      <c r="C346" s="125"/>
      <c r="D346" s="125"/>
    </row>
    <row r="347" ht="22.5" customHeight="1">
      <c r="A347" s="125"/>
      <c r="B347" s="125"/>
      <c r="C347" s="125"/>
      <c r="D347" s="125"/>
    </row>
    <row r="348" ht="22.5" customHeight="1">
      <c r="A348" s="125"/>
      <c r="B348" s="125"/>
      <c r="C348" s="125"/>
      <c r="D348" s="125"/>
    </row>
    <row r="349" ht="22.5" customHeight="1">
      <c r="A349" s="125"/>
      <c r="B349" s="125"/>
      <c r="C349" s="125"/>
      <c r="D349" s="125"/>
    </row>
    <row r="350" ht="22.5" customHeight="1">
      <c r="A350" s="125"/>
      <c r="B350" s="125"/>
      <c r="C350" s="125"/>
      <c r="D350" s="125"/>
    </row>
    <row r="351" ht="22.5" customHeight="1">
      <c r="A351" s="125"/>
      <c r="B351" s="125"/>
      <c r="C351" s="125"/>
      <c r="D351" s="125"/>
    </row>
    <row r="352" ht="22.5" customHeight="1">
      <c r="A352" s="125"/>
      <c r="B352" s="125"/>
      <c r="C352" s="125"/>
      <c r="D352" s="125"/>
    </row>
    <row r="353" ht="22.5" customHeight="1">
      <c r="A353" s="125"/>
      <c r="B353" s="125"/>
      <c r="C353" s="125"/>
      <c r="D353" s="125"/>
    </row>
    <row r="354" ht="22.5" customHeight="1">
      <c r="A354" s="125"/>
      <c r="B354" s="125"/>
      <c r="C354" s="125"/>
      <c r="D354" s="125"/>
    </row>
    <row r="355" ht="22.5" customHeight="1">
      <c r="A355" s="125"/>
      <c r="B355" s="125"/>
      <c r="C355" s="125"/>
      <c r="D355" s="125"/>
    </row>
    <row r="356" ht="22.5" customHeight="1">
      <c r="A356" s="125"/>
      <c r="B356" s="125"/>
      <c r="C356" s="125"/>
      <c r="D356" s="125"/>
    </row>
    <row r="357" ht="22.5" customHeight="1">
      <c r="A357" s="125"/>
      <c r="B357" s="125"/>
      <c r="C357" s="125"/>
      <c r="D357" s="125"/>
    </row>
    <row r="358" ht="22.5" customHeight="1">
      <c r="A358" s="125"/>
      <c r="B358" s="125"/>
      <c r="C358" s="125"/>
      <c r="D358" s="125"/>
    </row>
    <row r="359" ht="22.5" customHeight="1">
      <c r="A359" s="125"/>
      <c r="B359" s="125"/>
      <c r="C359" s="125"/>
      <c r="D359" s="125"/>
    </row>
    <row r="360" ht="22.5" customHeight="1">
      <c r="A360" s="125"/>
      <c r="B360" s="125"/>
      <c r="C360" s="125"/>
      <c r="D360" s="125"/>
    </row>
    <row r="361" ht="22.5" customHeight="1">
      <c r="A361" s="125"/>
      <c r="B361" s="125"/>
      <c r="C361" s="125"/>
      <c r="D361" s="125"/>
    </row>
    <row r="362" ht="22.5" customHeight="1">
      <c r="A362" s="125"/>
      <c r="B362" s="125"/>
      <c r="C362" s="125"/>
      <c r="D362" s="125"/>
    </row>
    <row r="363" ht="22.5" customHeight="1">
      <c r="A363" s="125"/>
      <c r="B363" s="125"/>
      <c r="C363" s="125"/>
      <c r="D363" s="125"/>
    </row>
    <row r="364" ht="22.5" customHeight="1">
      <c r="A364" s="125"/>
      <c r="B364" s="125"/>
      <c r="C364" s="125"/>
      <c r="D364" s="125"/>
    </row>
    <row r="365" ht="22.5" customHeight="1">
      <c r="A365" s="125"/>
      <c r="B365" s="125"/>
      <c r="C365" s="125"/>
      <c r="D365" s="125"/>
    </row>
    <row r="366" ht="22.5" customHeight="1">
      <c r="A366" s="125"/>
      <c r="B366" s="125"/>
      <c r="C366" s="125"/>
      <c r="D366" s="125"/>
    </row>
    <row r="367" ht="22.5" customHeight="1">
      <c r="A367" s="125"/>
      <c r="B367" s="125"/>
      <c r="C367" s="125"/>
      <c r="D367" s="125"/>
    </row>
    <row r="368" ht="22.5" customHeight="1">
      <c r="A368" s="125"/>
      <c r="B368" s="125"/>
      <c r="C368" s="125"/>
      <c r="D368" s="125"/>
    </row>
    <row r="369" ht="22.5" customHeight="1">
      <c r="A369" s="125"/>
      <c r="B369" s="125"/>
      <c r="C369" s="125"/>
      <c r="D369" s="125"/>
    </row>
    <row r="370" ht="22.5" customHeight="1">
      <c r="A370" s="125"/>
      <c r="B370" s="125"/>
      <c r="C370" s="125"/>
      <c r="D370" s="125"/>
    </row>
    <row r="371" ht="22.5" customHeight="1">
      <c r="A371" s="125"/>
      <c r="B371" s="125"/>
      <c r="C371" s="125"/>
      <c r="D371" s="125"/>
    </row>
    <row r="372" ht="22.5" customHeight="1">
      <c r="A372" s="125"/>
      <c r="B372" s="125"/>
      <c r="C372" s="125"/>
      <c r="D372" s="125"/>
    </row>
    <row r="373" ht="22.5" customHeight="1">
      <c r="A373" s="125"/>
      <c r="B373" s="125"/>
      <c r="C373" s="125"/>
      <c r="D373" s="125"/>
    </row>
    <row r="374" ht="22.5" customHeight="1">
      <c r="A374" s="125"/>
      <c r="B374" s="125"/>
      <c r="C374" s="125"/>
      <c r="D374" s="125"/>
    </row>
    <row r="375" ht="22.5" customHeight="1">
      <c r="A375" s="125"/>
      <c r="B375" s="125"/>
      <c r="C375" s="125"/>
      <c r="D375" s="125"/>
    </row>
    <row r="376" ht="22.5" customHeight="1">
      <c r="A376" s="125"/>
      <c r="B376" s="125"/>
      <c r="C376" s="125"/>
      <c r="D376" s="125"/>
    </row>
    <row r="377" ht="22.5" customHeight="1">
      <c r="A377" s="125"/>
      <c r="B377" s="125"/>
      <c r="C377" s="125"/>
      <c r="D377" s="125"/>
    </row>
    <row r="378" ht="22.5" customHeight="1">
      <c r="A378" s="125"/>
      <c r="B378" s="125"/>
      <c r="C378" s="125"/>
      <c r="D378" s="125"/>
    </row>
    <row r="379" ht="22.5" customHeight="1">
      <c r="A379" s="125"/>
      <c r="B379" s="125"/>
      <c r="C379" s="125"/>
      <c r="D379" s="125"/>
    </row>
    <row r="380" ht="22.5" customHeight="1">
      <c r="A380" s="125"/>
      <c r="B380" s="125"/>
      <c r="C380" s="125"/>
      <c r="D380" s="125"/>
    </row>
    <row r="381" ht="22.5" customHeight="1">
      <c r="A381" s="125"/>
      <c r="B381" s="125"/>
      <c r="C381" s="125"/>
      <c r="D381" s="125"/>
    </row>
    <row r="382" ht="22.5" customHeight="1">
      <c r="A382" s="125"/>
      <c r="B382" s="125"/>
      <c r="C382" s="125"/>
      <c r="D382" s="125"/>
    </row>
    <row r="383" ht="22.5" customHeight="1">
      <c r="A383" s="125"/>
      <c r="B383" s="125"/>
      <c r="C383" s="125"/>
      <c r="D383" s="125"/>
    </row>
    <row r="384" ht="22.5" customHeight="1">
      <c r="A384" s="125"/>
      <c r="B384" s="125"/>
      <c r="C384" s="125"/>
      <c r="D384" s="125"/>
    </row>
    <row r="385" ht="22.5" customHeight="1">
      <c r="A385" s="125"/>
      <c r="B385" s="125"/>
      <c r="C385" s="125"/>
      <c r="D385" s="125"/>
    </row>
    <row r="386" ht="22.5" customHeight="1">
      <c r="A386" s="125"/>
      <c r="B386" s="125"/>
      <c r="C386" s="125"/>
      <c r="D386" s="125"/>
    </row>
    <row r="387" ht="22.5" customHeight="1">
      <c r="A387" s="125"/>
      <c r="B387" s="125"/>
      <c r="C387" s="125"/>
      <c r="D387" s="125"/>
    </row>
    <row r="388" ht="22.5" customHeight="1">
      <c r="A388" s="125"/>
      <c r="B388" s="125"/>
      <c r="C388" s="125"/>
      <c r="D388" s="125"/>
    </row>
    <row r="389" ht="22.5" customHeight="1">
      <c r="A389" s="125"/>
      <c r="B389" s="125"/>
      <c r="C389" s="125"/>
      <c r="D389" s="125"/>
    </row>
    <row r="390" ht="22.5" customHeight="1">
      <c r="A390" s="125"/>
      <c r="B390" s="125"/>
      <c r="C390" s="125"/>
      <c r="D390" s="125"/>
    </row>
    <row r="391" ht="22.5" customHeight="1">
      <c r="A391" s="125"/>
      <c r="B391" s="125"/>
      <c r="C391" s="125"/>
      <c r="D391" s="125"/>
    </row>
    <row r="392" ht="22.5" customHeight="1">
      <c r="A392" s="125"/>
      <c r="B392" s="125"/>
      <c r="C392" s="125"/>
      <c r="D392" s="125"/>
    </row>
    <row r="393" ht="22.5" customHeight="1">
      <c r="A393" s="125"/>
      <c r="B393" s="125"/>
      <c r="C393" s="125"/>
      <c r="D393" s="125"/>
    </row>
    <row r="394" ht="22.5" customHeight="1">
      <c r="A394" s="125"/>
      <c r="B394" s="125"/>
      <c r="C394" s="125"/>
      <c r="D394" s="125"/>
    </row>
    <row r="395" ht="22.5" customHeight="1">
      <c r="A395" s="125"/>
      <c r="B395" s="125"/>
      <c r="C395" s="125"/>
      <c r="D395" s="125"/>
    </row>
    <row r="396" ht="22.5" customHeight="1">
      <c r="A396" s="125"/>
      <c r="B396" s="125"/>
      <c r="C396" s="125"/>
      <c r="D396" s="125"/>
    </row>
    <row r="397" ht="22.5" customHeight="1">
      <c r="A397" s="125"/>
      <c r="B397" s="125"/>
      <c r="C397" s="125"/>
      <c r="D397" s="125"/>
    </row>
    <row r="398" ht="22.5" customHeight="1">
      <c r="A398" s="125"/>
      <c r="B398" s="125"/>
      <c r="C398" s="125"/>
      <c r="D398" s="125"/>
    </row>
    <row r="399" ht="22.5" customHeight="1">
      <c r="A399" s="125"/>
      <c r="B399" s="125"/>
      <c r="C399" s="125"/>
      <c r="D399" s="125"/>
    </row>
    <row r="400" ht="22.5" customHeight="1">
      <c r="A400" s="125"/>
      <c r="B400" s="125"/>
      <c r="C400" s="125"/>
      <c r="D400" s="125"/>
    </row>
    <row r="401" ht="22.5" customHeight="1">
      <c r="A401" s="125"/>
      <c r="B401" s="125"/>
      <c r="C401" s="125"/>
      <c r="D401" s="125"/>
    </row>
    <row r="402" ht="22.5" customHeight="1">
      <c r="A402" s="125"/>
      <c r="B402" s="125"/>
      <c r="C402" s="125"/>
      <c r="D402" s="125"/>
    </row>
    <row r="403" ht="22.5" customHeight="1">
      <c r="A403" s="125"/>
      <c r="B403" s="125"/>
      <c r="C403" s="125"/>
      <c r="D403" s="125"/>
    </row>
    <row r="404" ht="22.5" customHeight="1">
      <c r="A404" s="125"/>
      <c r="B404" s="125"/>
      <c r="C404" s="125"/>
      <c r="D404" s="125"/>
    </row>
    <row r="405" ht="22.5" customHeight="1">
      <c r="A405" s="125"/>
      <c r="B405" s="125"/>
      <c r="C405" s="125"/>
      <c r="D405" s="125"/>
    </row>
    <row r="406" ht="22.5" customHeight="1">
      <c r="A406" s="125"/>
      <c r="B406" s="125"/>
      <c r="C406" s="125"/>
      <c r="D406" s="125"/>
    </row>
    <row r="407" ht="22.5" customHeight="1">
      <c r="A407" s="125"/>
      <c r="B407" s="125"/>
      <c r="C407" s="125"/>
      <c r="D407" s="125"/>
    </row>
    <row r="408" ht="22.5" customHeight="1">
      <c r="A408" s="125"/>
      <c r="B408" s="125"/>
      <c r="C408" s="125"/>
      <c r="D408" s="125"/>
    </row>
    <row r="409" ht="22.5" customHeight="1">
      <c r="A409" s="125"/>
      <c r="B409" s="125"/>
      <c r="C409" s="125"/>
      <c r="D409" s="125"/>
    </row>
    <row r="410" ht="22.5" customHeight="1">
      <c r="A410" s="125"/>
      <c r="B410" s="125"/>
      <c r="C410" s="125"/>
      <c r="D410" s="125"/>
    </row>
    <row r="411" ht="22.5" customHeight="1">
      <c r="A411" s="125"/>
      <c r="B411" s="125"/>
      <c r="C411" s="125"/>
      <c r="D411" s="125"/>
    </row>
    <row r="412" ht="22.5" customHeight="1">
      <c r="A412" s="125"/>
      <c r="B412" s="125"/>
      <c r="C412" s="125"/>
      <c r="D412" s="125"/>
    </row>
    <row r="413" ht="22.5" customHeight="1">
      <c r="A413" s="125"/>
      <c r="B413" s="125"/>
      <c r="C413" s="125"/>
      <c r="D413" s="125"/>
    </row>
    <row r="414" ht="22.5" customHeight="1">
      <c r="A414" s="125"/>
      <c r="B414" s="125"/>
      <c r="C414" s="125"/>
      <c r="D414" s="125"/>
    </row>
    <row r="415" ht="22.5" customHeight="1">
      <c r="A415" s="125"/>
      <c r="B415" s="125"/>
      <c r="C415" s="125"/>
      <c r="D415" s="125"/>
    </row>
    <row r="416" ht="22.5" customHeight="1">
      <c r="A416" s="125"/>
      <c r="B416" s="125"/>
      <c r="C416" s="125"/>
      <c r="D416" s="125"/>
    </row>
    <row r="417" ht="22.5" customHeight="1">
      <c r="A417" s="125"/>
      <c r="B417" s="125"/>
      <c r="C417" s="125"/>
      <c r="D417" s="125"/>
    </row>
    <row r="418" ht="22.5" customHeight="1">
      <c r="A418" s="125"/>
      <c r="B418" s="125"/>
      <c r="C418" s="125"/>
      <c r="D418" s="125"/>
    </row>
    <row r="419" ht="22.5" customHeight="1">
      <c r="A419" s="125"/>
      <c r="B419" s="125"/>
      <c r="C419" s="125"/>
      <c r="D419" s="125"/>
    </row>
    <row r="420" ht="22.5" customHeight="1">
      <c r="A420" s="125"/>
      <c r="B420" s="125"/>
      <c r="C420" s="125"/>
      <c r="D420" s="125"/>
    </row>
    <row r="421" ht="22.5" customHeight="1">
      <c r="A421" s="125"/>
      <c r="B421" s="125"/>
      <c r="C421" s="125"/>
      <c r="D421" s="125"/>
    </row>
    <row r="422" ht="22.5" customHeight="1">
      <c r="A422" s="125"/>
      <c r="B422" s="125"/>
      <c r="C422" s="125"/>
      <c r="D422" s="125"/>
    </row>
    <row r="423" ht="22.5" customHeight="1">
      <c r="A423" s="125"/>
      <c r="B423" s="125"/>
      <c r="C423" s="125"/>
      <c r="D423" s="125"/>
    </row>
    <row r="424" ht="22.5" customHeight="1">
      <c r="A424" s="125"/>
      <c r="B424" s="125"/>
      <c r="C424" s="125"/>
      <c r="D424" s="125"/>
    </row>
    <row r="425" ht="22.5" customHeight="1">
      <c r="A425" s="125"/>
      <c r="B425" s="125"/>
      <c r="C425" s="125"/>
      <c r="D425" s="125"/>
    </row>
    <row r="426" ht="22.5" customHeight="1">
      <c r="A426" s="125"/>
      <c r="B426" s="125"/>
      <c r="C426" s="125"/>
      <c r="D426" s="125"/>
    </row>
    <row r="427" ht="22.5" customHeight="1">
      <c r="A427" s="125"/>
      <c r="B427" s="125"/>
      <c r="C427" s="125"/>
      <c r="D427" s="125"/>
    </row>
    <row r="428" ht="22.5" customHeight="1">
      <c r="A428" s="125"/>
      <c r="B428" s="125"/>
      <c r="C428" s="125"/>
      <c r="D428" s="125"/>
    </row>
    <row r="429" ht="22.5" customHeight="1">
      <c r="A429" s="125"/>
      <c r="B429" s="125"/>
      <c r="C429" s="125"/>
      <c r="D429" s="125"/>
    </row>
    <row r="430" ht="22.5" customHeight="1">
      <c r="A430" s="125"/>
      <c r="B430" s="125"/>
      <c r="C430" s="125"/>
      <c r="D430" s="125"/>
    </row>
    <row r="431" ht="22.5" customHeight="1">
      <c r="A431" s="125"/>
      <c r="B431" s="125"/>
      <c r="C431" s="125"/>
      <c r="D431" s="125"/>
    </row>
    <row r="432" ht="22.5" customHeight="1">
      <c r="A432" s="125"/>
      <c r="B432" s="125"/>
      <c r="C432" s="125"/>
      <c r="D432" s="125"/>
    </row>
    <row r="433" ht="22.5" customHeight="1">
      <c r="A433" s="125"/>
      <c r="B433" s="125"/>
      <c r="C433" s="125"/>
      <c r="D433" s="125"/>
    </row>
    <row r="434" ht="22.5" customHeight="1">
      <c r="A434" s="125"/>
      <c r="B434" s="125"/>
      <c r="C434" s="125"/>
      <c r="D434" s="125"/>
    </row>
    <row r="435" ht="22.5" customHeight="1">
      <c r="A435" s="125"/>
      <c r="B435" s="125"/>
      <c r="C435" s="125"/>
      <c r="D435" s="125"/>
    </row>
    <row r="436" ht="22.5" customHeight="1">
      <c r="A436" s="125"/>
      <c r="B436" s="125"/>
      <c r="C436" s="125"/>
      <c r="D436" s="125"/>
    </row>
    <row r="437" ht="22.5" customHeight="1">
      <c r="A437" s="125"/>
      <c r="B437" s="125"/>
      <c r="C437" s="125"/>
      <c r="D437" s="125"/>
    </row>
    <row r="438" ht="22.5" customHeight="1">
      <c r="A438" s="125"/>
      <c r="B438" s="125"/>
      <c r="C438" s="125"/>
      <c r="D438" s="125"/>
    </row>
    <row r="439" ht="22.5" customHeight="1">
      <c r="A439" s="125"/>
      <c r="B439" s="125"/>
      <c r="C439" s="125"/>
      <c r="D439" s="125"/>
    </row>
    <row r="440" ht="22.5" customHeight="1">
      <c r="A440" s="125"/>
      <c r="B440" s="125"/>
      <c r="C440" s="125"/>
      <c r="D440" s="125"/>
    </row>
    <row r="441" ht="22.5" customHeight="1">
      <c r="A441" s="125"/>
      <c r="B441" s="125"/>
      <c r="C441" s="125"/>
      <c r="D441" s="125"/>
    </row>
    <row r="442" ht="22.5" customHeight="1">
      <c r="A442" s="125"/>
      <c r="B442" s="125"/>
      <c r="C442" s="125"/>
      <c r="D442" s="125"/>
    </row>
    <row r="443" ht="22.5" customHeight="1">
      <c r="A443" s="125"/>
      <c r="B443" s="125"/>
      <c r="C443" s="125"/>
      <c r="D443" s="125"/>
    </row>
    <row r="444" ht="22.5" customHeight="1">
      <c r="A444" s="125"/>
      <c r="B444" s="125"/>
      <c r="C444" s="125"/>
      <c r="D444" s="125"/>
    </row>
    <row r="445" ht="22.5" customHeight="1">
      <c r="A445" s="125"/>
      <c r="B445" s="125"/>
      <c r="C445" s="125"/>
      <c r="D445" s="125"/>
    </row>
    <row r="446" ht="22.5" customHeight="1">
      <c r="A446" s="125"/>
      <c r="B446" s="125"/>
      <c r="C446" s="125"/>
      <c r="D446" s="125"/>
    </row>
    <row r="447" ht="22.5" customHeight="1">
      <c r="A447" s="125"/>
      <c r="B447" s="125"/>
      <c r="C447" s="125"/>
      <c r="D447" s="125"/>
    </row>
    <row r="448" ht="22.5" customHeight="1">
      <c r="A448" s="125"/>
      <c r="B448" s="125"/>
      <c r="C448" s="125"/>
      <c r="D448" s="125"/>
    </row>
    <row r="449" ht="22.5" customHeight="1">
      <c r="A449" s="125"/>
      <c r="B449" s="125"/>
      <c r="C449" s="125"/>
      <c r="D449" s="125"/>
    </row>
    <row r="450" ht="22.5" customHeight="1">
      <c r="A450" s="125"/>
      <c r="B450" s="125"/>
      <c r="C450" s="125"/>
      <c r="D450" s="125"/>
    </row>
    <row r="451" ht="22.5" customHeight="1">
      <c r="A451" s="125"/>
      <c r="B451" s="125"/>
      <c r="C451" s="125"/>
      <c r="D451" s="125"/>
    </row>
    <row r="452" ht="22.5" customHeight="1">
      <c r="A452" s="125"/>
      <c r="B452" s="125"/>
      <c r="C452" s="125"/>
      <c r="D452" s="125"/>
    </row>
    <row r="453" ht="22.5" customHeight="1">
      <c r="A453" s="125"/>
      <c r="B453" s="125"/>
      <c r="C453" s="125"/>
      <c r="D453" s="125"/>
    </row>
    <row r="454" ht="22.5" customHeight="1">
      <c r="A454" s="125"/>
      <c r="B454" s="125"/>
      <c r="C454" s="125"/>
      <c r="D454" s="125"/>
    </row>
    <row r="455" ht="22.5" customHeight="1">
      <c r="A455" s="125"/>
      <c r="B455" s="125"/>
      <c r="C455" s="125"/>
      <c r="D455" s="125"/>
    </row>
    <row r="456" ht="22.5" customHeight="1">
      <c r="A456" s="125"/>
      <c r="B456" s="125"/>
      <c r="C456" s="125"/>
      <c r="D456" s="125"/>
    </row>
    <row r="457" ht="22.5" customHeight="1">
      <c r="A457" s="125"/>
      <c r="B457" s="125"/>
      <c r="C457" s="125"/>
      <c r="D457" s="125"/>
    </row>
    <row r="458" ht="22.5" customHeight="1">
      <c r="A458" s="125"/>
      <c r="B458" s="125"/>
      <c r="C458" s="125"/>
      <c r="D458" s="125"/>
    </row>
    <row r="459" ht="22.5" customHeight="1">
      <c r="A459" s="125"/>
      <c r="B459" s="125"/>
      <c r="C459" s="125"/>
      <c r="D459" s="125"/>
    </row>
    <row r="460" ht="22.5" customHeight="1">
      <c r="A460" s="125"/>
      <c r="B460" s="125"/>
      <c r="C460" s="125"/>
      <c r="D460" s="125"/>
    </row>
    <row r="461" ht="22.5" customHeight="1">
      <c r="A461" s="125"/>
      <c r="B461" s="125"/>
      <c r="C461" s="125"/>
      <c r="D461" s="125"/>
    </row>
    <row r="462" ht="22.5" customHeight="1">
      <c r="A462" s="125"/>
      <c r="B462" s="125"/>
      <c r="C462" s="125"/>
      <c r="D462" s="125"/>
    </row>
    <row r="463" ht="22.5" customHeight="1">
      <c r="A463" s="125"/>
      <c r="B463" s="125"/>
      <c r="C463" s="125"/>
      <c r="D463" s="125"/>
    </row>
    <row r="464" ht="22.5" customHeight="1">
      <c r="A464" s="125"/>
      <c r="B464" s="125"/>
      <c r="C464" s="125"/>
      <c r="D464" s="125"/>
    </row>
    <row r="465" ht="22.5" customHeight="1">
      <c r="A465" s="125"/>
      <c r="B465" s="125"/>
      <c r="C465" s="125"/>
      <c r="D465" s="125"/>
    </row>
    <row r="466" ht="22.5" customHeight="1">
      <c r="A466" s="125"/>
      <c r="B466" s="125"/>
      <c r="C466" s="125"/>
      <c r="D466" s="125"/>
    </row>
    <row r="467" ht="22.5" customHeight="1">
      <c r="A467" s="125"/>
      <c r="B467" s="125"/>
      <c r="C467" s="125"/>
      <c r="D467" s="125"/>
    </row>
    <row r="468" ht="22.5" customHeight="1">
      <c r="A468" s="125"/>
      <c r="B468" s="125"/>
      <c r="C468" s="125"/>
      <c r="D468" s="125"/>
    </row>
    <row r="469" ht="22.5" customHeight="1">
      <c r="A469" s="125"/>
      <c r="B469" s="125"/>
      <c r="C469" s="125"/>
      <c r="D469" s="125"/>
    </row>
    <row r="470" ht="22.5" customHeight="1">
      <c r="A470" s="125"/>
      <c r="B470" s="125"/>
      <c r="C470" s="125"/>
      <c r="D470" s="125"/>
    </row>
    <row r="471" ht="22.5" customHeight="1">
      <c r="A471" s="125"/>
      <c r="B471" s="125"/>
      <c r="C471" s="125"/>
      <c r="D471" s="125"/>
    </row>
    <row r="472" ht="22.5" customHeight="1">
      <c r="A472" s="125"/>
      <c r="B472" s="125"/>
      <c r="C472" s="125"/>
      <c r="D472" s="125"/>
    </row>
    <row r="473" ht="22.5" customHeight="1">
      <c r="A473" s="125"/>
      <c r="B473" s="125"/>
      <c r="C473" s="125"/>
      <c r="D473" s="125"/>
    </row>
    <row r="474" ht="22.5" customHeight="1">
      <c r="A474" s="125"/>
      <c r="B474" s="125"/>
      <c r="C474" s="125"/>
      <c r="D474" s="125"/>
    </row>
    <row r="475" ht="22.5" customHeight="1">
      <c r="A475" s="125"/>
      <c r="B475" s="125"/>
      <c r="C475" s="125"/>
      <c r="D475" s="125"/>
    </row>
    <row r="476" ht="22.5" customHeight="1">
      <c r="A476" s="125"/>
      <c r="B476" s="125"/>
      <c r="C476" s="125"/>
      <c r="D476" s="125"/>
    </row>
    <row r="477" ht="22.5" customHeight="1">
      <c r="A477" s="125"/>
      <c r="B477" s="125"/>
      <c r="C477" s="125"/>
      <c r="D477" s="125"/>
    </row>
    <row r="478" ht="22.5" customHeight="1">
      <c r="A478" s="125"/>
      <c r="B478" s="125"/>
      <c r="C478" s="125"/>
      <c r="D478" s="125"/>
    </row>
    <row r="479" ht="22.5" customHeight="1">
      <c r="A479" s="125"/>
      <c r="B479" s="125"/>
      <c r="C479" s="125"/>
      <c r="D479" s="125"/>
    </row>
    <row r="480" ht="22.5" customHeight="1">
      <c r="A480" s="125"/>
      <c r="B480" s="125"/>
      <c r="C480" s="125"/>
      <c r="D480" s="125"/>
    </row>
    <row r="481" ht="22.5" customHeight="1">
      <c r="A481" s="125"/>
      <c r="B481" s="125"/>
      <c r="C481" s="125"/>
      <c r="D481" s="125"/>
    </row>
    <row r="482" ht="22.5" customHeight="1">
      <c r="A482" s="125"/>
      <c r="B482" s="125"/>
      <c r="C482" s="125"/>
      <c r="D482" s="125"/>
    </row>
    <row r="483" ht="22.5" customHeight="1">
      <c r="A483" s="125"/>
      <c r="B483" s="125"/>
      <c r="C483" s="125"/>
      <c r="D483" s="125"/>
    </row>
    <row r="484" ht="22.5" customHeight="1">
      <c r="A484" s="125"/>
      <c r="B484" s="125"/>
      <c r="C484" s="125"/>
      <c r="D484" s="125"/>
    </row>
    <row r="485" ht="22.5" customHeight="1">
      <c r="A485" s="125"/>
      <c r="B485" s="125"/>
      <c r="C485" s="125"/>
      <c r="D485" s="125"/>
    </row>
    <row r="486" ht="22.5" customHeight="1">
      <c r="A486" s="125"/>
      <c r="B486" s="125"/>
      <c r="C486" s="125"/>
      <c r="D486" s="125"/>
    </row>
    <row r="487" ht="22.5" customHeight="1">
      <c r="A487" s="125"/>
      <c r="B487" s="125"/>
      <c r="C487" s="125"/>
      <c r="D487" s="125"/>
    </row>
    <row r="488" ht="22.5" customHeight="1">
      <c r="A488" s="125"/>
      <c r="B488" s="125"/>
      <c r="C488" s="125"/>
      <c r="D488" s="125"/>
    </row>
    <row r="489" ht="22.5" customHeight="1">
      <c r="A489" s="125"/>
      <c r="B489" s="125"/>
      <c r="C489" s="125"/>
      <c r="D489" s="125"/>
    </row>
    <row r="490" ht="22.5" customHeight="1">
      <c r="A490" s="125"/>
      <c r="B490" s="125"/>
      <c r="C490" s="125"/>
      <c r="D490" s="125"/>
    </row>
    <row r="491" ht="22.5" customHeight="1">
      <c r="A491" s="125"/>
      <c r="B491" s="125"/>
      <c r="C491" s="125"/>
      <c r="D491" s="125"/>
    </row>
    <row r="492" ht="22.5" customHeight="1">
      <c r="A492" s="125"/>
      <c r="B492" s="125"/>
      <c r="C492" s="125"/>
      <c r="D492" s="125"/>
    </row>
    <row r="493" ht="22.5" customHeight="1">
      <c r="A493" s="125"/>
      <c r="B493" s="125"/>
      <c r="C493" s="125"/>
      <c r="D493" s="125"/>
    </row>
    <row r="494" ht="22.5" customHeight="1">
      <c r="A494" s="125"/>
      <c r="B494" s="125"/>
      <c r="C494" s="125"/>
      <c r="D494" s="125"/>
    </row>
    <row r="495" ht="22.5" customHeight="1">
      <c r="A495" s="125"/>
      <c r="B495" s="125"/>
      <c r="C495" s="125"/>
      <c r="D495" s="125"/>
    </row>
    <row r="496" ht="22.5" customHeight="1">
      <c r="A496" s="125"/>
      <c r="B496" s="125"/>
      <c r="C496" s="125"/>
      <c r="D496" s="125"/>
    </row>
    <row r="497" ht="22.5" customHeight="1">
      <c r="A497" s="125"/>
      <c r="B497" s="125"/>
      <c r="C497" s="125"/>
      <c r="D497" s="125"/>
    </row>
    <row r="498" ht="22.5" customHeight="1">
      <c r="A498" s="125"/>
      <c r="B498" s="125"/>
      <c r="C498" s="125"/>
      <c r="D498" s="125"/>
    </row>
    <row r="499" ht="22.5" customHeight="1">
      <c r="A499" s="125"/>
      <c r="B499" s="125"/>
      <c r="C499" s="125"/>
      <c r="D499" s="125"/>
    </row>
    <row r="500" ht="22.5" customHeight="1">
      <c r="A500" s="125"/>
      <c r="B500" s="125"/>
      <c r="C500" s="125"/>
      <c r="D500" s="125"/>
    </row>
    <row r="501" ht="22.5" customHeight="1">
      <c r="A501" s="125"/>
      <c r="B501" s="125"/>
      <c r="C501" s="125"/>
      <c r="D501" s="125"/>
    </row>
    <row r="502" ht="22.5" customHeight="1">
      <c r="A502" s="125"/>
      <c r="B502" s="125"/>
      <c r="C502" s="125"/>
      <c r="D502" s="125"/>
    </row>
    <row r="503" ht="22.5" customHeight="1">
      <c r="A503" s="125"/>
      <c r="B503" s="125"/>
      <c r="C503" s="125"/>
      <c r="D503" s="125"/>
    </row>
    <row r="504" ht="22.5" customHeight="1">
      <c r="A504" s="125"/>
      <c r="B504" s="125"/>
      <c r="C504" s="125"/>
      <c r="D504" s="125"/>
    </row>
    <row r="505" ht="22.5" customHeight="1">
      <c r="A505" s="125"/>
      <c r="B505" s="125"/>
      <c r="C505" s="125"/>
      <c r="D505" s="125"/>
    </row>
    <row r="506" ht="22.5" customHeight="1">
      <c r="A506" s="125"/>
      <c r="B506" s="125"/>
      <c r="C506" s="125"/>
      <c r="D506" s="125"/>
    </row>
    <row r="507" ht="22.5" customHeight="1">
      <c r="A507" s="125"/>
      <c r="B507" s="125"/>
      <c r="C507" s="125"/>
      <c r="D507" s="125"/>
    </row>
    <row r="508" ht="22.5" customHeight="1">
      <c r="A508" s="125"/>
      <c r="B508" s="125"/>
      <c r="C508" s="125"/>
      <c r="D508" s="125"/>
    </row>
    <row r="509" ht="22.5" customHeight="1">
      <c r="A509" s="125"/>
      <c r="B509" s="125"/>
      <c r="C509" s="125"/>
      <c r="D509" s="125"/>
    </row>
    <row r="510" ht="22.5" customHeight="1">
      <c r="A510" s="125"/>
      <c r="B510" s="125"/>
      <c r="C510" s="125"/>
      <c r="D510" s="125"/>
    </row>
    <row r="511" ht="22.5" customHeight="1">
      <c r="A511" s="125"/>
      <c r="B511" s="125"/>
      <c r="C511" s="125"/>
      <c r="D511" s="125"/>
    </row>
    <row r="512" ht="22.5" customHeight="1">
      <c r="A512" s="125"/>
      <c r="B512" s="125"/>
      <c r="C512" s="125"/>
      <c r="D512" s="125"/>
    </row>
    <row r="513" ht="22.5" customHeight="1">
      <c r="A513" s="125"/>
      <c r="B513" s="125"/>
      <c r="C513" s="125"/>
      <c r="D513" s="125"/>
    </row>
    <row r="514" ht="22.5" customHeight="1">
      <c r="A514" s="125"/>
      <c r="B514" s="125"/>
      <c r="C514" s="125"/>
      <c r="D514" s="125"/>
    </row>
    <row r="515" ht="22.5" customHeight="1">
      <c r="A515" s="125"/>
      <c r="B515" s="125"/>
      <c r="C515" s="125"/>
      <c r="D515" s="125"/>
    </row>
    <row r="516" ht="22.5" customHeight="1">
      <c r="A516" s="125"/>
      <c r="B516" s="125"/>
      <c r="C516" s="125"/>
      <c r="D516" s="125"/>
    </row>
    <row r="517" ht="22.5" customHeight="1">
      <c r="A517" s="125"/>
      <c r="B517" s="125"/>
      <c r="C517" s="125"/>
      <c r="D517" s="125"/>
    </row>
    <row r="518" ht="22.5" customHeight="1">
      <c r="A518" s="125"/>
      <c r="B518" s="125"/>
      <c r="C518" s="125"/>
      <c r="D518" s="125"/>
    </row>
    <row r="519" ht="22.5" customHeight="1">
      <c r="A519" s="125"/>
      <c r="B519" s="125"/>
      <c r="C519" s="125"/>
      <c r="D519" s="125"/>
    </row>
    <row r="520" ht="22.5" customHeight="1">
      <c r="A520" s="125"/>
      <c r="B520" s="125"/>
      <c r="C520" s="125"/>
      <c r="D520" s="125"/>
    </row>
    <row r="521" ht="22.5" customHeight="1">
      <c r="A521" s="125"/>
      <c r="B521" s="125"/>
      <c r="C521" s="125"/>
      <c r="D521" s="125"/>
    </row>
    <row r="522" ht="22.5" customHeight="1">
      <c r="A522" s="125"/>
      <c r="B522" s="125"/>
      <c r="C522" s="125"/>
      <c r="D522" s="125"/>
    </row>
    <row r="523" ht="22.5" customHeight="1">
      <c r="A523" s="125"/>
      <c r="B523" s="125"/>
      <c r="C523" s="125"/>
      <c r="D523" s="125"/>
    </row>
    <row r="524" ht="22.5" customHeight="1">
      <c r="A524" s="125"/>
      <c r="B524" s="125"/>
      <c r="C524" s="125"/>
      <c r="D524" s="125"/>
    </row>
    <row r="525" ht="22.5" customHeight="1">
      <c r="A525" s="125"/>
      <c r="B525" s="125"/>
      <c r="C525" s="125"/>
      <c r="D525" s="125"/>
    </row>
    <row r="526" ht="22.5" customHeight="1">
      <c r="A526" s="125"/>
      <c r="B526" s="125"/>
      <c r="C526" s="125"/>
      <c r="D526" s="125"/>
    </row>
    <row r="527" ht="22.5" customHeight="1">
      <c r="A527" s="125"/>
      <c r="B527" s="125"/>
      <c r="C527" s="125"/>
      <c r="D527" s="125"/>
    </row>
    <row r="528" ht="22.5" customHeight="1">
      <c r="A528" s="125"/>
      <c r="B528" s="125"/>
      <c r="C528" s="125"/>
      <c r="D528" s="125"/>
    </row>
    <row r="529" ht="22.5" customHeight="1">
      <c r="A529" s="125"/>
      <c r="B529" s="125"/>
      <c r="C529" s="125"/>
      <c r="D529" s="125"/>
    </row>
    <row r="530" ht="22.5" customHeight="1">
      <c r="A530" s="125"/>
      <c r="B530" s="125"/>
      <c r="C530" s="125"/>
      <c r="D530" s="125"/>
    </row>
    <row r="531" ht="22.5" customHeight="1">
      <c r="A531" s="125"/>
      <c r="B531" s="125"/>
      <c r="C531" s="125"/>
      <c r="D531" s="125"/>
    </row>
    <row r="532" ht="22.5" customHeight="1">
      <c r="A532" s="125"/>
      <c r="B532" s="125"/>
      <c r="C532" s="125"/>
      <c r="D532" s="125"/>
    </row>
    <row r="533" ht="22.5" customHeight="1">
      <c r="A533" s="125"/>
      <c r="B533" s="125"/>
      <c r="C533" s="125"/>
      <c r="D533" s="125"/>
    </row>
    <row r="534" ht="22.5" customHeight="1">
      <c r="A534" s="125"/>
      <c r="B534" s="125"/>
      <c r="C534" s="125"/>
      <c r="D534" s="125"/>
    </row>
    <row r="535" ht="22.5" customHeight="1">
      <c r="A535" s="125"/>
      <c r="B535" s="125"/>
      <c r="C535" s="125"/>
      <c r="D535" s="125"/>
    </row>
    <row r="536" ht="22.5" customHeight="1">
      <c r="A536" s="125"/>
      <c r="B536" s="125"/>
      <c r="C536" s="125"/>
      <c r="D536" s="125"/>
    </row>
    <row r="537" ht="22.5" customHeight="1">
      <c r="A537" s="125"/>
      <c r="B537" s="125"/>
      <c r="C537" s="125"/>
      <c r="D537" s="125"/>
    </row>
    <row r="538" ht="22.5" customHeight="1">
      <c r="A538" s="125"/>
      <c r="B538" s="125"/>
      <c r="C538" s="125"/>
      <c r="D538" s="125"/>
    </row>
    <row r="539" ht="22.5" customHeight="1">
      <c r="A539" s="125"/>
      <c r="B539" s="125"/>
      <c r="C539" s="125"/>
      <c r="D539" s="125"/>
    </row>
    <row r="540" ht="22.5" customHeight="1">
      <c r="A540" s="125"/>
      <c r="B540" s="125"/>
      <c r="C540" s="125"/>
      <c r="D540" s="125"/>
    </row>
    <row r="541" ht="22.5" customHeight="1">
      <c r="A541" s="125"/>
      <c r="B541" s="125"/>
      <c r="C541" s="125"/>
      <c r="D541" s="125"/>
    </row>
    <row r="542" ht="22.5" customHeight="1">
      <c r="A542" s="125"/>
      <c r="B542" s="125"/>
      <c r="C542" s="125"/>
      <c r="D542" s="125"/>
    </row>
    <row r="543" ht="22.5" customHeight="1">
      <c r="A543" s="125"/>
      <c r="B543" s="125"/>
      <c r="C543" s="125"/>
      <c r="D543" s="125"/>
    </row>
    <row r="544" ht="22.5" customHeight="1">
      <c r="A544" s="125"/>
      <c r="B544" s="125"/>
      <c r="C544" s="125"/>
      <c r="D544" s="125"/>
    </row>
    <row r="545" ht="22.5" customHeight="1">
      <c r="A545" s="125"/>
      <c r="B545" s="125"/>
      <c r="C545" s="125"/>
      <c r="D545" s="125"/>
    </row>
    <row r="546" ht="22.5" customHeight="1">
      <c r="A546" s="125"/>
      <c r="B546" s="125"/>
      <c r="C546" s="125"/>
      <c r="D546" s="125"/>
    </row>
    <row r="547" ht="22.5" customHeight="1">
      <c r="A547" s="125"/>
      <c r="B547" s="125"/>
      <c r="C547" s="125"/>
      <c r="D547" s="125"/>
    </row>
    <row r="548" ht="22.5" customHeight="1">
      <c r="A548" s="125"/>
      <c r="B548" s="125"/>
      <c r="C548" s="125"/>
      <c r="D548" s="125"/>
    </row>
    <row r="549" ht="22.5" customHeight="1">
      <c r="A549" s="125"/>
      <c r="B549" s="125"/>
      <c r="C549" s="125"/>
      <c r="D549" s="125"/>
    </row>
    <row r="550" ht="22.5" customHeight="1">
      <c r="A550" s="125"/>
      <c r="B550" s="125"/>
      <c r="C550" s="125"/>
      <c r="D550" s="125"/>
    </row>
    <row r="551" ht="22.5" customHeight="1">
      <c r="A551" s="125"/>
      <c r="B551" s="125"/>
      <c r="C551" s="125"/>
      <c r="D551" s="125"/>
    </row>
    <row r="552" ht="22.5" customHeight="1">
      <c r="A552" s="125"/>
      <c r="B552" s="125"/>
      <c r="C552" s="125"/>
      <c r="D552" s="125"/>
    </row>
    <row r="553" ht="22.5" customHeight="1">
      <c r="A553" s="125"/>
      <c r="B553" s="125"/>
      <c r="C553" s="125"/>
      <c r="D553" s="125"/>
    </row>
    <row r="554" ht="22.5" customHeight="1">
      <c r="A554" s="125"/>
      <c r="B554" s="125"/>
      <c r="C554" s="125"/>
      <c r="D554" s="125"/>
    </row>
    <row r="555" ht="22.5" customHeight="1">
      <c r="A555" s="125"/>
      <c r="B555" s="125"/>
      <c r="C555" s="125"/>
      <c r="D555" s="125"/>
    </row>
    <row r="556" ht="22.5" customHeight="1">
      <c r="A556" s="125"/>
      <c r="B556" s="125"/>
      <c r="C556" s="125"/>
      <c r="D556" s="125"/>
    </row>
    <row r="557" ht="22.5" customHeight="1">
      <c r="A557" s="125"/>
      <c r="B557" s="125"/>
      <c r="C557" s="125"/>
      <c r="D557" s="125"/>
    </row>
    <row r="558" ht="22.5" customHeight="1">
      <c r="A558" s="125"/>
      <c r="B558" s="125"/>
      <c r="C558" s="125"/>
      <c r="D558" s="125"/>
    </row>
    <row r="559" ht="22.5" customHeight="1">
      <c r="A559" s="125"/>
      <c r="B559" s="125"/>
      <c r="C559" s="125"/>
      <c r="D559" s="125"/>
    </row>
    <row r="560" ht="22.5" customHeight="1">
      <c r="A560" s="125"/>
      <c r="B560" s="125"/>
      <c r="C560" s="125"/>
      <c r="D560" s="125"/>
    </row>
    <row r="561" ht="22.5" customHeight="1">
      <c r="A561" s="125"/>
      <c r="B561" s="125"/>
      <c r="C561" s="125"/>
      <c r="D561" s="125"/>
    </row>
    <row r="562" ht="22.5" customHeight="1">
      <c r="A562" s="125"/>
      <c r="B562" s="125"/>
      <c r="C562" s="125"/>
      <c r="D562" s="125"/>
    </row>
    <row r="563" ht="22.5" customHeight="1">
      <c r="A563" s="125"/>
      <c r="B563" s="125"/>
      <c r="C563" s="125"/>
      <c r="D563" s="125"/>
    </row>
    <row r="564" ht="22.5" customHeight="1">
      <c r="A564" s="125"/>
      <c r="B564" s="125"/>
      <c r="C564" s="125"/>
      <c r="D564" s="125"/>
    </row>
    <row r="565" ht="22.5" customHeight="1">
      <c r="A565" s="125"/>
      <c r="B565" s="125"/>
      <c r="C565" s="125"/>
      <c r="D565" s="125"/>
    </row>
    <row r="566" ht="22.5" customHeight="1">
      <c r="A566" s="125"/>
      <c r="B566" s="125"/>
      <c r="C566" s="125"/>
      <c r="D566" s="125"/>
    </row>
    <row r="567" ht="22.5" customHeight="1">
      <c r="A567" s="125"/>
      <c r="B567" s="125"/>
      <c r="C567" s="125"/>
      <c r="D567" s="125"/>
    </row>
    <row r="568" ht="22.5" customHeight="1">
      <c r="A568" s="125"/>
      <c r="B568" s="125"/>
      <c r="C568" s="125"/>
      <c r="D568" s="125"/>
    </row>
    <row r="569" ht="22.5" customHeight="1">
      <c r="A569" s="125"/>
      <c r="B569" s="125"/>
      <c r="C569" s="125"/>
      <c r="D569" s="125"/>
    </row>
    <row r="570" ht="22.5" customHeight="1">
      <c r="A570" s="125"/>
      <c r="B570" s="125"/>
      <c r="C570" s="125"/>
      <c r="D570" s="125"/>
    </row>
    <row r="571" ht="22.5" customHeight="1">
      <c r="A571" s="125"/>
      <c r="B571" s="125"/>
      <c r="C571" s="125"/>
      <c r="D571" s="125"/>
    </row>
    <row r="572" ht="22.5" customHeight="1">
      <c r="A572" s="125"/>
      <c r="B572" s="125"/>
      <c r="C572" s="125"/>
      <c r="D572" s="125"/>
    </row>
    <row r="573" ht="22.5" customHeight="1">
      <c r="A573" s="125"/>
      <c r="B573" s="125"/>
      <c r="C573" s="125"/>
      <c r="D573" s="125"/>
    </row>
    <row r="574" ht="22.5" customHeight="1">
      <c r="A574" s="125"/>
      <c r="B574" s="125"/>
      <c r="C574" s="125"/>
      <c r="D574" s="125"/>
    </row>
    <row r="575" ht="22.5" customHeight="1">
      <c r="A575" s="125"/>
      <c r="B575" s="125"/>
      <c r="C575" s="125"/>
      <c r="D575" s="125"/>
    </row>
    <row r="576" ht="22.5" customHeight="1">
      <c r="A576" s="125"/>
      <c r="B576" s="125"/>
      <c r="C576" s="125"/>
      <c r="D576" s="125"/>
    </row>
    <row r="577" ht="22.5" customHeight="1">
      <c r="A577" s="125"/>
      <c r="B577" s="125"/>
      <c r="C577" s="125"/>
      <c r="D577" s="125"/>
    </row>
    <row r="578" ht="22.5" customHeight="1">
      <c r="A578" s="125"/>
      <c r="B578" s="125"/>
      <c r="C578" s="125"/>
      <c r="D578" s="125"/>
    </row>
    <row r="579" ht="22.5" customHeight="1">
      <c r="A579" s="125"/>
      <c r="B579" s="125"/>
      <c r="C579" s="125"/>
      <c r="D579" s="125"/>
    </row>
    <row r="580" ht="22.5" customHeight="1">
      <c r="A580" s="125"/>
      <c r="B580" s="125"/>
      <c r="C580" s="125"/>
      <c r="D580" s="125"/>
    </row>
    <row r="581" ht="22.5" customHeight="1">
      <c r="A581" s="125"/>
      <c r="B581" s="125"/>
      <c r="C581" s="125"/>
      <c r="D581" s="125"/>
    </row>
    <row r="582" ht="22.5" customHeight="1">
      <c r="A582" s="125"/>
      <c r="B582" s="125"/>
      <c r="C582" s="125"/>
      <c r="D582" s="125"/>
    </row>
    <row r="583" ht="22.5" customHeight="1">
      <c r="A583" s="125"/>
      <c r="B583" s="125"/>
      <c r="C583" s="125"/>
      <c r="D583" s="125"/>
    </row>
    <row r="584" ht="22.5" customHeight="1">
      <c r="A584" s="125"/>
      <c r="B584" s="125"/>
      <c r="C584" s="125"/>
      <c r="D584" s="125"/>
    </row>
    <row r="585" ht="22.5" customHeight="1">
      <c r="A585" s="125"/>
      <c r="B585" s="125"/>
      <c r="C585" s="125"/>
      <c r="D585" s="125"/>
    </row>
    <row r="586" ht="22.5" customHeight="1">
      <c r="A586" s="125"/>
      <c r="B586" s="125"/>
      <c r="C586" s="125"/>
      <c r="D586" s="125"/>
    </row>
    <row r="587" ht="22.5" customHeight="1">
      <c r="A587" s="125"/>
      <c r="B587" s="125"/>
      <c r="C587" s="125"/>
      <c r="D587" s="125"/>
    </row>
    <row r="588" ht="22.5" customHeight="1">
      <c r="A588" s="125"/>
      <c r="B588" s="125"/>
      <c r="C588" s="125"/>
      <c r="D588" s="125"/>
    </row>
    <row r="589" ht="22.5" customHeight="1">
      <c r="A589" s="125"/>
      <c r="B589" s="125"/>
      <c r="C589" s="125"/>
      <c r="D589" s="125"/>
    </row>
    <row r="590" ht="22.5" customHeight="1">
      <c r="A590" s="125"/>
      <c r="B590" s="125"/>
      <c r="C590" s="125"/>
      <c r="D590" s="125"/>
    </row>
    <row r="591" ht="22.5" customHeight="1">
      <c r="A591" s="125"/>
      <c r="B591" s="125"/>
      <c r="C591" s="125"/>
      <c r="D591" s="125"/>
    </row>
    <row r="592" ht="22.5" customHeight="1">
      <c r="A592" s="125"/>
      <c r="B592" s="125"/>
      <c r="C592" s="125"/>
      <c r="D592" s="125"/>
    </row>
    <row r="593" ht="22.5" customHeight="1">
      <c r="A593" s="125"/>
      <c r="B593" s="125"/>
      <c r="C593" s="125"/>
      <c r="D593" s="125"/>
    </row>
    <row r="594" ht="22.5" customHeight="1">
      <c r="A594" s="125"/>
      <c r="B594" s="125"/>
      <c r="C594" s="125"/>
      <c r="D594" s="125"/>
    </row>
    <row r="595" ht="22.5" customHeight="1">
      <c r="A595" s="125"/>
      <c r="B595" s="125"/>
      <c r="C595" s="125"/>
      <c r="D595" s="125"/>
    </row>
    <row r="596" ht="22.5" customHeight="1">
      <c r="A596" s="125"/>
      <c r="B596" s="125"/>
      <c r="C596" s="125"/>
      <c r="D596" s="125"/>
    </row>
    <row r="597" ht="22.5" customHeight="1">
      <c r="A597" s="125"/>
      <c r="B597" s="125"/>
      <c r="C597" s="125"/>
      <c r="D597" s="125"/>
    </row>
    <row r="598" ht="22.5" customHeight="1">
      <c r="A598" s="125"/>
      <c r="B598" s="125"/>
      <c r="C598" s="125"/>
      <c r="D598" s="125"/>
    </row>
    <row r="599" ht="22.5" customHeight="1">
      <c r="A599" s="125"/>
      <c r="B599" s="125"/>
      <c r="C599" s="125"/>
      <c r="D599" s="125"/>
    </row>
    <row r="600" ht="22.5" customHeight="1">
      <c r="A600" s="125"/>
      <c r="B600" s="125"/>
      <c r="C600" s="125"/>
      <c r="D600" s="125"/>
    </row>
    <row r="601" ht="22.5" customHeight="1">
      <c r="A601" s="125"/>
      <c r="B601" s="125"/>
      <c r="C601" s="125"/>
      <c r="D601" s="125"/>
    </row>
    <row r="602" ht="22.5" customHeight="1">
      <c r="A602" s="125"/>
      <c r="B602" s="125"/>
      <c r="C602" s="125"/>
      <c r="D602" s="125"/>
    </row>
    <row r="603" ht="22.5" customHeight="1">
      <c r="A603" s="125"/>
      <c r="B603" s="125"/>
      <c r="C603" s="125"/>
      <c r="D603" s="125"/>
    </row>
    <row r="604" ht="22.5" customHeight="1">
      <c r="A604" s="125"/>
      <c r="B604" s="125"/>
      <c r="C604" s="125"/>
      <c r="D604" s="125"/>
    </row>
    <row r="605" ht="22.5" customHeight="1">
      <c r="A605" s="125"/>
      <c r="B605" s="125"/>
      <c r="C605" s="125"/>
      <c r="D605" s="125"/>
    </row>
    <row r="606" ht="22.5" customHeight="1">
      <c r="A606" s="125"/>
      <c r="B606" s="125"/>
      <c r="C606" s="125"/>
      <c r="D606" s="125"/>
    </row>
    <row r="607" ht="22.5" customHeight="1">
      <c r="A607" s="125"/>
      <c r="B607" s="125"/>
      <c r="C607" s="125"/>
      <c r="D607" s="125"/>
    </row>
    <row r="608" ht="22.5" customHeight="1">
      <c r="A608" s="125"/>
      <c r="B608" s="125"/>
      <c r="C608" s="125"/>
      <c r="D608" s="125"/>
    </row>
    <row r="609" ht="22.5" customHeight="1">
      <c r="A609" s="125"/>
      <c r="B609" s="125"/>
      <c r="C609" s="125"/>
      <c r="D609" s="125"/>
    </row>
    <row r="610" ht="22.5" customHeight="1">
      <c r="A610" s="125"/>
      <c r="B610" s="125"/>
      <c r="C610" s="125"/>
      <c r="D610" s="125"/>
    </row>
    <row r="611" ht="22.5" customHeight="1">
      <c r="A611" s="125"/>
      <c r="B611" s="125"/>
      <c r="C611" s="125"/>
      <c r="D611" s="125"/>
    </row>
    <row r="612" ht="22.5" customHeight="1">
      <c r="A612" s="125"/>
      <c r="B612" s="125"/>
      <c r="C612" s="125"/>
      <c r="D612" s="125"/>
    </row>
    <row r="613" ht="22.5" customHeight="1">
      <c r="A613" s="125"/>
      <c r="B613" s="125"/>
      <c r="C613" s="125"/>
      <c r="D613" s="125"/>
    </row>
    <row r="614" ht="22.5" customHeight="1">
      <c r="A614" s="125"/>
      <c r="B614" s="125"/>
      <c r="C614" s="125"/>
      <c r="D614" s="125"/>
    </row>
    <row r="615" ht="22.5" customHeight="1">
      <c r="A615" s="125"/>
      <c r="B615" s="125"/>
      <c r="C615" s="125"/>
      <c r="D615" s="125"/>
    </row>
    <row r="616" ht="22.5" customHeight="1">
      <c r="A616" s="125"/>
      <c r="B616" s="125"/>
      <c r="C616" s="125"/>
      <c r="D616" s="125"/>
    </row>
    <row r="617" ht="22.5" customHeight="1">
      <c r="A617" s="125"/>
      <c r="B617" s="125"/>
      <c r="C617" s="125"/>
      <c r="D617" s="125"/>
    </row>
    <row r="618" ht="22.5" customHeight="1">
      <c r="A618" s="125"/>
      <c r="B618" s="125"/>
      <c r="C618" s="125"/>
      <c r="D618" s="125"/>
    </row>
    <row r="619" ht="22.5" customHeight="1">
      <c r="A619" s="125"/>
      <c r="B619" s="125"/>
      <c r="C619" s="125"/>
      <c r="D619" s="125"/>
    </row>
    <row r="620" ht="22.5" customHeight="1">
      <c r="A620" s="125"/>
      <c r="B620" s="125"/>
      <c r="C620" s="125"/>
      <c r="D620" s="125"/>
    </row>
    <row r="621" ht="22.5" customHeight="1">
      <c r="A621" s="125"/>
      <c r="B621" s="125"/>
      <c r="C621" s="125"/>
      <c r="D621" s="125"/>
    </row>
    <row r="622" ht="22.5" customHeight="1">
      <c r="A622" s="125"/>
      <c r="B622" s="125"/>
      <c r="C622" s="125"/>
      <c r="D622" s="125"/>
    </row>
    <row r="623" ht="22.5" customHeight="1">
      <c r="A623" s="125"/>
      <c r="B623" s="125"/>
      <c r="C623" s="125"/>
      <c r="D623" s="125"/>
    </row>
    <row r="624" ht="22.5" customHeight="1">
      <c r="A624" s="125"/>
      <c r="B624" s="125"/>
      <c r="C624" s="125"/>
      <c r="D624" s="125"/>
    </row>
    <row r="625" ht="22.5" customHeight="1">
      <c r="A625" s="125"/>
      <c r="B625" s="125"/>
      <c r="C625" s="125"/>
      <c r="D625" s="125"/>
    </row>
    <row r="626" ht="22.5" customHeight="1">
      <c r="A626" s="125"/>
      <c r="B626" s="125"/>
      <c r="C626" s="125"/>
      <c r="D626" s="125"/>
    </row>
    <row r="627" ht="22.5" customHeight="1">
      <c r="A627" s="125"/>
      <c r="B627" s="125"/>
      <c r="C627" s="125"/>
      <c r="D627" s="125"/>
    </row>
    <row r="628" ht="22.5" customHeight="1">
      <c r="A628" s="125"/>
      <c r="B628" s="125"/>
      <c r="C628" s="125"/>
      <c r="D628" s="125"/>
    </row>
    <row r="629" ht="22.5" customHeight="1">
      <c r="A629" s="125"/>
      <c r="B629" s="125"/>
      <c r="C629" s="125"/>
      <c r="D629" s="125"/>
    </row>
    <row r="630" ht="22.5" customHeight="1">
      <c r="A630" s="125"/>
      <c r="B630" s="125"/>
      <c r="C630" s="125"/>
      <c r="D630" s="125"/>
    </row>
    <row r="631" ht="22.5" customHeight="1">
      <c r="A631" s="125"/>
      <c r="B631" s="125"/>
      <c r="C631" s="125"/>
      <c r="D631" s="125"/>
    </row>
    <row r="632" ht="22.5" customHeight="1">
      <c r="A632" s="125"/>
      <c r="B632" s="125"/>
      <c r="C632" s="125"/>
      <c r="D632" s="125"/>
    </row>
    <row r="633" ht="22.5" customHeight="1">
      <c r="A633" s="125"/>
      <c r="B633" s="125"/>
      <c r="C633" s="125"/>
      <c r="D633" s="125"/>
    </row>
    <row r="634" ht="22.5" customHeight="1">
      <c r="A634" s="125"/>
      <c r="B634" s="125"/>
      <c r="C634" s="125"/>
      <c r="D634" s="125"/>
    </row>
    <row r="635" ht="22.5" customHeight="1">
      <c r="A635" s="125"/>
      <c r="B635" s="125"/>
      <c r="C635" s="125"/>
      <c r="D635" s="125"/>
    </row>
    <row r="636" ht="22.5" customHeight="1">
      <c r="A636" s="125"/>
      <c r="B636" s="125"/>
      <c r="C636" s="125"/>
      <c r="D636" s="125"/>
    </row>
    <row r="637" ht="22.5" customHeight="1">
      <c r="A637" s="125"/>
      <c r="B637" s="125"/>
      <c r="C637" s="125"/>
      <c r="D637" s="125"/>
    </row>
    <row r="638" ht="22.5" customHeight="1">
      <c r="A638" s="125"/>
      <c r="B638" s="125"/>
      <c r="C638" s="125"/>
      <c r="D638" s="125"/>
    </row>
    <row r="639" ht="22.5" customHeight="1">
      <c r="A639" s="125"/>
      <c r="B639" s="125"/>
      <c r="C639" s="125"/>
      <c r="D639" s="125"/>
    </row>
    <row r="640" ht="22.5" customHeight="1">
      <c r="A640" s="125"/>
      <c r="B640" s="125"/>
      <c r="C640" s="125"/>
      <c r="D640" s="125"/>
    </row>
    <row r="641" ht="22.5" customHeight="1">
      <c r="A641" s="125"/>
      <c r="B641" s="125"/>
      <c r="C641" s="125"/>
      <c r="D641" s="125"/>
    </row>
    <row r="642" ht="22.5" customHeight="1">
      <c r="A642" s="125"/>
      <c r="B642" s="125"/>
      <c r="C642" s="125"/>
      <c r="D642" s="125"/>
    </row>
    <row r="643" ht="22.5" customHeight="1">
      <c r="A643" s="125"/>
      <c r="B643" s="125"/>
      <c r="C643" s="125"/>
      <c r="D643" s="125"/>
    </row>
    <row r="644" ht="22.5" customHeight="1">
      <c r="A644" s="125"/>
      <c r="B644" s="125"/>
      <c r="C644" s="125"/>
      <c r="D644" s="125"/>
    </row>
    <row r="645" ht="22.5" customHeight="1">
      <c r="A645" s="125"/>
      <c r="B645" s="125"/>
      <c r="C645" s="125"/>
      <c r="D645" s="125"/>
    </row>
    <row r="646" ht="22.5" customHeight="1">
      <c r="A646" s="125"/>
      <c r="B646" s="125"/>
      <c r="C646" s="125"/>
      <c r="D646" s="125"/>
    </row>
    <row r="647" ht="22.5" customHeight="1">
      <c r="A647" s="125"/>
      <c r="B647" s="125"/>
      <c r="C647" s="125"/>
      <c r="D647" s="125"/>
    </row>
    <row r="648" ht="22.5" customHeight="1">
      <c r="A648" s="125"/>
      <c r="B648" s="125"/>
      <c r="C648" s="125"/>
      <c r="D648" s="125"/>
    </row>
    <row r="649" ht="22.5" customHeight="1">
      <c r="A649" s="125"/>
      <c r="B649" s="125"/>
      <c r="C649" s="125"/>
      <c r="D649" s="125"/>
    </row>
    <row r="650" ht="22.5" customHeight="1">
      <c r="A650" s="125"/>
      <c r="B650" s="125"/>
      <c r="C650" s="125"/>
      <c r="D650" s="125"/>
    </row>
    <row r="651" ht="22.5" customHeight="1">
      <c r="A651" s="125"/>
      <c r="B651" s="125"/>
      <c r="C651" s="125"/>
      <c r="D651" s="125"/>
    </row>
    <row r="652" ht="22.5" customHeight="1">
      <c r="A652" s="125"/>
      <c r="B652" s="125"/>
      <c r="C652" s="125"/>
      <c r="D652" s="125"/>
    </row>
    <row r="653" ht="22.5" customHeight="1">
      <c r="A653" s="125"/>
      <c r="B653" s="125"/>
      <c r="C653" s="125"/>
      <c r="D653" s="125"/>
    </row>
    <row r="654" ht="22.5" customHeight="1">
      <c r="A654" s="125"/>
      <c r="B654" s="125"/>
      <c r="C654" s="125"/>
      <c r="D654" s="125"/>
    </row>
    <row r="655" ht="22.5" customHeight="1">
      <c r="A655" s="125"/>
      <c r="B655" s="125"/>
      <c r="C655" s="125"/>
      <c r="D655" s="125"/>
    </row>
    <row r="656" ht="22.5" customHeight="1">
      <c r="A656" s="125"/>
      <c r="B656" s="125"/>
      <c r="C656" s="125"/>
      <c r="D656" s="125"/>
    </row>
    <row r="657" ht="22.5" customHeight="1">
      <c r="A657" s="125"/>
      <c r="B657" s="125"/>
      <c r="C657" s="125"/>
      <c r="D657" s="125"/>
    </row>
    <row r="658" ht="22.5" customHeight="1">
      <c r="A658" s="125"/>
      <c r="B658" s="125"/>
      <c r="C658" s="125"/>
      <c r="D658" s="125"/>
    </row>
    <row r="659" ht="22.5" customHeight="1">
      <c r="A659" s="125"/>
      <c r="B659" s="125"/>
      <c r="C659" s="125"/>
      <c r="D659" s="125"/>
    </row>
    <row r="660" ht="22.5" customHeight="1">
      <c r="A660" s="125"/>
      <c r="B660" s="125"/>
      <c r="C660" s="125"/>
      <c r="D660" s="125"/>
    </row>
    <row r="661" ht="22.5" customHeight="1">
      <c r="A661" s="125"/>
      <c r="B661" s="125"/>
      <c r="C661" s="125"/>
      <c r="D661" s="125"/>
    </row>
    <row r="662" ht="22.5" customHeight="1">
      <c r="A662" s="125"/>
      <c r="B662" s="125"/>
      <c r="C662" s="125"/>
      <c r="D662" s="125"/>
    </row>
    <row r="663" ht="22.5" customHeight="1">
      <c r="A663" s="125"/>
      <c r="B663" s="125"/>
      <c r="C663" s="125"/>
      <c r="D663" s="125"/>
    </row>
    <row r="664" ht="22.5" customHeight="1">
      <c r="A664" s="125"/>
      <c r="B664" s="125"/>
      <c r="C664" s="125"/>
      <c r="D664" s="125"/>
    </row>
    <row r="665" ht="22.5" customHeight="1">
      <c r="A665" s="125"/>
      <c r="B665" s="125"/>
      <c r="C665" s="125"/>
      <c r="D665" s="125"/>
    </row>
    <row r="666" ht="22.5" customHeight="1">
      <c r="A666" s="125"/>
      <c r="B666" s="125"/>
      <c r="C666" s="125"/>
      <c r="D666" s="125"/>
    </row>
    <row r="667" ht="22.5" customHeight="1">
      <c r="A667" s="125"/>
      <c r="B667" s="125"/>
      <c r="C667" s="125"/>
      <c r="D667" s="125"/>
    </row>
    <row r="668" ht="22.5" customHeight="1">
      <c r="A668" s="125"/>
      <c r="B668" s="125"/>
      <c r="C668" s="125"/>
      <c r="D668" s="125"/>
    </row>
    <row r="669" ht="22.5" customHeight="1">
      <c r="A669" s="125"/>
      <c r="B669" s="125"/>
      <c r="C669" s="125"/>
      <c r="D669" s="125"/>
    </row>
    <row r="670" ht="22.5" customHeight="1">
      <c r="A670" s="125"/>
      <c r="B670" s="125"/>
      <c r="C670" s="125"/>
      <c r="D670" s="125"/>
    </row>
    <row r="671" ht="22.5" customHeight="1">
      <c r="A671" s="125"/>
      <c r="B671" s="125"/>
      <c r="C671" s="125"/>
      <c r="D671" s="125"/>
    </row>
    <row r="672" ht="22.5" customHeight="1">
      <c r="A672" s="125"/>
      <c r="B672" s="125"/>
      <c r="C672" s="125"/>
      <c r="D672" s="125"/>
    </row>
    <row r="673" ht="22.5" customHeight="1">
      <c r="A673" s="125"/>
      <c r="B673" s="125"/>
      <c r="C673" s="125"/>
      <c r="D673" s="125"/>
    </row>
    <row r="674" ht="22.5" customHeight="1">
      <c r="A674" s="125"/>
      <c r="B674" s="125"/>
      <c r="C674" s="125"/>
      <c r="D674" s="125"/>
    </row>
    <row r="675" ht="22.5" customHeight="1">
      <c r="A675" s="125"/>
      <c r="B675" s="125"/>
      <c r="C675" s="125"/>
      <c r="D675" s="125"/>
    </row>
    <row r="676" ht="22.5" customHeight="1">
      <c r="A676" s="125"/>
      <c r="B676" s="125"/>
      <c r="C676" s="125"/>
      <c r="D676" s="125"/>
    </row>
    <row r="677" ht="22.5" customHeight="1">
      <c r="A677" s="125"/>
      <c r="B677" s="125"/>
      <c r="C677" s="125"/>
      <c r="D677" s="125"/>
    </row>
    <row r="678" ht="22.5" customHeight="1">
      <c r="A678" s="125"/>
      <c r="B678" s="125"/>
      <c r="C678" s="125"/>
      <c r="D678" s="125"/>
    </row>
    <row r="679" ht="22.5" customHeight="1">
      <c r="A679" s="125"/>
      <c r="B679" s="125"/>
      <c r="C679" s="125"/>
      <c r="D679" s="125"/>
    </row>
    <row r="680" ht="22.5" customHeight="1">
      <c r="A680" s="125"/>
      <c r="B680" s="125"/>
      <c r="C680" s="125"/>
      <c r="D680" s="125"/>
    </row>
    <row r="681" ht="22.5" customHeight="1">
      <c r="A681" s="125"/>
      <c r="B681" s="125"/>
      <c r="C681" s="125"/>
      <c r="D681" s="125"/>
    </row>
    <row r="682" ht="22.5" customHeight="1">
      <c r="A682" s="125"/>
      <c r="B682" s="125"/>
      <c r="C682" s="125"/>
      <c r="D682" s="125"/>
    </row>
    <row r="683" ht="22.5" customHeight="1">
      <c r="A683" s="125"/>
      <c r="B683" s="125"/>
      <c r="C683" s="125"/>
      <c r="D683" s="125"/>
    </row>
    <row r="684" ht="22.5" customHeight="1">
      <c r="A684" s="125"/>
      <c r="B684" s="125"/>
      <c r="C684" s="125"/>
      <c r="D684" s="125"/>
    </row>
    <row r="685" ht="22.5" customHeight="1">
      <c r="A685" s="125"/>
      <c r="B685" s="125"/>
      <c r="C685" s="125"/>
      <c r="D685" s="125"/>
    </row>
    <row r="686" ht="22.5" customHeight="1">
      <c r="A686" s="125"/>
      <c r="B686" s="125"/>
      <c r="C686" s="125"/>
      <c r="D686" s="125"/>
    </row>
    <row r="687" ht="22.5" customHeight="1">
      <c r="A687" s="125"/>
      <c r="B687" s="125"/>
      <c r="C687" s="125"/>
      <c r="D687" s="125"/>
    </row>
    <row r="688" ht="22.5" customHeight="1">
      <c r="A688" s="125"/>
      <c r="B688" s="125"/>
      <c r="C688" s="125"/>
      <c r="D688" s="125"/>
    </row>
    <row r="689" ht="22.5" customHeight="1">
      <c r="A689" s="125"/>
      <c r="B689" s="125"/>
      <c r="C689" s="125"/>
      <c r="D689" s="125"/>
    </row>
    <row r="690" ht="22.5" customHeight="1">
      <c r="A690" s="125"/>
      <c r="B690" s="125"/>
      <c r="C690" s="125"/>
      <c r="D690" s="125"/>
    </row>
    <row r="691" ht="22.5" customHeight="1">
      <c r="A691" s="125"/>
      <c r="B691" s="125"/>
      <c r="C691" s="125"/>
      <c r="D691" s="125"/>
    </row>
    <row r="692" ht="22.5" customHeight="1">
      <c r="A692" s="125"/>
      <c r="B692" s="125"/>
      <c r="C692" s="125"/>
      <c r="D692" s="125"/>
    </row>
    <row r="693" ht="22.5" customHeight="1">
      <c r="A693" s="125"/>
      <c r="B693" s="125"/>
      <c r="C693" s="125"/>
      <c r="D693" s="125"/>
    </row>
    <row r="694" ht="22.5" customHeight="1">
      <c r="A694" s="125"/>
      <c r="B694" s="125"/>
      <c r="C694" s="125"/>
      <c r="D694" s="125"/>
    </row>
    <row r="695" ht="22.5" customHeight="1">
      <c r="A695" s="125"/>
      <c r="B695" s="125"/>
      <c r="C695" s="125"/>
      <c r="D695" s="125"/>
    </row>
    <row r="696" ht="22.5" customHeight="1">
      <c r="A696" s="125"/>
      <c r="B696" s="125"/>
      <c r="C696" s="125"/>
      <c r="D696" s="125"/>
    </row>
    <row r="697" ht="22.5" customHeight="1">
      <c r="A697" s="125"/>
      <c r="B697" s="125"/>
      <c r="C697" s="125"/>
      <c r="D697" s="125"/>
    </row>
    <row r="698" ht="22.5" customHeight="1">
      <c r="A698" s="125"/>
      <c r="B698" s="125"/>
      <c r="C698" s="125"/>
      <c r="D698" s="125"/>
    </row>
    <row r="699" ht="22.5" customHeight="1">
      <c r="A699" s="125"/>
      <c r="B699" s="125"/>
      <c r="C699" s="125"/>
      <c r="D699" s="125"/>
    </row>
    <row r="700" ht="22.5" customHeight="1">
      <c r="A700" s="125"/>
      <c r="B700" s="125"/>
      <c r="C700" s="125"/>
      <c r="D700" s="125"/>
    </row>
    <row r="701" ht="22.5" customHeight="1">
      <c r="A701" s="125"/>
      <c r="B701" s="125"/>
      <c r="C701" s="125"/>
      <c r="D701" s="125"/>
    </row>
    <row r="702" ht="22.5" customHeight="1">
      <c r="A702" s="125"/>
      <c r="B702" s="125"/>
      <c r="C702" s="125"/>
      <c r="D702" s="125"/>
    </row>
    <row r="703" ht="22.5" customHeight="1">
      <c r="A703" s="125"/>
      <c r="B703" s="125"/>
      <c r="C703" s="125"/>
      <c r="D703" s="125"/>
    </row>
    <row r="704" ht="22.5" customHeight="1">
      <c r="A704" s="125"/>
      <c r="B704" s="125"/>
      <c r="C704" s="125"/>
      <c r="D704" s="125"/>
    </row>
    <row r="705" ht="22.5" customHeight="1">
      <c r="A705" s="125"/>
      <c r="B705" s="125"/>
      <c r="C705" s="125"/>
      <c r="D705" s="125"/>
    </row>
    <row r="706" ht="22.5" customHeight="1">
      <c r="A706" s="125"/>
      <c r="B706" s="125"/>
      <c r="C706" s="125"/>
      <c r="D706" s="125"/>
    </row>
    <row r="707" ht="22.5" customHeight="1">
      <c r="A707" s="125"/>
      <c r="B707" s="125"/>
      <c r="C707" s="125"/>
      <c r="D707" s="125"/>
    </row>
    <row r="708" ht="22.5" customHeight="1">
      <c r="A708" s="125"/>
      <c r="B708" s="125"/>
      <c r="C708" s="125"/>
      <c r="D708" s="125"/>
    </row>
    <row r="709" ht="22.5" customHeight="1">
      <c r="A709" s="125"/>
      <c r="B709" s="125"/>
      <c r="C709" s="125"/>
      <c r="D709" s="125"/>
    </row>
    <row r="710" ht="22.5" customHeight="1">
      <c r="A710" s="125"/>
      <c r="B710" s="125"/>
      <c r="C710" s="125"/>
      <c r="D710" s="125"/>
    </row>
    <row r="711" ht="22.5" customHeight="1">
      <c r="A711" s="125"/>
      <c r="B711" s="125"/>
      <c r="C711" s="125"/>
      <c r="D711" s="125"/>
    </row>
    <row r="712" ht="22.5" customHeight="1">
      <c r="A712" s="125"/>
      <c r="B712" s="125"/>
      <c r="C712" s="125"/>
      <c r="D712" s="125"/>
    </row>
    <row r="713" ht="22.5" customHeight="1">
      <c r="A713" s="125"/>
      <c r="B713" s="125"/>
      <c r="C713" s="125"/>
      <c r="D713" s="125"/>
    </row>
    <row r="714" ht="22.5" customHeight="1">
      <c r="A714" s="125"/>
      <c r="B714" s="125"/>
      <c r="C714" s="125"/>
      <c r="D714" s="125"/>
    </row>
    <row r="715" ht="22.5" customHeight="1">
      <c r="A715" s="125"/>
      <c r="B715" s="125"/>
      <c r="C715" s="125"/>
      <c r="D715" s="125"/>
    </row>
    <row r="716" ht="22.5" customHeight="1">
      <c r="A716" s="125"/>
      <c r="B716" s="125"/>
      <c r="C716" s="125"/>
      <c r="D716" s="125"/>
    </row>
    <row r="717" ht="22.5" customHeight="1">
      <c r="A717" s="125"/>
      <c r="B717" s="125"/>
      <c r="C717" s="125"/>
      <c r="D717" s="125"/>
    </row>
    <row r="718" ht="22.5" customHeight="1">
      <c r="A718" s="125"/>
      <c r="B718" s="125"/>
      <c r="C718" s="125"/>
      <c r="D718" s="125"/>
    </row>
    <row r="719" ht="22.5" customHeight="1">
      <c r="A719" s="125"/>
      <c r="B719" s="125"/>
      <c r="C719" s="125"/>
      <c r="D719" s="125"/>
    </row>
    <row r="720" ht="22.5" customHeight="1">
      <c r="A720" s="125"/>
      <c r="B720" s="125"/>
      <c r="C720" s="125"/>
      <c r="D720" s="125"/>
    </row>
    <row r="721" ht="22.5" customHeight="1">
      <c r="A721" s="125"/>
      <c r="B721" s="125"/>
      <c r="C721" s="125"/>
      <c r="D721" s="125"/>
    </row>
    <row r="722" ht="22.5" customHeight="1">
      <c r="A722" s="125"/>
      <c r="B722" s="125"/>
      <c r="C722" s="125"/>
      <c r="D722" s="125"/>
    </row>
    <row r="723" ht="22.5" customHeight="1">
      <c r="A723" s="125"/>
      <c r="B723" s="125"/>
      <c r="C723" s="125"/>
      <c r="D723" s="125"/>
    </row>
    <row r="724" ht="22.5" customHeight="1">
      <c r="A724" s="125"/>
      <c r="B724" s="125"/>
      <c r="C724" s="125"/>
      <c r="D724" s="125"/>
    </row>
    <row r="725" ht="22.5" customHeight="1">
      <c r="A725" s="125"/>
      <c r="B725" s="125"/>
      <c r="C725" s="125"/>
      <c r="D725" s="125"/>
    </row>
    <row r="726" ht="22.5" customHeight="1">
      <c r="A726" s="125"/>
      <c r="B726" s="125"/>
      <c r="C726" s="125"/>
      <c r="D726" s="125"/>
    </row>
    <row r="727" ht="22.5" customHeight="1">
      <c r="A727" s="125"/>
      <c r="B727" s="125"/>
      <c r="C727" s="125"/>
      <c r="D727" s="125"/>
    </row>
    <row r="728" ht="22.5" customHeight="1">
      <c r="A728" s="125"/>
      <c r="B728" s="125"/>
      <c r="C728" s="125"/>
      <c r="D728" s="125"/>
    </row>
    <row r="729" ht="22.5" customHeight="1">
      <c r="A729" s="125"/>
      <c r="B729" s="125"/>
      <c r="C729" s="125"/>
      <c r="D729" s="125"/>
    </row>
    <row r="730" ht="22.5" customHeight="1">
      <c r="A730" s="125"/>
      <c r="B730" s="125"/>
      <c r="C730" s="125"/>
      <c r="D730" s="125"/>
    </row>
    <row r="731" ht="22.5" customHeight="1">
      <c r="A731" s="125"/>
      <c r="B731" s="125"/>
      <c r="C731" s="125"/>
      <c r="D731" s="125"/>
    </row>
    <row r="732" ht="22.5" customHeight="1">
      <c r="A732" s="125"/>
      <c r="B732" s="125"/>
      <c r="C732" s="125"/>
      <c r="D732" s="125"/>
    </row>
    <row r="733" ht="22.5" customHeight="1">
      <c r="A733" s="125"/>
      <c r="B733" s="125"/>
      <c r="C733" s="125"/>
      <c r="D733" s="125"/>
    </row>
    <row r="734" ht="22.5" customHeight="1">
      <c r="A734" s="125"/>
      <c r="B734" s="125"/>
      <c r="C734" s="125"/>
      <c r="D734" s="125"/>
    </row>
    <row r="735" ht="22.5" customHeight="1">
      <c r="A735" s="125"/>
      <c r="B735" s="125"/>
      <c r="C735" s="125"/>
      <c r="D735" s="125"/>
    </row>
    <row r="736" ht="22.5" customHeight="1">
      <c r="A736" s="125"/>
      <c r="B736" s="125"/>
      <c r="C736" s="125"/>
      <c r="D736" s="125"/>
    </row>
    <row r="737" ht="22.5" customHeight="1">
      <c r="A737" s="125"/>
      <c r="B737" s="125"/>
      <c r="C737" s="125"/>
      <c r="D737" s="125"/>
    </row>
    <row r="738" ht="22.5" customHeight="1">
      <c r="A738" s="125"/>
      <c r="B738" s="125"/>
      <c r="C738" s="125"/>
      <c r="D738" s="125"/>
    </row>
    <row r="739" ht="22.5" customHeight="1">
      <c r="A739" s="125"/>
      <c r="B739" s="125"/>
      <c r="C739" s="125"/>
      <c r="D739" s="125"/>
    </row>
    <row r="740" ht="22.5" customHeight="1">
      <c r="A740" s="125"/>
      <c r="B740" s="125"/>
      <c r="C740" s="125"/>
      <c r="D740" s="125"/>
    </row>
    <row r="741" ht="22.5" customHeight="1">
      <c r="A741" s="125"/>
      <c r="B741" s="125"/>
      <c r="C741" s="125"/>
      <c r="D741" s="125"/>
    </row>
    <row r="742" ht="22.5" customHeight="1">
      <c r="A742" s="125"/>
      <c r="B742" s="125"/>
      <c r="C742" s="125"/>
      <c r="D742" s="125"/>
    </row>
    <row r="743" ht="22.5" customHeight="1">
      <c r="A743" s="125"/>
      <c r="B743" s="125"/>
      <c r="C743" s="125"/>
      <c r="D743" s="125"/>
    </row>
    <row r="744" ht="22.5" customHeight="1">
      <c r="A744" s="125"/>
      <c r="B744" s="125"/>
      <c r="C744" s="125"/>
      <c r="D744" s="125"/>
    </row>
    <row r="745" ht="22.5" customHeight="1">
      <c r="A745" s="125"/>
      <c r="B745" s="125"/>
      <c r="C745" s="125"/>
      <c r="D745" s="125"/>
    </row>
    <row r="746" ht="22.5" customHeight="1">
      <c r="A746" s="125"/>
      <c r="B746" s="125"/>
      <c r="C746" s="125"/>
      <c r="D746" s="125"/>
    </row>
    <row r="747" ht="22.5" customHeight="1">
      <c r="A747" s="125"/>
      <c r="B747" s="125"/>
      <c r="C747" s="125"/>
      <c r="D747" s="125"/>
    </row>
    <row r="748" ht="22.5" customHeight="1">
      <c r="A748" s="125"/>
      <c r="B748" s="125"/>
      <c r="C748" s="125"/>
      <c r="D748" s="125"/>
    </row>
    <row r="749" ht="22.5" customHeight="1">
      <c r="A749" s="125"/>
      <c r="B749" s="125"/>
      <c r="C749" s="125"/>
      <c r="D749" s="125"/>
    </row>
    <row r="750" ht="22.5" customHeight="1">
      <c r="A750" s="125"/>
      <c r="B750" s="125"/>
      <c r="C750" s="125"/>
      <c r="D750" s="125"/>
    </row>
    <row r="751" ht="22.5" customHeight="1">
      <c r="A751" s="125"/>
      <c r="B751" s="125"/>
      <c r="C751" s="125"/>
      <c r="D751" s="125"/>
    </row>
    <row r="752" ht="22.5" customHeight="1">
      <c r="A752" s="125"/>
      <c r="B752" s="125"/>
      <c r="C752" s="125"/>
      <c r="D752" s="125"/>
    </row>
    <row r="753" ht="22.5" customHeight="1">
      <c r="A753" s="125"/>
      <c r="B753" s="125"/>
      <c r="C753" s="125"/>
      <c r="D753" s="125"/>
    </row>
    <row r="754" ht="22.5" customHeight="1">
      <c r="A754" s="125"/>
      <c r="B754" s="125"/>
      <c r="C754" s="125"/>
      <c r="D754" s="125"/>
    </row>
    <row r="755" ht="22.5" customHeight="1">
      <c r="A755" s="125"/>
      <c r="B755" s="125"/>
      <c r="C755" s="125"/>
      <c r="D755" s="125"/>
    </row>
    <row r="756" ht="22.5" customHeight="1">
      <c r="A756" s="125"/>
      <c r="B756" s="125"/>
      <c r="C756" s="125"/>
      <c r="D756" s="125"/>
    </row>
    <row r="757" ht="22.5" customHeight="1">
      <c r="A757" s="125"/>
      <c r="B757" s="125"/>
      <c r="C757" s="125"/>
      <c r="D757" s="125"/>
    </row>
    <row r="758" ht="22.5" customHeight="1">
      <c r="A758" s="125"/>
      <c r="B758" s="125"/>
      <c r="C758" s="125"/>
      <c r="D758" s="125"/>
    </row>
    <row r="759" ht="22.5" customHeight="1">
      <c r="A759" s="125"/>
      <c r="B759" s="125"/>
      <c r="C759" s="125"/>
      <c r="D759" s="125"/>
    </row>
    <row r="760" ht="22.5" customHeight="1">
      <c r="A760" s="125"/>
      <c r="B760" s="125"/>
      <c r="C760" s="125"/>
      <c r="D760" s="125"/>
    </row>
    <row r="761" ht="22.5" customHeight="1">
      <c r="A761" s="125"/>
      <c r="B761" s="125"/>
      <c r="C761" s="125"/>
      <c r="D761" s="125"/>
    </row>
    <row r="762" ht="22.5" customHeight="1">
      <c r="A762" s="125"/>
      <c r="B762" s="125"/>
      <c r="C762" s="125"/>
      <c r="D762" s="125"/>
    </row>
    <row r="763" ht="22.5" customHeight="1">
      <c r="A763" s="125"/>
      <c r="B763" s="125"/>
      <c r="C763" s="125"/>
      <c r="D763" s="125"/>
    </row>
    <row r="764" ht="22.5" customHeight="1">
      <c r="A764" s="125"/>
      <c r="B764" s="125"/>
      <c r="C764" s="125"/>
      <c r="D764" s="125"/>
    </row>
    <row r="765" ht="22.5" customHeight="1">
      <c r="A765" s="125"/>
      <c r="B765" s="125"/>
      <c r="C765" s="125"/>
      <c r="D765" s="125"/>
    </row>
    <row r="766" ht="22.5" customHeight="1">
      <c r="A766" s="125"/>
      <c r="B766" s="125"/>
      <c r="C766" s="125"/>
      <c r="D766" s="125"/>
    </row>
    <row r="767" ht="22.5" customHeight="1">
      <c r="A767" s="125"/>
      <c r="B767" s="125"/>
      <c r="C767" s="125"/>
      <c r="D767" s="125"/>
    </row>
    <row r="768" ht="22.5" customHeight="1">
      <c r="A768" s="125"/>
      <c r="B768" s="125"/>
      <c r="C768" s="125"/>
      <c r="D768" s="125"/>
    </row>
    <row r="769" ht="22.5" customHeight="1">
      <c r="A769" s="125"/>
      <c r="B769" s="125"/>
      <c r="C769" s="125"/>
      <c r="D769" s="125"/>
    </row>
    <row r="770" ht="22.5" customHeight="1">
      <c r="A770" s="125"/>
      <c r="B770" s="125"/>
      <c r="C770" s="125"/>
      <c r="D770" s="125"/>
    </row>
    <row r="771" ht="22.5" customHeight="1">
      <c r="A771" s="125"/>
      <c r="B771" s="125"/>
      <c r="C771" s="125"/>
      <c r="D771" s="125"/>
    </row>
    <row r="772" ht="22.5" customHeight="1">
      <c r="A772" s="125"/>
      <c r="B772" s="125"/>
      <c r="C772" s="125"/>
      <c r="D772" s="125"/>
    </row>
    <row r="773" ht="22.5" customHeight="1">
      <c r="A773" s="125"/>
      <c r="B773" s="125"/>
      <c r="C773" s="125"/>
      <c r="D773" s="125"/>
    </row>
    <row r="774" ht="22.5" customHeight="1">
      <c r="A774" s="125"/>
      <c r="B774" s="125"/>
      <c r="C774" s="125"/>
      <c r="D774" s="125"/>
    </row>
    <row r="775" ht="22.5" customHeight="1">
      <c r="A775" s="125"/>
      <c r="B775" s="125"/>
      <c r="C775" s="125"/>
      <c r="D775" s="125"/>
    </row>
    <row r="776" ht="22.5" customHeight="1">
      <c r="A776" s="125"/>
      <c r="B776" s="125"/>
      <c r="C776" s="125"/>
      <c r="D776" s="125"/>
    </row>
    <row r="777" ht="22.5" customHeight="1">
      <c r="A777" s="125"/>
      <c r="B777" s="125"/>
      <c r="C777" s="125"/>
      <c r="D777" s="125"/>
    </row>
    <row r="778" ht="22.5" customHeight="1">
      <c r="A778" s="125"/>
      <c r="B778" s="125"/>
      <c r="C778" s="125"/>
      <c r="D778" s="125"/>
    </row>
    <row r="779" ht="22.5" customHeight="1">
      <c r="A779" s="125"/>
      <c r="B779" s="125"/>
      <c r="C779" s="125"/>
      <c r="D779" s="125"/>
    </row>
    <row r="780" ht="22.5" customHeight="1">
      <c r="A780" s="125"/>
      <c r="B780" s="125"/>
      <c r="C780" s="125"/>
      <c r="D780" s="125"/>
    </row>
    <row r="781" ht="22.5" customHeight="1">
      <c r="A781" s="125"/>
      <c r="B781" s="125"/>
      <c r="C781" s="125"/>
      <c r="D781" s="125"/>
    </row>
    <row r="782" ht="22.5" customHeight="1">
      <c r="A782" s="125"/>
      <c r="B782" s="125"/>
      <c r="C782" s="125"/>
      <c r="D782" s="125"/>
    </row>
    <row r="783" ht="22.5" customHeight="1">
      <c r="A783" s="125"/>
      <c r="B783" s="125"/>
      <c r="C783" s="125"/>
      <c r="D783" s="125"/>
    </row>
    <row r="784" ht="22.5" customHeight="1">
      <c r="A784" s="125"/>
      <c r="B784" s="125"/>
      <c r="C784" s="125"/>
      <c r="D784" s="125"/>
    </row>
    <row r="785" ht="22.5" customHeight="1">
      <c r="A785" s="125"/>
      <c r="B785" s="125"/>
      <c r="C785" s="125"/>
      <c r="D785" s="125"/>
    </row>
    <row r="786" ht="22.5" customHeight="1">
      <c r="A786" s="125"/>
      <c r="B786" s="125"/>
      <c r="C786" s="125"/>
      <c r="D786" s="125"/>
    </row>
    <row r="787" ht="22.5" customHeight="1">
      <c r="A787" s="125"/>
      <c r="B787" s="125"/>
      <c r="C787" s="125"/>
      <c r="D787" s="125"/>
    </row>
    <row r="788" ht="22.5" customHeight="1">
      <c r="A788" s="125"/>
      <c r="B788" s="125"/>
      <c r="C788" s="125"/>
      <c r="D788" s="125"/>
    </row>
    <row r="789" ht="22.5" customHeight="1">
      <c r="A789" s="125"/>
      <c r="B789" s="125"/>
      <c r="C789" s="125"/>
      <c r="D789" s="125"/>
    </row>
    <row r="790" ht="22.5" customHeight="1">
      <c r="A790" s="125"/>
      <c r="B790" s="125"/>
      <c r="C790" s="125"/>
      <c r="D790" s="125"/>
    </row>
    <row r="791" ht="22.5" customHeight="1">
      <c r="A791" s="125"/>
      <c r="B791" s="125"/>
      <c r="C791" s="125"/>
      <c r="D791" s="125"/>
    </row>
    <row r="792" ht="22.5" customHeight="1">
      <c r="A792" s="125"/>
      <c r="B792" s="125"/>
      <c r="C792" s="125"/>
      <c r="D792" s="125"/>
    </row>
    <row r="793" ht="22.5" customHeight="1">
      <c r="A793" s="125"/>
      <c r="B793" s="125"/>
      <c r="C793" s="125"/>
      <c r="D793" s="125"/>
    </row>
    <row r="794" ht="22.5" customHeight="1">
      <c r="A794" s="125"/>
      <c r="B794" s="125"/>
      <c r="C794" s="125"/>
      <c r="D794" s="125"/>
    </row>
    <row r="795" ht="22.5" customHeight="1">
      <c r="A795" s="125"/>
      <c r="B795" s="125"/>
      <c r="C795" s="125"/>
      <c r="D795" s="125"/>
    </row>
    <row r="796" ht="22.5" customHeight="1">
      <c r="A796" s="125"/>
      <c r="B796" s="125"/>
      <c r="C796" s="125"/>
      <c r="D796" s="125"/>
    </row>
    <row r="797" ht="22.5" customHeight="1">
      <c r="A797" s="125"/>
      <c r="B797" s="125"/>
      <c r="C797" s="125"/>
      <c r="D797" s="125"/>
    </row>
    <row r="798" ht="22.5" customHeight="1">
      <c r="A798" s="125"/>
      <c r="B798" s="125"/>
      <c r="C798" s="125"/>
      <c r="D798" s="125"/>
    </row>
    <row r="799" ht="22.5" customHeight="1">
      <c r="A799" s="125"/>
      <c r="B799" s="125"/>
      <c r="C799" s="125"/>
      <c r="D799" s="125"/>
    </row>
    <row r="800" ht="22.5" customHeight="1">
      <c r="A800" s="125"/>
      <c r="B800" s="125"/>
      <c r="C800" s="125"/>
      <c r="D800" s="125"/>
    </row>
    <row r="801" ht="22.5" customHeight="1">
      <c r="A801" s="125"/>
      <c r="B801" s="125"/>
      <c r="C801" s="125"/>
      <c r="D801" s="125"/>
    </row>
    <row r="802" ht="22.5" customHeight="1">
      <c r="A802" s="125"/>
      <c r="B802" s="125"/>
      <c r="C802" s="125"/>
      <c r="D802" s="125"/>
    </row>
    <row r="803" ht="22.5" customHeight="1">
      <c r="A803" s="125"/>
      <c r="B803" s="125"/>
      <c r="C803" s="125"/>
      <c r="D803" s="125"/>
    </row>
    <row r="804" ht="22.5" customHeight="1">
      <c r="A804" s="125"/>
      <c r="B804" s="125"/>
      <c r="C804" s="125"/>
      <c r="D804" s="125"/>
    </row>
    <row r="805" ht="22.5" customHeight="1">
      <c r="A805" s="125"/>
      <c r="B805" s="125"/>
      <c r="C805" s="125"/>
      <c r="D805" s="125"/>
    </row>
    <row r="806" ht="22.5" customHeight="1">
      <c r="A806" s="125"/>
      <c r="B806" s="125"/>
      <c r="C806" s="125"/>
      <c r="D806" s="125"/>
    </row>
    <row r="807" ht="22.5" customHeight="1">
      <c r="A807" s="125"/>
      <c r="B807" s="125"/>
      <c r="C807" s="125"/>
      <c r="D807" s="125"/>
    </row>
    <row r="808" ht="22.5" customHeight="1">
      <c r="A808" s="125"/>
      <c r="B808" s="125"/>
      <c r="C808" s="125"/>
      <c r="D808" s="125"/>
    </row>
    <row r="809" ht="22.5" customHeight="1">
      <c r="A809" s="125"/>
      <c r="B809" s="125"/>
      <c r="C809" s="125"/>
      <c r="D809" s="125"/>
    </row>
    <row r="810" ht="22.5" customHeight="1">
      <c r="A810" s="125"/>
      <c r="B810" s="125"/>
      <c r="C810" s="125"/>
      <c r="D810" s="125"/>
    </row>
    <row r="811" ht="22.5" customHeight="1">
      <c r="A811" s="125"/>
      <c r="B811" s="125"/>
      <c r="C811" s="125"/>
      <c r="D811" s="125"/>
    </row>
    <row r="812" ht="22.5" customHeight="1">
      <c r="A812" s="125"/>
      <c r="B812" s="125"/>
      <c r="C812" s="125"/>
      <c r="D812" s="125"/>
    </row>
    <row r="813" ht="22.5" customHeight="1">
      <c r="A813" s="125"/>
      <c r="B813" s="125"/>
      <c r="C813" s="125"/>
      <c r="D813" s="125"/>
    </row>
    <row r="814" ht="22.5" customHeight="1">
      <c r="A814" s="125"/>
      <c r="B814" s="125"/>
      <c r="C814" s="125"/>
      <c r="D814" s="125"/>
    </row>
    <row r="815" ht="22.5" customHeight="1">
      <c r="A815" s="125"/>
      <c r="B815" s="125"/>
      <c r="C815" s="125"/>
      <c r="D815" s="125"/>
    </row>
    <row r="816" ht="22.5" customHeight="1">
      <c r="A816" s="125"/>
      <c r="B816" s="125"/>
      <c r="C816" s="125"/>
      <c r="D816" s="125"/>
    </row>
    <row r="817" ht="22.5" customHeight="1">
      <c r="A817" s="125"/>
      <c r="B817" s="125"/>
      <c r="C817" s="125"/>
      <c r="D817" s="125"/>
    </row>
    <row r="818" ht="22.5" customHeight="1">
      <c r="A818" s="125"/>
      <c r="B818" s="125"/>
      <c r="C818" s="125"/>
      <c r="D818" s="125"/>
    </row>
    <row r="819" ht="22.5" customHeight="1">
      <c r="A819" s="125"/>
      <c r="B819" s="125"/>
      <c r="C819" s="125"/>
      <c r="D819" s="125"/>
    </row>
    <row r="820" ht="22.5" customHeight="1">
      <c r="A820" s="125"/>
      <c r="B820" s="125"/>
      <c r="C820" s="125"/>
      <c r="D820" s="125"/>
    </row>
    <row r="821" ht="22.5" customHeight="1">
      <c r="A821" s="125"/>
      <c r="B821" s="125"/>
      <c r="C821" s="125"/>
      <c r="D821" s="125"/>
    </row>
    <row r="822" ht="22.5" customHeight="1">
      <c r="A822" s="125"/>
      <c r="B822" s="125"/>
      <c r="C822" s="125"/>
      <c r="D822" s="125"/>
    </row>
    <row r="823" ht="22.5" customHeight="1">
      <c r="A823" s="125"/>
      <c r="B823" s="125"/>
      <c r="C823" s="125"/>
      <c r="D823" s="125"/>
    </row>
    <row r="824" ht="22.5" customHeight="1">
      <c r="A824" s="125"/>
      <c r="B824" s="125"/>
      <c r="C824" s="125"/>
      <c r="D824" s="125"/>
    </row>
    <row r="825" ht="22.5" customHeight="1">
      <c r="A825" s="125"/>
      <c r="B825" s="125"/>
      <c r="C825" s="125"/>
      <c r="D825" s="125"/>
    </row>
    <row r="826" ht="22.5" customHeight="1">
      <c r="A826" s="125"/>
      <c r="B826" s="125"/>
      <c r="C826" s="125"/>
      <c r="D826" s="125"/>
    </row>
    <row r="827" ht="22.5" customHeight="1">
      <c r="A827" s="125"/>
      <c r="B827" s="125"/>
      <c r="C827" s="125"/>
      <c r="D827" s="125"/>
    </row>
    <row r="828" ht="22.5" customHeight="1">
      <c r="A828" s="125"/>
      <c r="B828" s="125"/>
      <c r="C828" s="125"/>
      <c r="D828" s="125"/>
    </row>
    <row r="829" ht="22.5" customHeight="1">
      <c r="A829" s="125"/>
      <c r="B829" s="125"/>
      <c r="C829" s="125"/>
      <c r="D829" s="125"/>
    </row>
    <row r="830" ht="22.5" customHeight="1">
      <c r="A830" s="125"/>
      <c r="B830" s="125"/>
      <c r="C830" s="125"/>
      <c r="D830" s="125"/>
    </row>
    <row r="831" ht="22.5" customHeight="1">
      <c r="A831" s="125"/>
      <c r="B831" s="125"/>
      <c r="C831" s="125"/>
      <c r="D831" s="125"/>
    </row>
    <row r="832" ht="22.5" customHeight="1">
      <c r="A832" s="125"/>
      <c r="B832" s="125"/>
      <c r="C832" s="125"/>
      <c r="D832" s="125"/>
    </row>
    <row r="833" ht="22.5" customHeight="1">
      <c r="A833" s="125"/>
      <c r="B833" s="125"/>
      <c r="C833" s="125"/>
      <c r="D833" s="125"/>
    </row>
    <row r="834" ht="22.5" customHeight="1">
      <c r="A834" s="125"/>
      <c r="B834" s="125"/>
      <c r="C834" s="125"/>
      <c r="D834" s="125"/>
    </row>
    <row r="835" ht="22.5" customHeight="1">
      <c r="A835" s="125"/>
      <c r="B835" s="125"/>
      <c r="C835" s="125"/>
      <c r="D835" s="125"/>
    </row>
    <row r="836" ht="22.5" customHeight="1">
      <c r="A836" s="125"/>
      <c r="B836" s="125"/>
      <c r="C836" s="125"/>
      <c r="D836" s="125"/>
    </row>
    <row r="837" ht="22.5" customHeight="1">
      <c r="A837" s="125"/>
      <c r="B837" s="125"/>
      <c r="C837" s="125"/>
      <c r="D837" s="125"/>
    </row>
    <row r="838" ht="22.5" customHeight="1">
      <c r="A838" s="125"/>
      <c r="B838" s="125"/>
      <c r="C838" s="125"/>
      <c r="D838" s="125"/>
    </row>
    <row r="839" ht="22.5" customHeight="1">
      <c r="A839" s="125"/>
      <c r="B839" s="125"/>
      <c r="C839" s="125"/>
      <c r="D839" s="125"/>
    </row>
    <row r="840" ht="22.5" customHeight="1">
      <c r="A840" s="125"/>
      <c r="B840" s="125"/>
      <c r="C840" s="125"/>
      <c r="D840" s="125"/>
    </row>
    <row r="841" ht="22.5" customHeight="1">
      <c r="A841" s="125"/>
      <c r="B841" s="125"/>
      <c r="C841" s="125"/>
      <c r="D841" s="125"/>
    </row>
    <row r="842" ht="22.5" customHeight="1">
      <c r="A842" s="125"/>
      <c r="B842" s="125"/>
      <c r="C842" s="125"/>
      <c r="D842" s="125"/>
    </row>
    <row r="843" ht="22.5" customHeight="1">
      <c r="A843" s="125"/>
      <c r="B843" s="125"/>
      <c r="C843" s="125"/>
      <c r="D843" s="125"/>
    </row>
    <row r="844" ht="22.5" customHeight="1">
      <c r="A844" s="125"/>
      <c r="B844" s="125"/>
      <c r="C844" s="125"/>
      <c r="D844" s="125"/>
    </row>
    <row r="845" ht="22.5" customHeight="1">
      <c r="A845" s="125"/>
      <c r="B845" s="125"/>
      <c r="C845" s="125"/>
      <c r="D845" s="125"/>
    </row>
    <row r="846" ht="22.5" customHeight="1">
      <c r="A846" s="125"/>
      <c r="B846" s="125"/>
      <c r="C846" s="125"/>
      <c r="D846" s="125"/>
    </row>
    <row r="847" ht="22.5" customHeight="1">
      <c r="A847" s="125"/>
      <c r="B847" s="125"/>
      <c r="C847" s="125"/>
      <c r="D847" s="125"/>
    </row>
    <row r="848" ht="22.5" customHeight="1">
      <c r="A848" s="125"/>
      <c r="B848" s="125"/>
      <c r="C848" s="125"/>
      <c r="D848" s="125"/>
    </row>
    <row r="849" ht="22.5" customHeight="1">
      <c r="A849" s="125"/>
      <c r="B849" s="125"/>
      <c r="C849" s="125"/>
      <c r="D849" s="125"/>
    </row>
    <row r="850" ht="22.5" customHeight="1">
      <c r="A850" s="125"/>
      <c r="B850" s="125"/>
      <c r="C850" s="125"/>
      <c r="D850" s="125"/>
    </row>
    <row r="851" ht="22.5" customHeight="1">
      <c r="A851" s="125"/>
      <c r="B851" s="125"/>
      <c r="C851" s="125"/>
      <c r="D851" s="125"/>
    </row>
    <row r="852" ht="22.5" customHeight="1">
      <c r="A852" s="125"/>
      <c r="B852" s="125"/>
      <c r="C852" s="125"/>
      <c r="D852" s="125"/>
    </row>
    <row r="853" ht="22.5" customHeight="1">
      <c r="A853" s="125"/>
      <c r="B853" s="125"/>
      <c r="C853" s="125"/>
      <c r="D853" s="125"/>
    </row>
    <row r="854" ht="22.5" customHeight="1">
      <c r="A854" s="125"/>
      <c r="B854" s="125"/>
      <c r="C854" s="125"/>
      <c r="D854" s="125"/>
    </row>
    <row r="855" ht="22.5" customHeight="1">
      <c r="A855" s="125"/>
      <c r="B855" s="125"/>
      <c r="C855" s="125"/>
      <c r="D855" s="125"/>
    </row>
    <row r="856" ht="22.5" customHeight="1">
      <c r="A856" s="125"/>
      <c r="B856" s="125"/>
      <c r="C856" s="125"/>
      <c r="D856" s="125"/>
    </row>
    <row r="857" ht="22.5" customHeight="1">
      <c r="A857" s="125"/>
      <c r="B857" s="125"/>
      <c r="C857" s="125"/>
      <c r="D857" s="125"/>
    </row>
    <row r="858" ht="22.5" customHeight="1">
      <c r="A858" s="125"/>
      <c r="B858" s="125"/>
      <c r="C858" s="125"/>
      <c r="D858" s="125"/>
    </row>
    <row r="859" ht="22.5" customHeight="1">
      <c r="A859" s="125"/>
      <c r="B859" s="125"/>
      <c r="C859" s="125"/>
      <c r="D859" s="125"/>
    </row>
    <row r="860" ht="22.5" customHeight="1">
      <c r="A860" s="125"/>
      <c r="B860" s="125"/>
      <c r="C860" s="125"/>
      <c r="D860" s="125"/>
    </row>
    <row r="861" ht="22.5" customHeight="1">
      <c r="A861" s="125"/>
      <c r="B861" s="125"/>
      <c r="C861" s="125"/>
      <c r="D861" s="125"/>
    </row>
    <row r="862" ht="22.5" customHeight="1">
      <c r="A862" s="125"/>
      <c r="B862" s="125"/>
      <c r="C862" s="125"/>
      <c r="D862" s="125"/>
    </row>
    <row r="863" ht="22.5" customHeight="1">
      <c r="A863" s="125"/>
      <c r="B863" s="125"/>
      <c r="C863" s="125"/>
      <c r="D863" s="125"/>
    </row>
    <row r="864" ht="22.5" customHeight="1">
      <c r="A864" s="125"/>
      <c r="B864" s="125"/>
      <c r="C864" s="125"/>
      <c r="D864" s="125"/>
    </row>
    <row r="865" ht="22.5" customHeight="1">
      <c r="A865" s="125"/>
      <c r="B865" s="125"/>
      <c r="C865" s="125"/>
      <c r="D865" s="125"/>
    </row>
    <row r="866" ht="22.5" customHeight="1">
      <c r="A866" s="125"/>
      <c r="B866" s="125"/>
      <c r="C866" s="125"/>
      <c r="D866" s="125"/>
    </row>
    <row r="867" ht="22.5" customHeight="1">
      <c r="A867" s="125"/>
      <c r="B867" s="125"/>
      <c r="C867" s="125"/>
      <c r="D867" s="125"/>
    </row>
    <row r="868" ht="22.5" customHeight="1">
      <c r="A868" s="125"/>
      <c r="B868" s="125"/>
      <c r="C868" s="125"/>
      <c r="D868" s="125"/>
    </row>
    <row r="869" ht="22.5" customHeight="1">
      <c r="A869" s="125"/>
      <c r="B869" s="125"/>
      <c r="C869" s="125"/>
      <c r="D869" s="125"/>
    </row>
    <row r="870" ht="22.5" customHeight="1">
      <c r="A870" s="125"/>
      <c r="B870" s="125"/>
      <c r="C870" s="125"/>
      <c r="D870" s="125"/>
    </row>
    <row r="871" ht="22.5" customHeight="1">
      <c r="A871" s="125"/>
      <c r="B871" s="125"/>
      <c r="C871" s="125"/>
      <c r="D871" s="125"/>
    </row>
    <row r="872" ht="22.5" customHeight="1">
      <c r="A872" s="125"/>
      <c r="B872" s="125"/>
      <c r="C872" s="125"/>
      <c r="D872" s="125"/>
    </row>
    <row r="873" ht="22.5" customHeight="1">
      <c r="A873" s="125"/>
      <c r="B873" s="125"/>
      <c r="C873" s="125"/>
      <c r="D873" s="125"/>
    </row>
    <row r="874" ht="22.5" customHeight="1">
      <c r="A874" s="125"/>
      <c r="B874" s="125"/>
      <c r="C874" s="125"/>
      <c r="D874" s="125"/>
    </row>
    <row r="875" ht="22.5" customHeight="1">
      <c r="A875" s="125"/>
      <c r="B875" s="125"/>
      <c r="C875" s="125"/>
      <c r="D875" s="125"/>
    </row>
    <row r="876" ht="22.5" customHeight="1">
      <c r="A876" s="125"/>
      <c r="B876" s="125"/>
      <c r="C876" s="125"/>
      <c r="D876" s="125"/>
    </row>
    <row r="877" ht="22.5" customHeight="1">
      <c r="A877" s="125"/>
      <c r="B877" s="125"/>
      <c r="C877" s="125"/>
      <c r="D877" s="125"/>
    </row>
    <row r="878" ht="22.5" customHeight="1">
      <c r="A878" s="125"/>
      <c r="B878" s="125"/>
      <c r="C878" s="125"/>
      <c r="D878" s="125"/>
    </row>
    <row r="879" ht="22.5" customHeight="1">
      <c r="A879" s="125"/>
      <c r="B879" s="125"/>
      <c r="C879" s="125"/>
      <c r="D879" s="125"/>
    </row>
    <row r="880" ht="22.5" customHeight="1">
      <c r="A880" s="125"/>
      <c r="B880" s="125"/>
      <c r="C880" s="125"/>
      <c r="D880" s="125"/>
    </row>
    <row r="881" ht="22.5" customHeight="1">
      <c r="A881" s="125"/>
      <c r="B881" s="125"/>
      <c r="C881" s="125"/>
      <c r="D881" s="125"/>
    </row>
    <row r="882" ht="22.5" customHeight="1">
      <c r="A882" s="125"/>
      <c r="B882" s="125"/>
      <c r="C882" s="125"/>
      <c r="D882" s="125"/>
    </row>
    <row r="883" ht="22.5" customHeight="1">
      <c r="A883" s="125"/>
      <c r="B883" s="125"/>
      <c r="C883" s="125"/>
      <c r="D883" s="125"/>
    </row>
    <row r="884" ht="22.5" customHeight="1">
      <c r="A884" s="125"/>
      <c r="B884" s="125"/>
      <c r="C884" s="125"/>
      <c r="D884" s="125"/>
    </row>
    <row r="885" ht="22.5" customHeight="1">
      <c r="A885" s="125"/>
      <c r="B885" s="125"/>
      <c r="C885" s="125"/>
      <c r="D885" s="125"/>
    </row>
    <row r="886" ht="22.5" customHeight="1">
      <c r="A886" s="125"/>
      <c r="B886" s="125"/>
      <c r="C886" s="125"/>
      <c r="D886" s="125"/>
    </row>
    <row r="887" ht="22.5" customHeight="1">
      <c r="A887" s="125"/>
      <c r="B887" s="125"/>
      <c r="C887" s="125"/>
      <c r="D887" s="125"/>
    </row>
    <row r="888" ht="22.5" customHeight="1">
      <c r="A888" s="125"/>
      <c r="B888" s="125"/>
      <c r="C888" s="125"/>
      <c r="D888" s="125"/>
    </row>
    <row r="889" ht="22.5" customHeight="1">
      <c r="A889" s="125"/>
      <c r="B889" s="125"/>
      <c r="C889" s="125"/>
      <c r="D889" s="125"/>
    </row>
    <row r="890" ht="22.5" customHeight="1">
      <c r="A890" s="125"/>
      <c r="B890" s="125"/>
      <c r="C890" s="125"/>
      <c r="D890" s="125"/>
    </row>
    <row r="891" ht="22.5" customHeight="1">
      <c r="A891" s="125"/>
      <c r="B891" s="125"/>
      <c r="C891" s="125"/>
      <c r="D891" s="125"/>
    </row>
    <row r="892" ht="22.5" customHeight="1">
      <c r="A892" s="125"/>
      <c r="B892" s="125"/>
      <c r="C892" s="125"/>
      <c r="D892" s="125"/>
    </row>
    <row r="893" ht="22.5" customHeight="1">
      <c r="A893" s="125"/>
      <c r="B893" s="125"/>
      <c r="C893" s="125"/>
      <c r="D893" s="125"/>
    </row>
    <row r="894" ht="22.5" customHeight="1">
      <c r="A894" s="125"/>
      <c r="B894" s="125"/>
      <c r="C894" s="125"/>
      <c r="D894" s="125"/>
    </row>
    <row r="895" ht="22.5" customHeight="1">
      <c r="A895" s="125"/>
      <c r="B895" s="125"/>
      <c r="C895" s="125"/>
      <c r="D895" s="125"/>
    </row>
    <row r="896" ht="22.5" customHeight="1">
      <c r="A896" s="125"/>
      <c r="B896" s="125"/>
      <c r="C896" s="125"/>
      <c r="D896" s="125"/>
    </row>
    <row r="897" ht="22.5" customHeight="1">
      <c r="A897" s="125"/>
      <c r="B897" s="125"/>
      <c r="C897" s="125"/>
      <c r="D897" s="125"/>
    </row>
    <row r="898" ht="22.5" customHeight="1">
      <c r="A898" s="125"/>
      <c r="B898" s="125"/>
      <c r="C898" s="125"/>
      <c r="D898" s="125"/>
    </row>
    <row r="899" ht="22.5" customHeight="1">
      <c r="A899" s="125"/>
      <c r="B899" s="125"/>
      <c r="C899" s="125"/>
      <c r="D899" s="125"/>
    </row>
    <row r="900" ht="22.5" customHeight="1">
      <c r="A900" s="125"/>
      <c r="B900" s="125"/>
      <c r="C900" s="125"/>
      <c r="D900" s="125"/>
    </row>
    <row r="901" ht="22.5" customHeight="1">
      <c r="A901" s="125"/>
      <c r="B901" s="125"/>
      <c r="C901" s="125"/>
      <c r="D901" s="125"/>
    </row>
    <row r="902" ht="22.5" customHeight="1">
      <c r="A902" s="125"/>
      <c r="B902" s="125"/>
      <c r="C902" s="125"/>
      <c r="D902" s="125"/>
    </row>
    <row r="903" ht="22.5" customHeight="1">
      <c r="A903" s="125"/>
      <c r="B903" s="125"/>
      <c r="C903" s="125"/>
      <c r="D903" s="125"/>
    </row>
    <row r="904" ht="22.5" customHeight="1">
      <c r="A904" s="125"/>
      <c r="B904" s="125"/>
      <c r="C904" s="125"/>
      <c r="D904" s="125"/>
    </row>
    <row r="905" ht="22.5" customHeight="1">
      <c r="A905" s="125"/>
      <c r="B905" s="125"/>
      <c r="C905" s="125"/>
      <c r="D905" s="125"/>
    </row>
    <row r="906" ht="22.5" customHeight="1">
      <c r="A906" s="125"/>
      <c r="B906" s="125"/>
      <c r="C906" s="125"/>
      <c r="D906" s="125"/>
    </row>
    <row r="907" ht="22.5" customHeight="1">
      <c r="A907" s="125"/>
      <c r="B907" s="125"/>
      <c r="C907" s="125"/>
      <c r="D907" s="125"/>
    </row>
    <row r="908" ht="22.5" customHeight="1">
      <c r="A908" s="125"/>
      <c r="B908" s="125"/>
      <c r="C908" s="125"/>
      <c r="D908" s="125"/>
    </row>
    <row r="909" ht="22.5" customHeight="1">
      <c r="A909" s="125"/>
      <c r="B909" s="125"/>
      <c r="C909" s="125"/>
      <c r="D909" s="125"/>
    </row>
    <row r="910" ht="22.5" customHeight="1">
      <c r="A910" s="125"/>
      <c r="B910" s="125"/>
      <c r="C910" s="125"/>
      <c r="D910" s="125"/>
    </row>
    <row r="911" ht="22.5" customHeight="1">
      <c r="A911" s="125"/>
      <c r="B911" s="125"/>
      <c r="C911" s="125"/>
      <c r="D911" s="125"/>
    </row>
    <row r="912" ht="22.5" customHeight="1">
      <c r="A912" s="125"/>
      <c r="B912" s="125"/>
      <c r="C912" s="125"/>
      <c r="D912" s="125"/>
    </row>
    <row r="913" ht="22.5" customHeight="1">
      <c r="A913" s="125"/>
      <c r="B913" s="125"/>
      <c r="C913" s="125"/>
      <c r="D913" s="125"/>
    </row>
    <row r="914" ht="22.5" customHeight="1">
      <c r="A914" s="125"/>
      <c r="B914" s="125"/>
      <c r="C914" s="125"/>
      <c r="D914" s="125"/>
    </row>
    <row r="915" ht="22.5" customHeight="1">
      <c r="A915" s="125"/>
      <c r="B915" s="125"/>
      <c r="C915" s="125"/>
      <c r="D915" s="125"/>
    </row>
    <row r="916" ht="22.5" customHeight="1">
      <c r="A916" s="125"/>
      <c r="B916" s="125"/>
      <c r="C916" s="125"/>
      <c r="D916" s="125"/>
    </row>
    <row r="917" ht="22.5" customHeight="1">
      <c r="A917" s="125"/>
      <c r="B917" s="125"/>
      <c r="C917" s="125"/>
      <c r="D917" s="125"/>
    </row>
    <row r="918" ht="22.5" customHeight="1">
      <c r="A918" s="125"/>
      <c r="B918" s="125"/>
      <c r="C918" s="125"/>
      <c r="D918" s="125"/>
    </row>
    <row r="919" ht="22.5" customHeight="1">
      <c r="A919" s="125"/>
      <c r="B919" s="125"/>
      <c r="C919" s="125"/>
      <c r="D919" s="125"/>
    </row>
    <row r="920" ht="22.5" customHeight="1">
      <c r="A920" s="125"/>
      <c r="B920" s="125"/>
      <c r="C920" s="125"/>
      <c r="D920" s="125"/>
    </row>
    <row r="921" ht="22.5" customHeight="1">
      <c r="A921" s="125"/>
      <c r="B921" s="125"/>
      <c r="C921" s="125"/>
      <c r="D921" s="125"/>
    </row>
    <row r="922" ht="22.5" customHeight="1">
      <c r="A922" s="125"/>
      <c r="B922" s="125"/>
      <c r="C922" s="125"/>
      <c r="D922" s="125"/>
    </row>
    <row r="923" ht="22.5" customHeight="1">
      <c r="A923" s="125"/>
      <c r="B923" s="125"/>
      <c r="C923" s="125"/>
      <c r="D923" s="125"/>
    </row>
    <row r="924" ht="22.5" customHeight="1">
      <c r="A924" s="125"/>
      <c r="B924" s="125"/>
      <c r="C924" s="125"/>
      <c r="D924" s="125"/>
    </row>
    <row r="925" ht="22.5" customHeight="1">
      <c r="A925" s="125"/>
      <c r="B925" s="125"/>
      <c r="C925" s="125"/>
      <c r="D925" s="125"/>
    </row>
    <row r="926" ht="22.5" customHeight="1">
      <c r="A926" s="125"/>
      <c r="B926" s="125"/>
      <c r="C926" s="125"/>
      <c r="D926" s="125"/>
    </row>
    <row r="927" ht="22.5" customHeight="1">
      <c r="A927" s="125"/>
      <c r="B927" s="125"/>
      <c r="C927" s="125"/>
      <c r="D927" s="125"/>
    </row>
    <row r="928" ht="22.5" customHeight="1">
      <c r="A928" s="125"/>
      <c r="B928" s="125"/>
      <c r="C928" s="125"/>
      <c r="D928" s="125"/>
    </row>
    <row r="929" ht="22.5" customHeight="1">
      <c r="A929" s="125"/>
      <c r="B929" s="125"/>
      <c r="C929" s="125"/>
      <c r="D929" s="125"/>
    </row>
    <row r="930" ht="22.5" customHeight="1">
      <c r="A930" s="125"/>
      <c r="B930" s="125"/>
      <c r="C930" s="125"/>
      <c r="D930" s="125"/>
    </row>
    <row r="931" ht="22.5" customHeight="1">
      <c r="A931" s="125"/>
      <c r="B931" s="125"/>
      <c r="C931" s="125"/>
      <c r="D931" s="125"/>
    </row>
    <row r="932" ht="22.5" customHeight="1">
      <c r="A932" s="125"/>
      <c r="B932" s="125"/>
      <c r="C932" s="125"/>
      <c r="D932" s="125"/>
    </row>
    <row r="933" ht="22.5" customHeight="1">
      <c r="A933" s="125"/>
      <c r="B933" s="125"/>
      <c r="C933" s="125"/>
      <c r="D933" s="125"/>
    </row>
    <row r="934" ht="22.5" customHeight="1">
      <c r="A934" s="125"/>
      <c r="B934" s="125"/>
      <c r="C934" s="125"/>
      <c r="D934" s="125"/>
    </row>
    <row r="935" ht="22.5" customHeight="1">
      <c r="A935" s="125"/>
      <c r="B935" s="125"/>
      <c r="C935" s="125"/>
      <c r="D935" s="125"/>
    </row>
    <row r="936" ht="22.5" customHeight="1">
      <c r="A936" s="125"/>
      <c r="B936" s="125"/>
      <c r="C936" s="125"/>
      <c r="D936" s="125"/>
    </row>
    <row r="937" ht="22.5" customHeight="1">
      <c r="A937" s="125"/>
      <c r="B937" s="125"/>
      <c r="C937" s="125"/>
      <c r="D937" s="125"/>
    </row>
    <row r="938" ht="22.5" customHeight="1">
      <c r="A938" s="125"/>
      <c r="B938" s="125"/>
      <c r="C938" s="125"/>
      <c r="D938" s="125"/>
    </row>
    <row r="939" ht="22.5" customHeight="1">
      <c r="A939" s="125"/>
      <c r="B939" s="125"/>
      <c r="C939" s="125"/>
      <c r="D939" s="125"/>
    </row>
    <row r="940" ht="22.5" customHeight="1">
      <c r="A940" s="125"/>
      <c r="B940" s="125"/>
      <c r="C940" s="125"/>
      <c r="D940" s="125"/>
    </row>
    <row r="941" ht="22.5" customHeight="1">
      <c r="A941" s="125"/>
      <c r="B941" s="125"/>
      <c r="C941" s="125"/>
      <c r="D941" s="125"/>
    </row>
    <row r="942" ht="22.5" customHeight="1">
      <c r="A942" s="125"/>
      <c r="B942" s="125"/>
      <c r="C942" s="125"/>
      <c r="D942" s="125"/>
    </row>
    <row r="943" ht="22.5" customHeight="1">
      <c r="A943" s="125"/>
      <c r="B943" s="125"/>
      <c r="C943" s="125"/>
      <c r="D943" s="125"/>
    </row>
    <row r="944" ht="22.5" customHeight="1">
      <c r="A944" s="125"/>
      <c r="B944" s="125"/>
      <c r="C944" s="125"/>
      <c r="D944" s="125"/>
    </row>
    <row r="945" ht="22.5" customHeight="1">
      <c r="A945" s="125"/>
      <c r="B945" s="125"/>
      <c r="C945" s="125"/>
      <c r="D945" s="125"/>
    </row>
    <row r="946" ht="22.5" customHeight="1">
      <c r="A946" s="125"/>
      <c r="B946" s="125"/>
      <c r="C946" s="125"/>
      <c r="D946" s="125"/>
    </row>
    <row r="947" ht="22.5" customHeight="1">
      <c r="A947" s="125"/>
      <c r="B947" s="125"/>
      <c r="C947" s="125"/>
      <c r="D947" s="125"/>
    </row>
    <row r="948" ht="22.5" customHeight="1">
      <c r="A948" s="125"/>
      <c r="B948" s="125"/>
      <c r="C948" s="125"/>
      <c r="D948" s="125"/>
    </row>
    <row r="949" ht="22.5" customHeight="1">
      <c r="A949" s="125"/>
      <c r="B949" s="125"/>
      <c r="C949" s="125"/>
      <c r="D949" s="125"/>
    </row>
    <row r="950" ht="22.5" customHeight="1">
      <c r="A950" s="125"/>
      <c r="B950" s="125"/>
      <c r="C950" s="125"/>
      <c r="D950" s="125"/>
    </row>
    <row r="951" ht="22.5" customHeight="1">
      <c r="A951" s="125"/>
      <c r="B951" s="125"/>
      <c r="C951" s="125"/>
      <c r="D951" s="125"/>
    </row>
    <row r="952" ht="22.5" customHeight="1">
      <c r="A952" s="125"/>
      <c r="B952" s="125"/>
      <c r="C952" s="125"/>
      <c r="D952" s="125"/>
    </row>
    <row r="953" ht="22.5" customHeight="1">
      <c r="A953" s="125"/>
      <c r="B953" s="125"/>
      <c r="C953" s="125"/>
      <c r="D953" s="125"/>
    </row>
    <row r="954" ht="22.5" customHeight="1">
      <c r="A954" s="125"/>
      <c r="B954" s="125"/>
      <c r="C954" s="125"/>
      <c r="D954" s="125"/>
    </row>
    <row r="955" ht="22.5" customHeight="1">
      <c r="A955" s="125"/>
      <c r="B955" s="125"/>
      <c r="C955" s="125"/>
      <c r="D955" s="125"/>
    </row>
    <row r="956" ht="22.5" customHeight="1">
      <c r="A956" s="125"/>
      <c r="B956" s="125"/>
      <c r="C956" s="125"/>
      <c r="D956" s="125"/>
    </row>
    <row r="957" ht="22.5" customHeight="1">
      <c r="A957" s="125"/>
      <c r="B957" s="125"/>
      <c r="C957" s="125"/>
      <c r="D957" s="125"/>
    </row>
    <row r="958" ht="22.5" customHeight="1">
      <c r="A958" s="125"/>
      <c r="B958" s="125"/>
      <c r="C958" s="125"/>
      <c r="D958" s="125"/>
    </row>
    <row r="959" ht="22.5" customHeight="1">
      <c r="A959" s="125"/>
      <c r="B959" s="125"/>
      <c r="C959" s="125"/>
      <c r="D959" s="125"/>
    </row>
    <row r="960" ht="22.5" customHeight="1">
      <c r="A960" s="125"/>
      <c r="B960" s="125"/>
      <c r="C960" s="125"/>
      <c r="D960" s="125"/>
    </row>
    <row r="961" ht="22.5" customHeight="1">
      <c r="A961" s="125"/>
      <c r="B961" s="125"/>
      <c r="C961" s="125"/>
      <c r="D961" s="125"/>
    </row>
    <row r="962" ht="22.5" customHeight="1">
      <c r="A962" s="125"/>
      <c r="B962" s="125"/>
      <c r="C962" s="125"/>
      <c r="D962" s="125"/>
    </row>
    <row r="963" ht="22.5" customHeight="1">
      <c r="A963" s="125"/>
      <c r="B963" s="125"/>
      <c r="C963" s="125"/>
      <c r="D963" s="125"/>
    </row>
    <row r="964" ht="22.5" customHeight="1">
      <c r="A964" s="125"/>
      <c r="B964" s="125"/>
      <c r="C964" s="125"/>
      <c r="D964" s="125"/>
    </row>
    <row r="965" ht="22.5" customHeight="1">
      <c r="A965" s="125"/>
      <c r="B965" s="125"/>
      <c r="C965" s="125"/>
      <c r="D965" s="125"/>
    </row>
    <row r="966" ht="22.5" customHeight="1">
      <c r="A966" s="125"/>
      <c r="B966" s="125"/>
      <c r="C966" s="125"/>
      <c r="D966" s="125"/>
    </row>
    <row r="967" ht="22.5" customHeight="1">
      <c r="A967" s="125"/>
      <c r="B967" s="125"/>
      <c r="C967" s="125"/>
      <c r="D967" s="125"/>
    </row>
    <row r="968" ht="22.5" customHeight="1">
      <c r="A968" s="125"/>
      <c r="B968" s="125"/>
      <c r="C968" s="125"/>
      <c r="D968" s="125"/>
    </row>
    <row r="969" ht="22.5" customHeight="1">
      <c r="A969" s="125"/>
      <c r="B969" s="125"/>
      <c r="C969" s="125"/>
      <c r="D969" s="125"/>
    </row>
    <row r="970" ht="22.5" customHeight="1">
      <c r="A970" s="125"/>
      <c r="B970" s="125"/>
      <c r="C970" s="125"/>
      <c r="D970" s="125"/>
    </row>
    <row r="971" ht="22.5" customHeight="1">
      <c r="A971" s="125"/>
      <c r="B971" s="125"/>
      <c r="C971" s="125"/>
      <c r="D971" s="125"/>
    </row>
    <row r="972" ht="22.5" customHeight="1">
      <c r="A972" s="125"/>
      <c r="B972" s="125"/>
      <c r="C972" s="125"/>
      <c r="D972" s="125"/>
    </row>
    <row r="973" ht="22.5" customHeight="1">
      <c r="A973" s="125"/>
      <c r="B973" s="125"/>
      <c r="C973" s="125"/>
      <c r="D973" s="125"/>
    </row>
    <row r="974" ht="22.5" customHeight="1">
      <c r="A974" s="125"/>
      <c r="B974" s="125"/>
      <c r="C974" s="125"/>
      <c r="D974" s="125"/>
    </row>
    <row r="975" ht="22.5" customHeight="1">
      <c r="A975" s="125"/>
      <c r="B975" s="125"/>
      <c r="C975" s="125"/>
      <c r="D975" s="125"/>
    </row>
    <row r="976" ht="22.5" customHeight="1">
      <c r="A976" s="125"/>
      <c r="B976" s="125"/>
      <c r="C976" s="125"/>
      <c r="D976" s="125"/>
    </row>
    <row r="977" ht="22.5" customHeight="1">
      <c r="A977" s="125"/>
      <c r="B977" s="125"/>
      <c r="C977" s="125"/>
      <c r="D977" s="125"/>
    </row>
    <row r="978" ht="22.5" customHeight="1">
      <c r="A978" s="125"/>
      <c r="B978" s="125"/>
      <c r="C978" s="125"/>
      <c r="D978" s="125"/>
    </row>
    <row r="979" ht="22.5" customHeight="1">
      <c r="A979" s="125"/>
      <c r="B979" s="125"/>
      <c r="C979" s="125"/>
      <c r="D979" s="125"/>
    </row>
    <row r="980" ht="22.5" customHeight="1">
      <c r="A980" s="125"/>
      <c r="B980" s="125"/>
      <c r="C980" s="125"/>
      <c r="D980" s="125"/>
    </row>
    <row r="981" ht="22.5" customHeight="1">
      <c r="A981" s="125"/>
      <c r="B981" s="125"/>
      <c r="C981" s="125"/>
      <c r="D981" s="125"/>
    </row>
    <row r="982" ht="22.5" customHeight="1">
      <c r="A982" s="125"/>
      <c r="B982" s="125"/>
      <c r="C982" s="125"/>
      <c r="D982" s="125"/>
    </row>
    <row r="983" ht="22.5" customHeight="1">
      <c r="A983" s="125"/>
      <c r="B983" s="125"/>
      <c r="C983" s="125"/>
      <c r="D983" s="125"/>
    </row>
    <row r="984" ht="22.5" customHeight="1">
      <c r="A984" s="125"/>
      <c r="B984" s="125"/>
      <c r="C984" s="125"/>
      <c r="D984" s="125"/>
    </row>
    <row r="985" ht="22.5" customHeight="1">
      <c r="A985" s="125"/>
      <c r="B985" s="125"/>
      <c r="C985" s="125"/>
      <c r="D985" s="125"/>
    </row>
    <row r="986" ht="22.5" customHeight="1">
      <c r="A986" s="125"/>
      <c r="B986" s="125"/>
      <c r="C986" s="125"/>
      <c r="D986" s="125"/>
    </row>
    <row r="987" ht="22.5" customHeight="1">
      <c r="A987" s="125"/>
      <c r="B987" s="125"/>
      <c r="C987" s="125"/>
      <c r="D987" s="125"/>
    </row>
    <row r="988" ht="22.5" customHeight="1">
      <c r="A988" s="125"/>
      <c r="B988" s="125"/>
      <c r="C988" s="125"/>
      <c r="D988" s="125"/>
    </row>
    <row r="989" ht="22.5" customHeight="1">
      <c r="A989" s="125"/>
      <c r="B989" s="125"/>
      <c r="C989" s="125"/>
      <c r="D989" s="125"/>
    </row>
    <row r="990" ht="22.5" customHeight="1">
      <c r="A990" s="125"/>
      <c r="B990" s="125"/>
      <c r="C990" s="125"/>
      <c r="D990" s="125"/>
    </row>
    <row r="991" ht="22.5" customHeight="1">
      <c r="A991" s="125"/>
      <c r="B991" s="125"/>
      <c r="C991" s="125"/>
      <c r="D991" s="125"/>
    </row>
    <row r="992" ht="22.5" customHeight="1">
      <c r="A992" s="125"/>
      <c r="B992" s="125"/>
      <c r="C992" s="125"/>
      <c r="D992" s="125"/>
    </row>
    <row r="993" ht="22.5" customHeight="1">
      <c r="A993" s="125"/>
      <c r="B993" s="125"/>
      <c r="C993" s="125"/>
      <c r="D993" s="125"/>
    </row>
    <row r="994" ht="22.5" customHeight="1">
      <c r="A994" s="125"/>
      <c r="B994" s="125"/>
      <c r="C994" s="125"/>
      <c r="D994" s="125"/>
    </row>
    <row r="995" ht="22.5" customHeight="1">
      <c r="A995" s="125"/>
      <c r="B995" s="125"/>
      <c r="C995" s="125"/>
      <c r="D995" s="125"/>
    </row>
    <row r="996" ht="22.5" customHeight="1">
      <c r="A996" s="125"/>
      <c r="B996" s="125"/>
      <c r="C996" s="125"/>
      <c r="D996" s="125"/>
    </row>
    <row r="997" ht="22.5" customHeight="1">
      <c r="A997" s="125"/>
      <c r="B997" s="125"/>
      <c r="C997" s="125"/>
      <c r="D997" s="125"/>
    </row>
    <row r="998" ht="22.5" customHeight="1">
      <c r="A998" s="125"/>
      <c r="B998" s="125"/>
      <c r="C998" s="125"/>
      <c r="D998" s="125"/>
    </row>
    <row r="999" ht="22.5" customHeight="1">
      <c r="A999" s="125"/>
      <c r="B999" s="125"/>
      <c r="C999" s="125"/>
      <c r="D999" s="125"/>
    </row>
    <row r="1000" ht="22.5" customHeight="1">
      <c r="A1000" s="125"/>
      <c r="B1000" s="125"/>
      <c r="C1000" s="125"/>
      <c r="D1000" s="12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2.75"/>
    <col customWidth="1" min="3" max="3" width="28.25"/>
    <col customWidth="1" min="4" max="4" width="32.0"/>
    <col customWidth="1" min="5" max="5" width="38.75"/>
    <col customWidth="1" min="6" max="6" width="25.0"/>
    <col customWidth="1" min="7" max="7" width="22.5"/>
  </cols>
  <sheetData>
    <row r="1">
      <c r="A1" s="137" t="s">
        <v>0</v>
      </c>
      <c r="B1" s="137" t="s">
        <v>1</v>
      </c>
      <c r="C1" s="137" t="s">
        <v>2</v>
      </c>
      <c r="D1" s="137" t="s">
        <v>3</v>
      </c>
      <c r="E1" s="137" t="s">
        <v>5</v>
      </c>
      <c r="F1" s="137" t="s">
        <v>4</v>
      </c>
    </row>
    <row r="2" hidden="1">
      <c r="A2" s="138">
        <v>2.4301219E7</v>
      </c>
      <c r="B2" s="139" t="s">
        <v>35</v>
      </c>
      <c r="C2" s="139" t="s">
        <v>24</v>
      </c>
      <c r="D2" s="140" t="s">
        <v>36</v>
      </c>
      <c r="E2" s="141" t="s">
        <v>37</v>
      </c>
      <c r="F2" s="18"/>
    </row>
    <row r="3" hidden="1">
      <c r="A3" s="142">
        <v>2.4101583E7</v>
      </c>
      <c r="B3" s="143" t="s">
        <v>40</v>
      </c>
      <c r="C3" s="143" t="s">
        <v>24</v>
      </c>
      <c r="D3" s="144" t="s">
        <v>36</v>
      </c>
      <c r="E3" s="145" t="s">
        <v>41</v>
      </c>
      <c r="F3" s="146"/>
    </row>
    <row r="4" hidden="1">
      <c r="A4" s="138">
        <v>2.4201101E7</v>
      </c>
      <c r="B4" s="139" t="s">
        <v>42</v>
      </c>
      <c r="C4" s="139" t="s">
        <v>24</v>
      </c>
      <c r="D4" s="140" t="s">
        <v>36</v>
      </c>
      <c r="E4" s="141" t="s">
        <v>43</v>
      </c>
      <c r="F4" s="18"/>
    </row>
    <row r="5" hidden="1">
      <c r="A5" s="142">
        <v>1.000054682E9</v>
      </c>
      <c r="B5" s="143" t="s">
        <v>44</v>
      </c>
      <c r="C5" s="143" t="s">
        <v>24</v>
      </c>
      <c r="D5" s="144" t="s">
        <v>45</v>
      </c>
      <c r="E5" s="145" t="s">
        <v>46</v>
      </c>
      <c r="F5" s="146"/>
    </row>
    <row r="6" hidden="1">
      <c r="A6" s="138">
        <v>1.000057079E9</v>
      </c>
      <c r="B6" s="139" t="s">
        <v>47</v>
      </c>
      <c r="C6" s="139" t="s">
        <v>24</v>
      </c>
      <c r="D6" s="140" t="s">
        <v>45</v>
      </c>
      <c r="E6" s="141" t="s">
        <v>48</v>
      </c>
      <c r="F6" s="18"/>
    </row>
    <row r="7" hidden="1">
      <c r="A7" s="142">
        <v>2.4101235E7</v>
      </c>
      <c r="B7" s="143" t="s">
        <v>49</v>
      </c>
      <c r="C7" s="143" t="s">
        <v>24</v>
      </c>
      <c r="D7" s="144" t="s">
        <v>45</v>
      </c>
      <c r="E7" s="145" t="s">
        <v>50</v>
      </c>
      <c r="F7" s="146"/>
    </row>
    <row r="8" hidden="1">
      <c r="A8" s="138">
        <v>1.000054931E9</v>
      </c>
      <c r="B8" s="139" t="s">
        <v>51</v>
      </c>
      <c r="C8" s="139" t="s">
        <v>24</v>
      </c>
      <c r="D8" s="140" t="s">
        <v>45</v>
      </c>
      <c r="E8" s="141" t="s">
        <v>52</v>
      </c>
      <c r="F8" s="18"/>
    </row>
    <row r="9" hidden="1">
      <c r="A9" s="142">
        <v>2.4301268E7</v>
      </c>
      <c r="B9" s="143" t="s">
        <v>53</v>
      </c>
      <c r="C9" s="143" t="s">
        <v>24</v>
      </c>
      <c r="D9" s="144" t="s">
        <v>45</v>
      </c>
      <c r="E9" s="145" t="s">
        <v>54</v>
      </c>
      <c r="F9" s="146"/>
    </row>
    <row r="10" hidden="1">
      <c r="A10" s="138">
        <v>2.4101168E7</v>
      </c>
      <c r="B10" s="139" t="s">
        <v>363</v>
      </c>
      <c r="C10" s="139" t="s">
        <v>347</v>
      </c>
      <c r="D10" s="140" t="s">
        <v>36</v>
      </c>
      <c r="E10" s="141" t="s">
        <v>364</v>
      </c>
      <c r="F10" s="141">
        <v>1.925414124E9</v>
      </c>
    </row>
    <row r="11" hidden="1">
      <c r="A11" s="142">
        <v>2.4101349E7</v>
      </c>
      <c r="B11" s="143" t="s">
        <v>365</v>
      </c>
      <c r="C11" s="143" t="s">
        <v>347</v>
      </c>
      <c r="D11" s="144" t="s">
        <v>36</v>
      </c>
      <c r="E11" s="145" t="s">
        <v>366</v>
      </c>
      <c r="F11" s="145">
        <v>1.959990141E9</v>
      </c>
    </row>
    <row r="12" hidden="1">
      <c r="A12" s="138">
        <v>2.4321015E7</v>
      </c>
      <c r="B12" s="139" t="s">
        <v>367</v>
      </c>
      <c r="C12" s="139" t="s">
        <v>347</v>
      </c>
      <c r="D12" s="140" t="s">
        <v>36</v>
      </c>
      <c r="E12" s="141" t="s">
        <v>368</v>
      </c>
      <c r="F12" s="18"/>
    </row>
    <row r="13" hidden="1">
      <c r="A13" s="142">
        <v>2.3201552E7</v>
      </c>
      <c r="B13" s="143" t="s">
        <v>369</v>
      </c>
      <c r="C13" s="143" t="s">
        <v>347</v>
      </c>
      <c r="D13" s="144" t="s">
        <v>36</v>
      </c>
      <c r="E13" s="145" t="s">
        <v>370</v>
      </c>
      <c r="F13" s="146"/>
    </row>
    <row r="14" hidden="1">
      <c r="A14" s="138">
        <v>2.3201397E7</v>
      </c>
      <c r="B14" s="139" t="s">
        <v>371</v>
      </c>
      <c r="C14" s="139" t="s">
        <v>347</v>
      </c>
      <c r="D14" s="140" t="s">
        <v>36</v>
      </c>
      <c r="E14" s="141" t="s">
        <v>372</v>
      </c>
      <c r="F14" s="141">
        <v>1.773054717E9</v>
      </c>
    </row>
    <row r="15" hidden="1">
      <c r="A15" s="142">
        <v>2.4101328E7</v>
      </c>
      <c r="B15" s="143" t="s">
        <v>2977</v>
      </c>
      <c r="C15" s="143" t="s">
        <v>347</v>
      </c>
      <c r="D15" s="144" t="s">
        <v>36</v>
      </c>
      <c r="E15" s="145" t="s">
        <v>374</v>
      </c>
      <c r="F15" s="145">
        <v>1.319800733E9</v>
      </c>
    </row>
    <row r="16" hidden="1">
      <c r="A16" s="138">
        <v>2.4301116E7</v>
      </c>
      <c r="B16" s="139" t="s">
        <v>379</v>
      </c>
      <c r="C16" s="139" t="s">
        <v>347</v>
      </c>
      <c r="D16" s="140" t="s">
        <v>45</v>
      </c>
      <c r="E16" s="141" t="s">
        <v>380</v>
      </c>
      <c r="F16" s="18"/>
    </row>
    <row r="17" hidden="1">
      <c r="A17" s="142">
        <v>2.3201471E7</v>
      </c>
      <c r="B17" s="143" t="s">
        <v>381</v>
      </c>
      <c r="C17" s="143" t="s">
        <v>347</v>
      </c>
      <c r="D17" s="144" t="s">
        <v>45</v>
      </c>
      <c r="E17" s="145" t="s">
        <v>382</v>
      </c>
      <c r="F17" s="146"/>
    </row>
    <row r="18" hidden="1">
      <c r="A18" s="138">
        <v>2.3301639E7</v>
      </c>
      <c r="B18" s="139" t="s">
        <v>427</v>
      </c>
      <c r="C18" s="139" t="s">
        <v>347</v>
      </c>
      <c r="D18" s="140" t="s">
        <v>45</v>
      </c>
      <c r="E18" s="141" t="s">
        <v>428</v>
      </c>
      <c r="F18" s="18"/>
    </row>
    <row r="19" hidden="1">
      <c r="A19" s="142">
        <v>1.000054022E9</v>
      </c>
      <c r="B19" s="143" t="s">
        <v>429</v>
      </c>
      <c r="C19" s="143" t="s">
        <v>347</v>
      </c>
      <c r="D19" s="144" t="s">
        <v>45</v>
      </c>
      <c r="E19" s="145" t="s">
        <v>430</v>
      </c>
      <c r="F19" s="146"/>
    </row>
    <row r="20" hidden="1">
      <c r="A20" s="138">
        <v>2.2299255E7</v>
      </c>
      <c r="B20" s="139" t="s">
        <v>431</v>
      </c>
      <c r="C20" s="139" t="s">
        <v>347</v>
      </c>
      <c r="D20" s="140" t="s">
        <v>45</v>
      </c>
      <c r="E20" s="141" t="s">
        <v>432</v>
      </c>
      <c r="F20" s="18"/>
    </row>
    <row r="21" hidden="1">
      <c r="A21" s="142">
        <v>2.3201517E7</v>
      </c>
      <c r="B21" s="143" t="s">
        <v>433</v>
      </c>
      <c r="C21" s="143" t="s">
        <v>347</v>
      </c>
      <c r="D21" s="144" t="s">
        <v>45</v>
      </c>
      <c r="E21" s="145" t="s">
        <v>434</v>
      </c>
      <c r="F21" s="145">
        <v>1.853111117E9</v>
      </c>
    </row>
    <row r="22" hidden="1">
      <c r="A22" s="138">
        <v>1.000055688E9</v>
      </c>
      <c r="B22" s="139" t="s">
        <v>435</v>
      </c>
      <c r="C22" s="139" t="s">
        <v>347</v>
      </c>
      <c r="D22" s="140" t="s">
        <v>45</v>
      </c>
      <c r="E22" s="141" t="s">
        <v>436</v>
      </c>
      <c r="F22" s="18"/>
    </row>
    <row r="23" hidden="1">
      <c r="A23" s="142">
        <v>1.000055711E9</v>
      </c>
      <c r="B23" s="143" t="s">
        <v>437</v>
      </c>
      <c r="C23" s="143" t="s">
        <v>347</v>
      </c>
      <c r="D23" s="144" t="s">
        <v>45</v>
      </c>
      <c r="E23" s="145" t="s">
        <v>438</v>
      </c>
      <c r="F23" s="146"/>
    </row>
    <row r="24" hidden="1">
      <c r="A24" s="147">
        <v>2.4301544E7</v>
      </c>
      <c r="B24" s="139" t="s">
        <v>871</v>
      </c>
      <c r="C24" s="139" t="s">
        <v>853</v>
      </c>
      <c r="D24" s="148" t="s">
        <v>36</v>
      </c>
      <c r="E24" s="141" t="s">
        <v>872</v>
      </c>
      <c r="F24" s="18"/>
    </row>
    <row r="25" hidden="1">
      <c r="A25" s="149">
        <v>2.3301569E7</v>
      </c>
      <c r="B25" s="143" t="s">
        <v>873</v>
      </c>
      <c r="C25" s="143" t="s">
        <v>853</v>
      </c>
      <c r="D25" s="150" t="s">
        <v>36</v>
      </c>
      <c r="E25" s="145" t="s">
        <v>874</v>
      </c>
      <c r="F25" s="146"/>
    </row>
    <row r="26" hidden="1">
      <c r="A26" s="147">
        <v>2.3301342E7</v>
      </c>
      <c r="B26" s="139" t="s">
        <v>875</v>
      </c>
      <c r="C26" s="139" t="s">
        <v>853</v>
      </c>
      <c r="D26" s="148" t="s">
        <v>36</v>
      </c>
      <c r="E26" s="141" t="s">
        <v>876</v>
      </c>
      <c r="F26" s="141">
        <v>1.992442936E9</v>
      </c>
    </row>
    <row r="27" hidden="1">
      <c r="A27" s="149">
        <v>2.4301053E7</v>
      </c>
      <c r="B27" s="143" t="s">
        <v>877</v>
      </c>
      <c r="C27" s="143" t="s">
        <v>853</v>
      </c>
      <c r="D27" s="150" t="s">
        <v>36</v>
      </c>
      <c r="E27" s="145" t="s">
        <v>878</v>
      </c>
      <c r="F27" s="146"/>
    </row>
    <row r="28" hidden="1">
      <c r="A28" s="147">
        <v>2.4301415E7</v>
      </c>
      <c r="B28" s="139" t="s">
        <v>879</v>
      </c>
      <c r="C28" s="139" t="s">
        <v>853</v>
      </c>
      <c r="D28" s="148" t="s">
        <v>36</v>
      </c>
      <c r="E28" s="141" t="s">
        <v>880</v>
      </c>
      <c r="F28" s="18"/>
    </row>
    <row r="29" hidden="1">
      <c r="A29" s="149">
        <v>2.410123E7</v>
      </c>
      <c r="B29" s="143" t="s">
        <v>881</v>
      </c>
      <c r="C29" s="143" t="s">
        <v>853</v>
      </c>
      <c r="D29" s="150" t="s">
        <v>36</v>
      </c>
      <c r="E29" s="145" t="s">
        <v>882</v>
      </c>
      <c r="F29" s="145">
        <v>1.832894506E9</v>
      </c>
    </row>
    <row r="30" hidden="1">
      <c r="A30" s="147">
        <v>2.2201287E7</v>
      </c>
      <c r="B30" s="139" t="s">
        <v>2978</v>
      </c>
      <c r="C30" s="139" t="s">
        <v>853</v>
      </c>
      <c r="D30" s="148" t="s">
        <v>36</v>
      </c>
      <c r="E30" s="141" t="s">
        <v>2979</v>
      </c>
      <c r="F30" s="18"/>
    </row>
    <row r="31" hidden="1">
      <c r="A31" s="149">
        <v>2.4101244E7</v>
      </c>
      <c r="B31" s="143" t="s">
        <v>883</v>
      </c>
      <c r="C31" s="143" t="s">
        <v>853</v>
      </c>
      <c r="D31" s="150" t="s">
        <v>36</v>
      </c>
      <c r="E31" s="145" t="s">
        <v>884</v>
      </c>
      <c r="F31" s="146"/>
    </row>
    <row r="32" hidden="1">
      <c r="A32" s="147">
        <v>2.4101299E7</v>
      </c>
      <c r="B32" s="139" t="s">
        <v>885</v>
      </c>
      <c r="C32" s="139" t="s">
        <v>853</v>
      </c>
      <c r="D32" s="148" t="s">
        <v>36</v>
      </c>
      <c r="E32" s="141" t="s">
        <v>886</v>
      </c>
      <c r="F32" s="141">
        <v>1.704872124E9</v>
      </c>
    </row>
    <row r="33" hidden="1">
      <c r="A33" s="149">
        <v>2.4101542E7</v>
      </c>
      <c r="B33" s="143" t="s">
        <v>887</v>
      </c>
      <c r="C33" s="143" t="s">
        <v>853</v>
      </c>
      <c r="D33" s="150" t="s">
        <v>36</v>
      </c>
      <c r="E33" s="145" t="s">
        <v>888</v>
      </c>
      <c r="F33" s="146"/>
    </row>
    <row r="34" hidden="1">
      <c r="A34" s="147">
        <v>2.4101551E7</v>
      </c>
      <c r="B34" s="139" t="s">
        <v>889</v>
      </c>
      <c r="C34" s="139" t="s">
        <v>853</v>
      </c>
      <c r="D34" s="148" t="s">
        <v>36</v>
      </c>
      <c r="E34" s="141" t="s">
        <v>890</v>
      </c>
      <c r="F34" s="18"/>
    </row>
    <row r="35" hidden="1">
      <c r="A35" s="149">
        <v>2.4201455E7</v>
      </c>
      <c r="B35" s="143" t="s">
        <v>937</v>
      </c>
      <c r="C35" s="143" t="s">
        <v>853</v>
      </c>
      <c r="D35" s="150" t="s">
        <v>45</v>
      </c>
      <c r="E35" s="145" t="s">
        <v>938</v>
      </c>
      <c r="F35" s="146"/>
    </row>
    <row r="36" hidden="1">
      <c r="A36" s="147">
        <v>2.3201079E7</v>
      </c>
      <c r="B36" s="139" t="s">
        <v>951</v>
      </c>
      <c r="C36" s="139" t="s">
        <v>853</v>
      </c>
      <c r="D36" s="148" t="s">
        <v>45</v>
      </c>
      <c r="E36" s="141" t="s">
        <v>952</v>
      </c>
      <c r="F36" s="18"/>
    </row>
    <row r="37" hidden="1">
      <c r="A37" s="149">
        <v>2.4121018E7</v>
      </c>
      <c r="B37" s="143" t="s">
        <v>953</v>
      </c>
      <c r="C37" s="143" t="s">
        <v>853</v>
      </c>
      <c r="D37" s="150" t="s">
        <v>45</v>
      </c>
      <c r="E37" s="145" t="s">
        <v>954</v>
      </c>
      <c r="F37" s="146"/>
    </row>
    <row r="38" hidden="1">
      <c r="A38" s="147">
        <v>1.000054989E9</v>
      </c>
      <c r="B38" s="139" t="s">
        <v>955</v>
      </c>
      <c r="C38" s="139" t="s">
        <v>853</v>
      </c>
      <c r="D38" s="148" t="s">
        <v>45</v>
      </c>
      <c r="E38" s="141" t="s">
        <v>956</v>
      </c>
      <c r="F38" s="18"/>
    </row>
    <row r="39" hidden="1">
      <c r="A39" s="149">
        <v>2.4201123E7</v>
      </c>
      <c r="B39" s="143" t="s">
        <v>957</v>
      </c>
      <c r="C39" s="143" t="s">
        <v>853</v>
      </c>
      <c r="D39" s="150" t="s">
        <v>45</v>
      </c>
      <c r="E39" s="145" t="s">
        <v>958</v>
      </c>
      <c r="F39" s="146"/>
    </row>
    <row r="40" hidden="1">
      <c r="A40" s="147">
        <v>2.4201153E7</v>
      </c>
      <c r="B40" s="139" t="s">
        <v>959</v>
      </c>
      <c r="C40" s="139" t="s">
        <v>853</v>
      </c>
      <c r="D40" s="148" t="s">
        <v>45</v>
      </c>
      <c r="E40" s="141" t="s">
        <v>960</v>
      </c>
      <c r="F40" s="18"/>
    </row>
    <row r="41" hidden="1">
      <c r="A41" s="149">
        <v>2.4226205E7</v>
      </c>
      <c r="B41" s="143" t="s">
        <v>961</v>
      </c>
      <c r="C41" s="143" t="s">
        <v>853</v>
      </c>
      <c r="D41" s="150" t="s">
        <v>45</v>
      </c>
      <c r="E41" s="145" t="s">
        <v>962</v>
      </c>
      <c r="F41" s="146"/>
    </row>
    <row r="42" hidden="1">
      <c r="A42" s="147">
        <v>1.000055729E9</v>
      </c>
      <c r="B42" s="139" t="s">
        <v>963</v>
      </c>
      <c r="C42" s="139" t="s">
        <v>853</v>
      </c>
      <c r="D42" s="148" t="s">
        <v>45</v>
      </c>
      <c r="E42" s="141" t="s">
        <v>964</v>
      </c>
      <c r="F42" s="18"/>
    </row>
    <row r="43" hidden="1">
      <c r="A43" s="149">
        <v>1.000056707E9</v>
      </c>
      <c r="B43" s="143" t="s">
        <v>965</v>
      </c>
      <c r="C43" s="143" t="s">
        <v>853</v>
      </c>
      <c r="D43" s="150" t="s">
        <v>45</v>
      </c>
      <c r="E43" s="145" t="s">
        <v>966</v>
      </c>
      <c r="F43" s="146"/>
    </row>
    <row r="44" hidden="1">
      <c r="A44" s="147">
        <v>2.320119E7</v>
      </c>
      <c r="B44" s="139" t="s">
        <v>967</v>
      </c>
      <c r="C44" s="139" t="s">
        <v>853</v>
      </c>
      <c r="D44" s="148" t="s">
        <v>45</v>
      </c>
      <c r="E44" s="141" t="s">
        <v>968</v>
      </c>
      <c r="F44" s="141">
        <v>1.821105888E9</v>
      </c>
    </row>
    <row r="45" hidden="1">
      <c r="A45" s="149">
        <v>2.4101261E7</v>
      </c>
      <c r="B45" s="143" t="s">
        <v>939</v>
      </c>
      <c r="C45" s="143" t="s">
        <v>853</v>
      </c>
      <c r="D45" s="150" t="s">
        <v>45</v>
      </c>
      <c r="E45" s="145" t="s">
        <v>940</v>
      </c>
      <c r="F45" s="146"/>
    </row>
    <row r="46" hidden="1">
      <c r="A46" s="147">
        <v>2.4101528E7</v>
      </c>
      <c r="B46" s="139" t="s">
        <v>969</v>
      </c>
      <c r="C46" s="139" t="s">
        <v>853</v>
      </c>
      <c r="D46" s="148" t="s">
        <v>45</v>
      </c>
      <c r="E46" s="141" t="s">
        <v>970</v>
      </c>
      <c r="F46" s="141">
        <v>1.716905067E9</v>
      </c>
    </row>
    <row r="47" hidden="1">
      <c r="A47" s="142">
        <v>2.4315004E7</v>
      </c>
      <c r="B47" s="143" t="s">
        <v>1949</v>
      </c>
      <c r="C47" s="143" t="s">
        <v>1941</v>
      </c>
      <c r="D47" s="144" t="s">
        <v>36</v>
      </c>
      <c r="E47" s="145" t="s">
        <v>1950</v>
      </c>
      <c r="F47" s="146"/>
    </row>
    <row r="48" hidden="1">
      <c r="A48" s="138">
        <v>2.4301366E7</v>
      </c>
      <c r="B48" s="139" t="s">
        <v>1951</v>
      </c>
      <c r="C48" s="139" t="s">
        <v>1941</v>
      </c>
      <c r="D48" s="140" t="s">
        <v>36</v>
      </c>
      <c r="E48" s="141" t="s">
        <v>1952</v>
      </c>
      <c r="F48" s="18"/>
    </row>
    <row r="49" hidden="1">
      <c r="A49" s="142">
        <v>2.4101055E7</v>
      </c>
      <c r="B49" s="143" t="s">
        <v>1953</v>
      </c>
      <c r="C49" s="143" t="s">
        <v>1941</v>
      </c>
      <c r="D49" s="144" t="s">
        <v>36</v>
      </c>
      <c r="E49" s="145" t="s">
        <v>1954</v>
      </c>
      <c r="F49" s="146"/>
    </row>
    <row r="50" hidden="1">
      <c r="A50" s="138">
        <v>2.2299544E7</v>
      </c>
      <c r="B50" s="139" t="s">
        <v>1955</v>
      </c>
      <c r="C50" s="139" t="s">
        <v>1941</v>
      </c>
      <c r="D50" s="140" t="s">
        <v>36</v>
      </c>
      <c r="E50" s="141" t="s">
        <v>1956</v>
      </c>
      <c r="F50" s="141">
        <v>1.770206172E9</v>
      </c>
    </row>
    <row r="51" hidden="1">
      <c r="A51" s="142">
        <v>2.3301634E7</v>
      </c>
      <c r="B51" s="143" t="s">
        <v>1957</v>
      </c>
      <c r="C51" s="143" t="s">
        <v>1941</v>
      </c>
      <c r="D51" s="144" t="s">
        <v>36</v>
      </c>
      <c r="E51" s="145" t="s">
        <v>1958</v>
      </c>
      <c r="F51" s="146"/>
    </row>
    <row r="52" hidden="1">
      <c r="A52" s="138">
        <v>1.000054988E9</v>
      </c>
      <c r="B52" s="139" t="s">
        <v>1985</v>
      </c>
      <c r="C52" s="139" t="s">
        <v>1941</v>
      </c>
      <c r="D52" s="140" t="s">
        <v>45</v>
      </c>
      <c r="E52" s="141" t="s">
        <v>1986</v>
      </c>
      <c r="F52" s="18"/>
    </row>
    <row r="53" hidden="1">
      <c r="A53" s="142">
        <v>1.000055412E9</v>
      </c>
      <c r="B53" s="143" t="s">
        <v>1987</v>
      </c>
      <c r="C53" s="143" t="s">
        <v>1941</v>
      </c>
      <c r="D53" s="144" t="s">
        <v>45</v>
      </c>
      <c r="E53" s="145" t="s">
        <v>1988</v>
      </c>
      <c r="F53" s="146"/>
    </row>
    <row r="54" hidden="1">
      <c r="A54" s="138">
        <v>1.000054125E9</v>
      </c>
      <c r="B54" s="139" t="s">
        <v>1989</v>
      </c>
      <c r="C54" s="139" t="s">
        <v>1941</v>
      </c>
      <c r="D54" s="140" t="s">
        <v>45</v>
      </c>
      <c r="E54" s="141" t="s">
        <v>1990</v>
      </c>
      <c r="F54" s="18"/>
    </row>
    <row r="55" hidden="1">
      <c r="A55" s="142">
        <v>2.4121288E7</v>
      </c>
      <c r="B55" s="143" t="s">
        <v>1991</v>
      </c>
      <c r="C55" s="143" t="s">
        <v>1941</v>
      </c>
      <c r="D55" s="144" t="s">
        <v>45</v>
      </c>
      <c r="E55" s="145" t="s">
        <v>1992</v>
      </c>
      <c r="F55" s="146"/>
    </row>
    <row r="56" hidden="1">
      <c r="A56" s="138">
        <v>2.4321354E7</v>
      </c>
      <c r="B56" s="139" t="s">
        <v>1993</v>
      </c>
      <c r="C56" s="139" t="s">
        <v>1941</v>
      </c>
      <c r="D56" s="140" t="s">
        <v>45</v>
      </c>
      <c r="E56" s="141" t="s">
        <v>1994</v>
      </c>
      <c r="F56" s="18"/>
    </row>
    <row r="57">
      <c r="A57" s="142">
        <v>2.3201171E7</v>
      </c>
      <c r="B57" s="143" t="s">
        <v>2226</v>
      </c>
      <c r="C57" s="143" t="s">
        <v>2214</v>
      </c>
      <c r="D57" s="144" t="s">
        <v>36</v>
      </c>
      <c r="E57" s="145" t="s">
        <v>2980</v>
      </c>
      <c r="F57" s="145">
        <v>1.674490755E9</v>
      </c>
    </row>
    <row r="58">
      <c r="A58" s="138">
        <v>2.4301202E7</v>
      </c>
      <c r="B58" s="139" t="s">
        <v>2229</v>
      </c>
      <c r="C58" s="139" t="s">
        <v>2214</v>
      </c>
      <c r="D58" s="140" t="s">
        <v>36</v>
      </c>
      <c r="E58" s="141" t="s">
        <v>2230</v>
      </c>
      <c r="F58" s="18"/>
    </row>
    <row r="59">
      <c r="A59" s="142">
        <v>2.3201662E7</v>
      </c>
      <c r="B59" s="143" t="s">
        <v>2231</v>
      </c>
      <c r="C59" s="143" t="s">
        <v>2214</v>
      </c>
      <c r="D59" s="144" t="s">
        <v>36</v>
      </c>
      <c r="E59" s="145" t="s">
        <v>2232</v>
      </c>
      <c r="F59" s="146"/>
    </row>
    <row r="60">
      <c r="A60" s="138">
        <v>2.3241027E7</v>
      </c>
      <c r="B60" s="139" t="s">
        <v>2233</v>
      </c>
      <c r="C60" s="139" t="s">
        <v>2214</v>
      </c>
      <c r="D60" s="140" t="s">
        <v>36</v>
      </c>
      <c r="E60" s="141" t="s">
        <v>2981</v>
      </c>
      <c r="F60" s="141">
        <v>1.726221986E9</v>
      </c>
    </row>
    <row r="61">
      <c r="A61" s="142">
        <v>2.4101404E7</v>
      </c>
      <c r="B61" s="143" t="s">
        <v>2236</v>
      </c>
      <c r="C61" s="143" t="s">
        <v>2214</v>
      </c>
      <c r="D61" s="144" t="s">
        <v>36</v>
      </c>
      <c r="E61" s="145" t="s">
        <v>2237</v>
      </c>
      <c r="F61" s="146"/>
    </row>
    <row r="62">
      <c r="A62" s="138">
        <v>2.3201312E7</v>
      </c>
      <c r="B62" s="139" t="s">
        <v>2238</v>
      </c>
      <c r="C62" s="139" t="s">
        <v>2214</v>
      </c>
      <c r="D62" s="140" t="s">
        <v>36</v>
      </c>
      <c r="E62" s="141" t="s">
        <v>2239</v>
      </c>
      <c r="F62" s="18"/>
    </row>
    <row r="63">
      <c r="A63" s="142">
        <v>1.000056868E9</v>
      </c>
      <c r="B63" s="143" t="s">
        <v>2244</v>
      </c>
      <c r="C63" s="143" t="s">
        <v>2214</v>
      </c>
      <c r="D63" s="144" t="s">
        <v>45</v>
      </c>
      <c r="E63" s="145" t="s">
        <v>2245</v>
      </c>
      <c r="F63" s="146"/>
    </row>
    <row r="64">
      <c r="A64" s="138">
        <v>2.3301588E7</v>
      </c>
      <c r="B64" s="139" t="s">
        <v>2242</v>
      </c>
      <c r="C64" s="139" t="s">
        <v>2214</v>
      </c>
      <c r="D64" s="140" t="s">
        <v>45</v>
      </c>
      <c r="E64" s="141" t="s">
        <v>2243</v>
      </c>
      <c r="F64" s="18"/>
    </row>
    <row r="65">
      <c r="A65" s="142">
        <v>2.4301059E7</v>
      </c>
      <c r="B65" s="143" t="s">
        <v>2246</v>
      </c>
      <c r="C65" s="143" t="s">
        <v>2214</v>
      </c>
      <c r="D65" s="144" t="s">
        <v>45</v>
      </c>
      <c r="E65" s="145" t="s">
        <v>2247</v>
      </c>
      <c r="F65" s="146"/>
    </row>
    <row r="66">
      <c r="A66" s="138">
        <v>1.000055924E9</v>
      </c>
      <c r="B66" s="139" t="s">
        <v>2248</v>
      </c>
      <c r="C66" s="139" t="s">
        <v>2214</v>
      </c>
      <c r="D66" s="140" t="s">
        <v>45</v>
      </c>
      <c r="E66" s="141" t="s">
        <v>2249</v>
      </c>
      <c r="F66" s="18"/>
    </row>
    <row r="67">
      <c r="A67" s="142">
        <v>1.000055085E9</v>
      </c>
      <c r="B67" s="143" t="s">
        <v>2250</v>
      </c>
      <c r="C67" s="143" t="s">
        <v>2214</v>
      </c>
      <c r="D67" s="144" t="s">
        <v>45</v>
      </c>
      <c r="E67" s="145" t="s">
        <v>2251</v>
      </c>
      <c r="F67" s="146"/>
    </row>
    <row r="68" hidden="1">
      <c r="A68" s="151">
        <v>2.4203012E7</v>
      </c>
      <c r="B68" s="139" t="s">
        <v>2481</v>
      </c>
      <c r="C68" s="139" t="s">
        <v>2972</v>
      </c>
      <c r="D68" s="151" t="s">
        <v>36</v>
      </c>
      <c r="E68" s="141" t="s">
        <v>2482</v>
      </c>
      <c r="F68" s="18"/>
    </row>
    <row r="69" hidden="1">
      <c r="A69" s="152">
        <v>2.3101441E7</v>
      </c>
      <c r="B69" s="143" t="s">
        <v>2483</v>
      </c>
      <c r="C69" s="143" t="s">
        <v>2972</v>
      </c>
      <c r="D69" s="152" t="s">
        <v>36</v>
      </c>
      <c r="E69" s="145" t="s">
        <v>2484</v>
      </c>
      <c r="F69" s="145">
        <v>1.533708126E9</v>
      </c>
    </row>
    <row r="70" hidden="1">
      <c r="A70" s="151">
        <v>2.4101341E7</v>
      </c>
      <c r="B70" s="139" t="s">
        <v>2485</v>
      </c>
      <c r="C70" s="139" t="s">
        <v>2972</v>
      </c>
      <c r="D70" s="151" t="s">
        <v>36</v>
      </c>
      <c r="E70" s="141" t="s">
        <v>2486</v>
      </c>
      <c r="F70" s="141">
        <v>1.856937265E9</v>
      </c>
    </row>
    <row r="71" hidden="1">
      <c r="A71" s="152">
        <v>2.4301014E7</v>
      </c>
      <c r="B71" s="143" t="s">
        <v>2636</v>
      </c>
      <c r="C71" s="143" t="s">
        <v>2972</v>
      </c>
      <c r="D71" s="152" t="s">
        <v>45</v>
      </c>
      <c r="E71" s="145" t="s">
        <v>2637</v>
      </c>
      <c r="F71" s="146"/>
    </row>
    <row r="72" hidden="1">
      <c r="A72" s="151">
        <v>2.4110015E7</v>
      </c>
      <c r="B72" s="139" t="s">
        <v>2596</v>
      </c>
      <c r="C72" s="139" t="s">
        <v>2972</v>
      </c>
      <c r="D72" s="151" t="s">
        <v>45</v>
      </c>
      <c r="E72" s="141" t="s">
        <v>2597</v>
      </c>
      <c r="F72" s="141">
        <v>1.715059817E9</v>
      </c>
    </row>
    <row r="73" hidden="1">
      <c r="A73" s="152">
        <v>2.4121297E7</v>
      </c>
      <c r="B73" s="143" t="s">
        <v>2598</v>
      </c>
      <c r="C73" s="143" t="s">
        <v>2972</v>
      </c>
      <c r="D73" s="152" t="s">
        <v>45</v>
      </c>
      <c r="E73" s="145" t="s">
        <v>2599</v>
      </c>
      <c r="F73" s="146"/>
    </row>
    <row r="74" hidden="1">
      <c r="A74" s="151">
        <v>2.4301378E7</v>
      </c>
      <c r="B74" s="139" t="s">
        <v>2602</v>
      </c>
      <c r="C74" s="139" t="s">
        <v>2972</v>
      </c>
      <c r="D74" s="151" t="s">
        <v>45</v>
      </c>
      <c r="E74" s="141" t="s">
        <v>2603</v>
      </c>
      <c r="F74" s="18"/>
    </row>
    <row r="75" hidden="1">
      <c r="A75" s="142">
        <v>2.4301434E7</v>
      </c>
      <c r="B75" s="143" t="s">
        <v>2685</v>
      </c>
      <c r="C75" s="143" t="s">
        <v>2673</v>
      </c>
      <c r="D75" s="144" t="s">
        <v>36</v>
      </c>
      <c r="E75" s="145" t="s">
        <v>2686</v>
      </c>
      <c r="F75" s="146"/>
    </row>
    <row r="76" hidden="1">
      <c r="A76" s="138">
        <v>2.4101124E7</v>
      </c>
      <c r="B76" s="139" t="s">
        <v>2687</v>
      </c>
      <c r="C76" s="139" t="s">
        <v>2673</v>
      </c>
      <c r="D76" s="140" t="s">
        <v>36</v>
      </c>
      <c r="E76" s="141" t="s">
        <v>2688</v>
      </c>
      <c r="F76" s="18"/>
    </row>
    <row r="77" hidden="1">
      <c r="A77" s="142">
        <v>2.4101082E7</v>
      </c>
      <c r="B77" s="143" t="s">
        <v>2689</v>
      </c>
      <c r="C77" s="143" t="s">
        <v>2673</v>
      </c>
      <c r="D77" s="144" t="s">
        <v>36</v>
      </c>
      <c r="E77" s="145" t="s">
        <v>2691</v>
      </c>
      <c r="F77" s="145">
        <v>1.867017046E9</v>
      </c>
    </row>
    <row r="78" hidden="1">
      <c r="A78" s="138">
        <v>2.3201017E7</v>
      </c>
      <c r="B78" s="139" t="s">
        <v>2725</v>
      </c>
      <c r="C78" s="139" t="s">
        <v>2673</v>
      </c>
      <c r="D78" s="140" t="s">
        <v>45</v>
      </c>
      <c r="E78" s="141" t="s">
        <v>2726</v>
      </c>
      <c r="F78" s="18"/>
    </row>
    <row r="79" hidden="1">
      <c r="A79" s="142">
        <v>2.3201689E7</v>
      </c>
      <c r="B79" s="143" t="s">
        <v>2694</v>
      </c>
      <c r="C79" s="143" t="s">
        <v>2673</v>
      </c>
      <c r="D79" s="144" t="s">
        <v>45</v>
      </c>
      <c r="E79" s="145" t="s">
        <v>2695</v>
      </c>
      <c r="F79" s="146"/>
    </row>
    <row r="80" hidden="1">
      <c r="A80" s="138">
        <v>1.000055642E9</v>
      </c>
      <c r="B80" s="139" t="s">
        <v>2720</v>
      </c>
      <c r="C80" s="139" t="s">
        <v>2673</v>
      </c>
      <c r="D80" s="140" t="s">
        <v>45</v>
      </c>
      <c r="E80" s="141" t="s">
        <v>2721</v>
      </c>
      <c r="F80" s="18"/>
    </row>
    <row r="81" hidden="1">
      <c r="A81" s="142">
        <v>2.4216005E7</v>
      </c>
      <c r="B81" s="143" t="s">
        <v>190</v>
      </c>
      <c r="C81" s="143" t="s">
        <v>2673</v>
      </c>
      <c r="D81" s="144" t="s">
        <v>45</v>
      </c>
      <c r="E81" s="145" t="s">
        <v>2722</v>
      </c>
      <c r="F81" s="146"/>
    </row>
    <row r="82" hidden="1">
      <c r="A82" s="138">
        <v>2.4301068E7</v>
      </c>
      <c r="B82" s="139" t="s">
        <v>2723</v>
      </c>
      <c r="C82" s="139" t="s">
        <v>2673</v>
      </c>
      <c r="D82" s="140" t="s">
        <v>45</v>
      </c>
      <c r="E82" s="141" t="s">
        <v>2724</v>
      </c>
      <c r="F82" s="18"/>
    </row>
  </sheetData>
  <autoFilter ref="$A$1:$F$82">
    <filterColumn colId="2">
      <filters>
        <filter val="Human Resources"/>
      </filters>
    </filterColumn>
  </autoFilter>
  <drawing r:id="rId1"/>
</worksheet>
</file>